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slicerCaches/slicerCache10.xml" ContentType="application/vnd.ms-excel.slicerCache+xml"/>
  <Override PartName="/xl/slicerCaches/slicerCache1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heme/themeOverride1.xml" ContentType="application/vnd.openxmlformats-officedocument.themeOverrid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charts/chart9.xml" ContentType="application/vnd.openxmlformats-officedocument.drawingml.chart+xml"/>
  <Override PartName="/xl/charts/style8.xml" ContentType="application/vnd.ms-office.chartstyle+xml"/>
  <Override PartName="/xl/charts/colors8.xml" ContentType="application/vnd.ms-office.chartcolorstyle+xml"/>
  <Override PartName="/xl/charts/chart10.xml" ContentType="application/vnd.openxmlformats-officedocument.drawingml.chart+xml"/>
  <Override PartName="/xl/charts/style9.xml" ContentType="application/vnd.ms-office.chartstyle+xml"/>
  <Override PartName="/xl/charts/colors9.xml" ContentType="application/vnd.ms-office.chartcolorstyle+xml"/>
  <Override PartName="/xl/charts/chart11.xml" ContentType="application/vnd.openxmlformats-officedocument.drawingml.chart+xml"/>
  <Override PartName="/xl/charts/style10.xml" ContentType="application/vnd.ms-office.chartstyle+xml"/>
  <Override PartName="/xl/charts/colors10.xml" ContentType="application/vnd.ms-office.chartcolorstyle+xml"/>
  <Override PartName="/xl/charts/chart12.xml" ContentType="application/vnd.openxmlformats-officedocument.drawingml.chart+xml"/>
  <Override PartName="/xl/charts/style11.xml" ContentType="application/vnd.ms-office.chartstyle+xml"/>
  <Override PartName="/xl/charts/colors11.xml" ContentType="application/vnd.ms-office.chartcolorstyle+xml"/>
  <Override PartName="/xl/theme/themeOverride2.xml" ContentType="application/vnd.openxmlformats-officedocument.themeOverride+xml"/>
  <Override PartName="/xl/charts/chart13.xml" ContentType="application/vnd.openxmlformats-officedocument.drawingml.chart+xml"/>
  <Override PartName="/xl/charts/style12.xml" ContentType="application/vnd.ms-office.chartstyle+xml"/>
  <Override PartName="/xl/charts/colors12.xml" ContentType="application/vnd.ms-office.chartcolorstyle+xml"/>
  <Override PartName="/xl/charts/chart14.xml" ContentType="application/vnd.openxmlformats-officedocument.drawingml.chart+xml"/>
  <Override PartName="/xl/charts/style13.xml" ContentType="application/vnd.ms-office.chartstyle+xml"/>
  <Override PartName="/xl/charts/colors13.xml" ContentType="application/vnd.ms-office.chartcolorstyle+xml"/>
  <Override PartName="/xl/theme/themeOverride3.xml" ContentType="application/vnd.openxmlformats-officedocument.themeOverride+xml"/>
  <Override PartName="/xl/charts/chart15.xml" ContentType="application/vnd.openxmlformats-officedocument.drawingml.chart+xml"/>
  <Override PartName="/xl/charts/style14.xml" ContentType="application/vnd.ms-office.chartstyle+xml"/>
  <Override PartName="/xl/charts/colors14.xml" ContentType="application/vnd.ms-office.chartcolorstyle+xml"/>
  <Override PartName="/xl/charts/chart16.xml" ContentType="application/vnd.openxmlformats-officedocument.drawingml.chart+xml"/>
  <Override PartName="/xl/charts/style15.xml" ContentType="application/vnd.ms-office.chartstyle+xml"/>
  <Override PartName="/xl/charts/colors15.xml" ContentType="application/vnd.ms-office.chartcolorstyle+xml"/>
  <Override PartName="/xl/theme/themeOverride4.xml" ContentType="application/vnd.openxmlformats-officedocument.themeOverride+xml"/>
  <Override PartName="/xl/charts/chart17.xml" ContentType="application/vnd.openxmlformats-officedocument.drawingml.chart+xml"/>
  <Override PartName="/xl/charts/style16.xml" ContentType="application/vnd.ms-office.chartstyle+xml"/>
  <Override PartName="/xl/charts/colors16.xml" ContentType="application/vnd.ms-office.chartcolorstyle+xml"/>
  <Override PartName="/xl/charts/chart18.xml" ContentType="application/vnd.openxmlformats-officedocument.drawingml.chart+xml"/>
  <Override PartName="/xl/charts/style17.xml" ContentType="application/vnd.ms-office.chartstyle+xml"/>
  <Override PartName="/xl/charts/colors17.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thumbnail" Target="docProps/thumbnail.emf"/><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hidePivotFieldList="1" defaultThemeVersion="166925"/>
  <mc:AlternateContent xmlns:mc="http://schemas.openxmlformats.org/markup-compatibility/2006">
    <mc:Choice Requires="x15">
      <x15ac:absPath xmlns:x15ac="http://schemas.microsoft.com/office/spreadsheetml/2010/11/ac" url="D:\AI ML learning\data analysis projects\excel projects\bike sales survey report &amp; dashboard project\"/>
    </mc:Choice>
  </mc:AlternateContent>
  <xr:revisionPtr revIDLastSave="0" documentId="13_ncr:1_{44302C86-50E2-487B-B615-51B9203D4F1B}" xr6:coauthVersionLast="47" xr6:coauthVersionMax="47" xr10:uidLastSave="{00000000-0000-0000-0000-000000000000}"/>
  <bookViews>
    <workbookView xWindow="-120" yWindow="-120" windowWidth="20730" windowHeight="11160" xr2:uid="{7E3F7AFF-AB87-4A05-9905-D968E29D7130}"/>
  </bookViews>
  <sheets>
    <sheet name="dashboard" sheetId="6" r:id="rId1"/>
    <sheet name="bike_buyers" sheetId="2" r:id="rId2"/>
    <sheet name="Sheet3" sheetId="5" r:id="rId3"/>
  </sheets>
  <definedNames>
    <definedName name="ExternalData_1" localSheetId="1" hidden="1">bike_buyers!$A$1:$N$1001</definedName>
    <definedName name="Slicer_age_categories">#N/A</definedName>
    <definedName name="Slicer_Cars">#N/A</definedName>
    <definedName name="Slicer_Commute_Distance">#N/A</definedName>
    <definedName name="Slicer_Education">#N/A</definedName>
    <definedName name="Slicer_Education1">#N/A</definedName>
    <definedName name="Slicer_Gender">#N/A</definedName>
    <definedName name="Slicer_Home_Owner">#N/A</definedName>
    <definedName name="Slicer_Marital_Status">#N/A</definedName>
    <definedName name="Slicer_Purchased_Bike">#N/A</definedName>
    <definedName name="Slicer_Purchased_Bike1">#N/A</definedName>
    <definedName name="Slicer_Region">#N/A</definedName>
  </definedNames>
  <calcPr calcId="191029"/>
  <pivotCaches>
    <pivotCache cacheId="10" r:id="rId4"/>
    <pivotCache cacheId="1" r:id="rId5"/>
  </pivotCaches>
  <extLst>
    <ext xmlns:x14="http://schemas.microsoft.com/office/spreadsheetml/2009/9/main" uri="{BBE1A952-AA13-448e-AADC-164F8A28A991}">
      <x14:slicerCaches>
        <x14:slicerCache r:id="rId6"/>
        <x14:slicerCache r:id="rId7"/>
        <x14:slicerCache r:id="rId8"/>
        <x14:slicerCache r:id="rId9"/>
        <x14:slicerCache r:id="rId10"/>
        <x14:slicerCache r:id="rId11"/>
        <x14:slicerCache r:id="rId12"/>
        <x14:slicerCache r:id="rId13"/>
        <x14:slicerCache r:id="rId14"/>
        <x14:slicerCache r:id="rId15"/>
        <x14:slicerCache r:id="rId1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L2" i="2" l="1" a="1"/>
  <c r="L2" i="2" s="1"/>
  <c r="L3" i="2" a="1"/>
  <c r="L3" i="2" s="1"/>
  <c r="L4" i="2" a="1"/>
  <c r="L4" i="2" s="1"/>
  <c r="L5" i="2" a="1"/>
  <c r="L5" i="2" s="1"/>
  <c r="L6" i="2" a="1"/>
  <c r="L6" i="2" s="1"/>
  <c r="L7" i="2" a="1"/>
  <c r="L7" i="2" s="1"/>
  <c r="L8" i="2" a="1"/>
  <c r="L8" i="2" s="1"/>
  <c r="L9" i="2" a="1"/>
  <c r="L9" i="2" s="1"/>
  <c r="L10" i="2" a="1"/>
  <c r="L10" i="2" s="1"/>
  <c r="L11" i="2" a="1"/>
  <c r="L11" i="2" s="1"/>
  <c r="L12" i="2" a="1"/>
  <c r="L12" i="2" s="1"/>
  <c r="L13" i="2" a="1"/>
  <c r="L13" i="2"/>
  <c r="L14" i="2" a="1"/>
  <c r="L14" i="2" s="1"/>
  <c r="L15" i="2" a="1"/>
  <c r="L15" i="2" s="1"/>
  <c r="L16" i="2" a="1"/>
  <c r="L16" i="2" s="1"/>
  <c r="L17" i="2" a="1"/>
  <c r="L17" i="2" s="1"/>
  <c r="L18" i="2" a="1"/>
  <c r="L18" i="2" s="1"/>
  <c r="L19" i="2" a="1"/>
  <c r="L19" i="2" s="1"/>
  <c r="L20" i="2" a="1"/>
  <c r="L20" i="2" s="1"/>
  <c r="L21" i="2" a="1"/>
  <c r="L21" i="2" s="1"/>
  <c r="L22" i="2" a="1"/>
  <c r="L22" i="2" s="1"/>
  <c r="L23" i="2" a="1"/>
  <c r="L23" i="2" s="1"/>
  <c r="L24" i="2" a="1"/>
  <c r="L24" i="2" s="1"/>
  <c r="L25" i="2" a="1"/>
  <c r="L25" i="2" s="1"/>
  <c r="L26" i="2" a="1"/>
  <c r="L26" i="2" s="1"/>
  <c r="L27" i="2" a="1"/>
  <c r="L27" i="2"/>
  <c r="L28" i="2" a="1"/>
  <c r="L28" i="2" s="1"/>
  <c r="L29" i="2" a="1"/>
  <c r="L29" i="2" s="1"/>
  <c r="L30" i="2" a="1"/>
  <c r="L30" i="2" s="1"/>
  <c r="L31" i="2" a="1"/>
  <c r="L31" i="2" s="1"/>
  <c r="L32" i="2" a="1"/>
  <c r="L32" i="2" s="1"/>
  <c r="L33" i="2" a="1"/>
  <c r="L33" i="2"/>
  <c r="L34" i="2" a="1"/>
  <c r="L34" i="2" s="1"/>
  <c r="L35" i="2" a="1"/>
  <c r="L35" i="2" s="1"/>
  <c r="L36" i="2" a="1"/>
  <c r="L36" i="2" s="1"/>
  <c r="L37" i="2" a="1"/>
  <c r="L37" i="2" s="1"/>
  <c r="L38" i="2" a="1"/>
  <c r="L38" i="2" s="1"/>
  <c r="L39" i="2" a="1"/>
  <c r="L39" i="2" s="1"/>
  <c r="L40" i="2" a="1"/>
  <c r="L40" i="2" s="1"/>
  <c r="L41" i="2" a="1"/>
  <c r="L41" i="2" s="1"/>
  <c r="L42" i="2" a="1"/>
  <c r="L42" i="2" s="1"/>
  <c r="L43" i="2" a="1"/>
  <c r="L43" i="2" s="1"/>
  <c r="L44" i="2" a="1"/>
  <c r="L44" i="2" s="1"/>
  <c r="L45" i="2" a="1"/>
  <c r="L45" i="2"/>
  <c r="L46" i="2" a="1"/>
  <c r="L46" i="2" s="1"/>
  <c r="L47" i="2" a="1"/>
  <c r="L47" i="2" s="1"/>
  <c r="L48" i="2" a="1"/>
  <c r="L48" i="2" s="1"/>
  <c r="L49" i="2" a="1"/>
  <c r="L49" i="2" s="1"/>
  <c r="L50" i="2" a="1"/>
  <c r="L50" i="2" s="1"/>
  <c r="L51" i="2" a="1"/>
  <c r="L51" i="2" s="1"/>
  <c r="L52" i="2" a="1"/>
  <c r="L52" i="2" s="1"/>
  <c r="L53" i="2" a="1"/>
  <c r="L53" i="2" s="1"/>
  <c r="L54" i="2" a="1"/>
  <c r="L54" i="2" s="1"/>
  <c r="L55" i="2" a="1"/>
  <c r="L55" i="2" s="1"/>
  <c r="L56" i="2" a="1"/>
  <c r="L56" i="2" s="1"/>
  <c r="L57" i="2" a="1"/>
  <c r="L57" i="2" s="1"/>
  <c r="L58" i="2" a="1"/>
  <c r="L58" i="2" s="1"/>
  <c r="L59" i="2" a="1"/>
  <c r="L59" i="2"/>
  <c r="L60" i="2" a="1"/>
  <c r="L60" i="2" s="1"/>
  <c r="L61" i="2" a="1"/>
  <c r="L61" i="2" s="1"/>
  <c r="L62" i="2" a="1"/>
  <c r="L62" i="2" s="1"/>
  <c r="L63" i="2" a="1"/>
  <c r="L63" i="2" s="1"/>
  <c r="L64" i="2" a="1"/>
  <c r="L64" i="2" s="1"/>
  <c r="L65" i="2" a="1"/>
  <c r="L65" i="2"/>
  <c r="L66" i="2" a="1"/>
  <c r="L66" i="2" s="1"/>
  <c r="L67" i="2" a="1"/>
  <c r="L67" i="2" s="1"/>
  <c r="L68" i="2" a="1"/>
  <c r="L68" i="2" s="1"/>
  <c r="L69" i="2" a="1"/>
  <c r="L69" i="2" s="1"/>
  <c r="L70" i="2" a="1"/>
  <c r="L70" i="2" s="1"/>
  <c r="L71" i="2" a="1"/>
  <c r="L71" i="2" s="1"/>
  <c r="L72" i="2" a="1"/>
  <c r="L72" i="2" s="1"/>
  <c r="L73" i="2" a="1"/>
  <c r="L73" i="2" s="1"/>
  <c r="L74" i="2" a="1"/>
  <c r="L74" i="2" s="1"/>
  <c r="L75" i="2" a="1"/>
  <c r="L75" i="2" s="1"/>
  <c r="L76" i="2" a="1"/>
  <c r="L76" i="2" s="1"/>
  <c r="L77" i="2" a="1"/>
  <c r="L77" i="2"/>
  <c r="L78" i="2" a="1"/>
  <c r="L78" i="2" s="1"/>
  <c r="L79" i="2" a="1"/>
  <c r="L79" i="2" s="1"/>
  <c r="L80" i="2" a="1"/>
  <c r="L80" i="2" s="1"/>
  <c r="L81" i="2" a="1"/>
  <c r="L81" i="2" s="1"/>
  <c r="L82" i="2" a="1"/>
  <c r="L82" i="2" s="1"/>
  <c r="L83" i="2" a="1"/>
  <c r="L83" i="2" s="1"/>
  <c r="L84" i="2" a="1"/>
  <c r="L84" i="2" s="1"/>
  <c r="L85" i="2" a="1"/>
  <c r="L85" i="2" s="1"/>
  <c r="L86" i="2" a="1"/>
  <c r="L86" i="2" s="1"/>
  <c r="L87" i="2" a="1"/>
  <c r="L87" i="2" s="1"/>
  <c r="L88" i="2" a="1"/>
  <c r="L88" i="2" s="1"/>
  <c r="L89" i="2" a="1"/>
  <c r="L89" i="2" s="1"/>
  <c r="L90" i="2" a="1"/>
  <c r="L90" i="2" s="1"/>
  <c r="L91" i="2" a="1"/>
  <c r="L91" i="2"/>
  <c r="L92" i="2" a="1"/>
  <c r="L92" i="2" s="1"/>
  <c r="L93" i="2" a="1"/>
  <c r="L93" i="2" s="1"/>
  <c r="L94" i="2" a="1"/>
  <c r="L94" i="2" s="1"/>
  <c r="L95" i="2" a="1"/>
  <c r="L95" i="2" s="1"/>
  <c r="L96" i="2" a="1"/>
  <c r="L96" i="2" s="1"/>
  <c r="L97" i="2" a="1"/>
  <c r="L97" i="2"/>
  <c r="L98" i="2" a="1"/>
  <c r="L98" i="2" s="1"/>
  <c r="L99" i="2" a="1"/>
  <c r="L99" i="2" s="1"/>
  <c r="L100" i="2" a="1"/>
  <c r="L100" i="2" s="1"/>
  <c r="L101" i="2" a="1"/>
  <c r="L101" i="2" s="1"/>
  <c r="L102" i="2" a="1"/>
  <c r="L102" i="2" s="1"/>
  <c r="L103" i="2" a="1"/>
  <c r="L103" i="2" s="1"/>
  <c r="L104" i="2" a="1"/>
  <c r="L104" i="2" s="1"/>
  <c r="L105" i="2" a="1"/>
  <c r="L105" i="2" s="1"/>
  <c r="L106" i="2" a="1"/>
  <c r="L106" i="2" s="1"/>
  <c r="L107" i="2" a="1"/>
  <c r="L107" i="2" s="1"/>
  <c r="L108" i="2" a="1"/>
  <c r="L108" i="2" s="1"/>
  <c r="L109" i="2" a="1"/>
  <c r="L109" i="2"/>
  <c r="L110" i="2" a="1"/>
  <c r="L110" i="2" s="1"/>
  <c r="L111" i="2" a="1"/>
  <c r="L111" i="2" s="1"/>
  <c r="L112" i="2" a="1"/>
  <c r="L112" i="2" s="1"/>
  <c r="L113" i="2" a="1"/>
  <c r="L113" i="2" s="1"/>
  <c r="L114" i="2" a="1"/>
  <c r="L114" i="2" s="1"/>
  <c r="L115" i="2" a="1"/>
  <c r="L115" i="2" s="1"/>
  <c r="L116" i="2" a="1"/>
  <c r="L116" i="2" s="1"/>
  <c r="L117" i="2" a="1"/>
  <c r="L117" i="2" s="1"/>
  <c r="L118" i="2" a="1"/>
  <c r="L118" i="2" s="1"/>
  <c r="L119" i="2" a="1"/>
  <c r="L119" i="2" s="1"/>
  <c r="L120" i="2" a="1"/>
  <c r="L120" i="2" s="1"/>
  <c r="L121" i="2" a="1"/>
  <c r="L121" i="2" s="1"/>
  <c r="L122" i="2" a="1"/>
  <c r="L122" i="2" s="1"/>
  <c r="L123" i="2" a="1"/>
  <c r="L123" i="2"/>
  <c r="L124" i="2" a="1"/>
  <c r="L124" i="2" s="1"/>
  <c r="L125" i="2" a="1"/>
  <c r="L125" i="2" s="1"/>
  <c r="L126" i="2" a="1"/>
  <c r="L126" i="2" s="1"/>
  <c r="L127" i="2" a="1"/>
  <c r="L127" i="2" s="1"/>
  <c r="L128" i="2" a="1"/>
  <c r="L128" i="2" s="1"/>
  <c r="L129" i="2" a="1"/>
  <c r="L129" i="2"/>
  <c r="L130" i="2" a="1"/>
  <c r="L130" i="2" s="1"/>
  <c r="L131" i="2" a="1"/>
  <c r="L131" i="2" s="1"/>
  <c r="L132" i="2" a="1"/>
  <c r="L132" i="2" s="1"/>
  <c r="L133" i="2" a="1"/>
  <c r="L133" i="2" s="1"/>
  <c r="L134" i="2" a="1"/>
  <c r="L134" i="2" s="1"/>
  <c r="L135" i="2" a="1"/>
  <c r="L135" i="2" s="1"/>
  <c r="L136" i="2" a="1"/>
  <c r="L136" i="2" s="1"/>
  <c r="L137" i="2" a="1"/>
  <c r="L137" i="2" s="1"/>
  <c r="L138" i="2" a="1"/>
  <c r="L138" i="2" s="1"/>
  <c r="L139" i="2" a="1"/>
  <c r="L139" i="2" s="1"/>
  <c r="L140" i="2" a="1"/>
  <c r="L140" i="2" s="1"/>
  <c r="L141" i="2" a="1"/>
  <c r="L141" i="2"/>
  <c r="L142" i="2" a="1"/>
  <c r="L142" i="2" s="1"/>
  <c r="L143" i="2" a="1"/>
  <c r="L143" i="2" s="1"/>
  <c r="L144" i="2" a="1"/>
  <c r="L144" i="2" s="1"/>
  <c r="L145" i="2" a="1"/>
  <c r="L145" i="2" s="1"/>
  <c r="L146" i="2" a="1"/>
  <c r="L146" i="2" s="1"/>
  <c r="L147" i="2" a="1"/>
  <c r="L147" i="2" s="1"/>
  <c r="L148" i="2" a="1"/>
  <c r="L148" i="2" s="1"/>
  <c r="L149" i="2" a="1"/>
  <c r="L149" i="2" s="1"/>
  <c r="L150" i="2" a="1"/>
  <c r="L150" i="2" s="1"/>
  <c r="L151" i="2" a="1"/>
  <c r="L151" i="2" s="1"/>
  <c r="L152" i="2" a="1"/>
  <c r="L152" i="2" s="1"/>
  <c r="L153" i="2" a="1"/>
  <c r="L153" i="2" s="1"/>
  <c r="L154" i="2" a="1"/>
  <c r="L154" i="2" s="1"/>
  <c r="L155" i="2" a="1"/>
  <c r="L155" i="2"/>
  <c r="L156" i="2" a="1"/>
  <c r="L156" i="2" s="1"/>
  <c r="L157" i="2" a="1"/>
  <c r="L157" i="2" s="1"/>
  <c r="L158" i="2" a="1"/>
  <c r="L158" i="2" s="1"/>
  <c r="L159" i="2" a="1"/>
  <c r="L159" i="2" s="1"/>
  <c r="L160" i="2" a="1"/>
  <c r="L160" i="2" s="1"/>
  <c r="L161" i="2" a="1"/>
  <c r="L161" i="2"/>
  <c r="L162" i="2" a="1"/>
  <c r="L162" i="2" s="1"/>
  <c r="L163" i="2" a="1"/>
  <c r="L163" i="2" s="1"/>
  <c r="L164" i="2" a="1"/>
  <c r="L164" i="2" s="1"/>
  <c r="L165" i="2" a="1"/>
  <c r="L165" i="2" s="1"/>
  <c r="L166" i="2" a="1"/>
  <c r="L166" i="2" s="1"/>
  <c r="L167" i="2" a="1"/>
  <c r="L167" i="2" s="1"/>
  <c r="L168" i="2" a="1"/>
  <c r="L168" i="2" s="1"/>
  <c r="L169" i="2" a="1"/>
  <c r="L169" i="2" s="1"/>
  <c r="L170" i="2" a="1"/>
  <c r="L170" i="2" s="1"/>
  <c r="L171" i="2" a="1"/>
  <c r="L171" i="2" s="1"/>
  <c r="L172" i="2" a="1"/>
  <c r="L172" i="2" s="1"/>
  <c r="L173" i="2" a="1"/>
  <c r="L173" i="2" s="1"/>
  <c r="L174" i="2" a="1"/>
  <c r="L174" i="2" s="1"/>
  <c r="L175" i="2" a="1"/>
  <c r="L175" i="2" s="1"/>
  <c r="L176" i="2" a="1"/>
  <c r="L176" i="2" s="1"/>
  <c r="L177" i="2" a="1"/>
  <c r="L177" i="2" s="1"/>
  <c r="L178" i="2" a="1"/>
  <c r="L178" i="2" s="1"/>
  <c r="L179" i="2" a="1"/>
  <c r="L179" i="2" s="1"/>
  <c r="L180" i="2" a="1"/>
  <c r="L180" i="2" s="1"/>
  <c r="L181" i="2" a="1"/>
  <c r="L181" i="2" s="1"/>
  <c r="L182" i="2" a="1"/>
  <c r="L182" i="2" s="1"/>
  <c r="L183" i="2" a="1"/>
  <c r="L183" i="2"/>
  <c r="L184" i="2" a="1"/>
  <c r="L184" i="2" s="1"/>
  <c r="L185" i="2" a="1"/>
  <c r="L185" i="2" s="1"/>
  <c r="L186" i="2" a="1"/>
  <c r="L186" i="2" s="1"/>
  <c r="L187" i="2" a="1"/>
  <c r="L187" i="2" s="1"/>
  <c r="L188" i="2" a="1"/>
  <c r="L188" i="2" s="1"/>
  <c r="L189" i="2" a="1"/>
  <c r="L189" i="2" s="1"/>
  <c r="L190" i="2" a="1"/>
  <c r="L190" i="2" s="1"/>
  <c r="L191" i="2" a="1"/>
  <c r="L191" i="2" s="1"/>
  <c r="L192" i="2" a="1"/>
  <c r="L192" i="2" s="1"/>
  <c r="L193" i="2" a="1"/>
  <c r="L193" i="2" s="1"/>
  <c r="L194" i="2" a="1"/>
  <c r="L194" i="2" s="1"/>
  <c r="L195" i="2" a="1"/>
  <c r="L195" i="2" s="1"/>
  <c r="L196" i="2" a="1"/>
  <c r="L196" i="2" s="1"/>
  <c r="L197" i="2" a="1"/>
  <c r="L197" i="2" s="1"/>
  <c r="L198" i="2" a="1"/>
  <c r="L198" i="2" s="1"/>
  <c r="L199" i="2" a="1"/>
  <c r="L199" i="2"/>
  <c r="L200" i="2" a="1"/>
  <c r="L200" i="2" s="1"/>
  <c r="L201" i="2" a="1"/>
  <c r="L201" i="2" s="1"/>
  <c r="L202" i="2" a="1"/>
  <c r="L202" i="2" s="1"/>
  <c r="L203" i="2" a="1"/>
  <c r="L203" i="2" s="1"/>
  <c r="L204" i="2" a="1"/>
  <c r="L204" i="2" s="1"/>
  <c r="L205" i="2" a="1"/>
  <c r="L205" i="2" s="1"/>
  <c r="L206" i="2" a="1"/>
  <c r="L206" i="2" s="1"/>
  <c r="L207" i="2" a="1"/>
  <c r="L207" i="2" s="1"/>
  <c r="L208" i="2" a="1"/>
  <c r="L208" i="2" s="1"/>
  <c r="L209" i="2" a="1"/>
  <c r="L209" i="2" s="1"/>
  <c r="L210" i="2" a="1"/>
  <c r="L210" i="2" s="1"/>
  <c r="L211" i="2" a="1"/>
  <c r="L211" i="2" s="1"/>
  <c r="L212" i="2" a="1"/>
  <c r="L212" i="2" s="1"/>
  <c r="L213" i="2" a="1"/>
  <c r="L213" i="2" s="1"/>
  <c r="L214" i="2" a="1"/>
  <c r="L214" i="2" s="1"/>
  <c r="L215" i="2" a="1"/>
  <c r="L215" i="2"/>
  <c r="L216" i="2" a="1"/>
  <c r="L216" i="2" s="1"/>
  <c r="L217" i="2" a="1"/>
  <c r="L217" i="2" s="1"/>
  <c r="L218" i="2" a="1"/>
  <c r="L218" i="2" s="1"/>
  <c r="L219" i="2" a="1"/>
  <c r="L219" i="2" s="1"/>
  <c r="L220" i="2" a="1"/>
  <c r="L220" i="2" s="1"/>
  <c r="L221" i="2" a="1"/>
  <c r="L221" i="2" s="1"/>
  <c r="L222" i="2" a="1"/>
  <c r="L222" i="2" s="1"/>
  <c r="L223" i="2" a="1"/>
  <c r="L223" i="2" s="1"/>
  <c r="L224" i="2" a="1"/>
  <c r="L224" i="2" s="1"/>
  <c r="L225" i="2" a="1"/>
  <c r="L225" i="2" s="1"/>
  <c r="L226" i="2" a="1"/>
  <c r="L226" i="2" s="1"/>
  <c r="L227" i="2" a="1"/>
  <c r="L227" i="2" s="1"/>
  <c r="L228" i="2" a="1"/>
  <c r="L228" i="2" s="1"/>
  <c r="L229" i="2" a="1"/>
  <c r="L229" i="2" s="1"/>
  <c r="L230" i="2" a="1"/>
  <c r="L230" i="2" s="1"/>
  <c r="L231" i="2" a="1"/>
  <c r="L231" i="2"/>
  <c r="L232" i="2" a="1"/>
  <c r="L232" i="2" s="1"/>
  <c r="L233" i="2" a="1"/>
  <c r="L233" i="2" s="1"/>
  <c r="L234" i="2" a="1"/>
  <c r="L234" i="2" s="1"/>
  <c r="L235" i="2" a="1"/>
  <c r="L235" i="2" s="1"/>
  <c r="L236" i="2" a="1"/>
  <c r="L236" i="2" s="1"/>
  <c r="L237" i="2" a="1"/>
  <c r="L237" i="2" s="1"/>
  <c r="L238" i="2" a="1"/>
  <c r="L238" i="2" s="1"/>
  <c r="L239" i="2" a="1"/>
  <c r="L239" i="2" s="1"/>
  <c r="L240" i="2" a="1"/>
  <c r="L240" i="2" s="1"/>
  <c r="L241" i="2" a="1"/>
  <c r="L241" i="2" s="1"/>
  <c r="L242" i="2" a="1"/>
  <c r="L242" i="2" s="1"/>
  <c r="L243" i="2" a="1"/>
  <c r="L243" i="2" s="1"/>
  <c r="L244" i="2" a="1"/>
  <c r="L244" i="2" s="1"/>
  <c r="L245" i="2" a="1"/>
  <c r="L245" i="2" s="1"/>
  <c r="L246" i="2" a="1"/>
  <c r="L246" i="2" s="1"/>
  <c r="L247" i="2" a="1"/>
  <c r="L247" i="2"/>
  <c r="L248" i="2" a="1"/>
  <c r="L248" i="2" s="1"/>
  <c r="L249" i="2" a="1"/>
  <c r="L249" i="2" s="1"/>
  <c r="L250" i="2" a="1"/>
  <c r="L250" i="2" s="1"/>
  <c r="L251" i="2" a="1"/>
  <c r="L251" i="2" s="1"/>
  <c r="L252" i="2" a="1"/>
  <c r="L252" i="2" s="1"/>
  <c r="L253" i="2" a="1"/>
  <c r="L253" i="2" s="1"/>
  <c r="L254" i="2" a="1"/>
  <c r="L254" i="2" s="1"/>
  <c r="L255" i="2" a="1"/>
  <c r="L255" i="2" s="1"/>
  <c r="L256" i="2" a="1"/>
  <c r="L256" i="2" s="1"/>
  <c r="L257" i="2" a="1"/>
  <c r="L257" i="2" s="1"/>
  <c r="L258" i="2" a="1"/>
  <c r="L258" i="2" s="1"/>
  <c r="L259" i="2" a="1"/>
  <c r="L259" i="2" s="1"/>
  <c r="L260" i="2" a="1"/>
  <c r="L260" i="2" s="1"/>
  <c r="L261" i="2" a="1"/>
  <c r="L261" i="2" s="1"/>
  <c r="L262" i="2" a="1"/>
  <c r="L262" i="2" s="1"/>
  <c r="L263" i="2" a="1"/>
  <c r="L263" i="2"/>
  <c r="L264" i="2" a="1"/>
  <c r="L264" i="2" s="1"/>
  <c r="L265" i="2" a="1"/>
  <c r="L265" i="2" s="1"/>
  <c r="L266" i="2" a="1"/>
  <c r="L266" i="2" s="1"/>
  <c r="L267" i="2" a="1"/>
  <c r="L267" i="2" s="1"/>
  <c r="L268" i="2" a="1"/>
  <c r="L268" i="2" s="1"/>
  <c r="L269" i="2" a="1"/>
  <c r="L269" i="2" s="1"/>
  <c r="L270" i="2" a="1"/>
  <c r="L270" i="2" s="1"/>
  <c r="L271" i="2" a="1"/>
  <c r="L271" i="2" s="1"/>
  <c r="L272" i="2" a="1"/>
  <c r="L272" i="2" s="1"/>
  <c r="L273" i="2" a="1"/>
  <c r="L273" i="2" s="1"/>
  <c r="L274" i="2" a="1"/>
  <c r="L274" i="2" s="1"/>
  <c r="L275" i="2" a="1"/>
  <c r="L275" i="2" s="1"/>
  <c r="L276" i="2" a="1"/>
  <c r="L276" i="2" s="1"/>
  <c r="L277" i="2" a="1"/>
  <c r="L277" i="2" s="1"/>
  <c r="L278" i="2" a="1"/>
  <c r="L278" i="2" s="1"/>
  <c r="L279" i="2" a="1"/>
  <c r="L279" i="2"/>
  <c r="L280" i="2" a="1"/>
  <c r="L280" i="2" s="1"/>
  <c r="L281" i="2" a="1"/>
  <c r="L281" i="2" s="1"/>
  <c r="L282" i="2" a="1"/>
  <c r="L282" i="2" s="1"/>
  <c r="L283" i="2" a="1"/>
  <c r="L283" i="2" s="1"/>
  <c r="L284" i="2" a="1"/>
  <c r="L284" i="2" s="1"/>
  <c r="L285" i="2" a="1"/>
  <c r="L285" i="2" s="1"/>
  <c r="L286" i="2" a="1"/>
  <c r="L286" i="2" s="1"/>
  <c r="L287" i="2" a="1"/>
  <c r="L287" i="2" s="1"/>
  <c r="L288" i="2" a="1"/>
  <c r="L288" i="2" s="1"/>
  <c r="L289" i="2" a="1"/>
  <c r="L289" i="2" s="1"/>
  <c r="L290" i="2" a="1"/>
  <c r="L290" i="2" s="1"/>
  <c r="L291" i="2" a="1"/>
  <c r="L291" i="2" s="1"/>
  <c r="L292" i="2" a="1"/>
  <c r="L292" i="2" s="1"/>
  <c r="L293" i="2" a="1"/>
  <c r="L293" i="2" s="1"/>
  <c r="L294" i="2" a="1"/>
  <c r="L294" i="2" s="1"/>
  <c r="L295" i="2" a="1"/>
  <c r="L295" i="2"/>
  <c r="L296" i="2" a="1"/>
  <c r="L296" i="2" s="1"/>
  <c r="L297" i="2" a="1"/>
  <c r="L297" i="2" s="1"/>
  <c r="L298" i="2" a="1"/>
  <c r="L298" i="2" s="1"/>
  <c r="L299" i="2" a="1"/>
  <c r="L299" i="2" s="1"/>
  <c r="L300" i="2" a="1"/>
  <c r="L300" i="2" s="1"/>
  <c r="L301" i="2" a="1"/>
  <c r="L301" i="2" s="1"/>
  <c r="L302" i="2" a="1"/>
  <c r="L302" i="2" s="1"/>
  <c r="L303" i="2" a="1"/>
  <c r="L303" i="2" s="1"/>
  <c r="L304" i="2" a="1"/>
  <c r="L304" i="2" s="1"/>
  <c r="L305" i="2" a="1"/>
  <c r="L305" i="2" s="1"/>
  <c r="L306" i="2" a="1"/>
  <c r="L306" i="2" s="1"/>
  <c r="L307" i="2" a="1"/>
  <c r="L307" i="2" s="1"/>
  <c r="L308" i="2" a="1"/>
  <c r="L308" i="2" s="1"/>
  <c r="L309" i="2" a="1"/>
  <c r="L309" i="2" s="1"/>
  <c r="L310" i="2" a="1"/>
  <c r="L310" i="2" s="1"/>
  <c r="L311" i="2" a="1"/>
  <c r="L311" i="2" s="1"/>
  <c r="L312" i="2" a="1"/>
  <c r="L312" i="2" s="1"/>
  <c r="L313" i="2" a="1"/>
  <c r="L313" i="2" s="1"/>
  <c r="L314" i="2" a="1"/>
  <c r="L314" i="2" s="1"/>
  <c r="L315" i="2" a="1"/>
  <c r="L315" i="2" s="1"/>
  <c r="L316" i="2" a="1"/>
  <c r="L316" i="2" s="1"/>
  <c r="L317" i="2" a="1"/>
  <c r="L317" i="2" s="1"/>
  <c r="L318" i="2" a="1"/>
  <c r="L318" i="2"/>
  <c r="L319" i="2" a="1"/>
  <c r="L319" i="2" s="1"/>
  <c r="L320" i="2" a="1"/>
  <c r="L320" i="2" s="1"/>
  <c r="L321" i="2" a="1"/>
  <c r="L321" i="2" s="1"/>
  <c r="L322" i="2" a="1"/>
  <c r="L322" i="2" s="1"/>
  <c r="L323" i="2" a="1"/>
  <c r="L323" i="2" s="1"/>
  <c r="L324" i="2" a="1"/>
  <c r="L324" i="2"/>
  <c r="L325" i="2" a="1"/>
  <c r="L325" i="2" s="1"/>
  <c r="L326" i="2" a="1"/>
  <c r="L326" i="2" s="1"/>
  <c r="L327" i="2" a="1"/>
  <c r="L327" i="2" s="1"/>
  <c r="L328" i="2" a="1"/>
  <c r="L328" i="2" s="1"/>
  <c r="L329" i="2" a="1"/>
  <c r="L329" i="2" s="1"/>
  <c r="L330" i="2" a="1"/>
  <c r="L330" i="2"/>
  <c r="L331" i="2" a="1"/>
  <c r="L331" i="2" s="1"/>
  <c r="L332" i="2" a="1"/>
  <c r="L332" i="2" s="1"/>
  <c r="L333" i="2" a="1"/>
  <c r="L333" i="2" s="1"/>
  <c r="L334" i="2" a="1"/>
  <c r="L334" i="2" s="1"/>
  <c r="L335" i="2" a="1"/>
  <c r="L335" i="2" s="1"/>
  <c r="L336" i="2" a="1"/>
  <c r="L336" i="2" s="1"/>
  <c r="L337" i="2" a="1"/>
  <c r="L337" i="2" s="1"/>
  <c r="L338" i="2" a="1"/>
  <c r="L338" i="2" s="1"/>
  <c r="L339" i="2" a="1"/>
  <c r="L339" i="2" s="1"/>
  <c r="L340" i="2" a="1"/>
  <c r="L340" i="2" s="1"/>
  <c r="L341" i="2" a="1"/>
  <c r="L341" i="2" s="1"/>
  <c r="L342" i="2" a="1"/>
  <c r="L342" i="2" s="1"/>
  <c r="L343" i="2" a="1"/>
  <c r="L343" i="2" s="1"/>
  <c r="L344" i="2" a="1"/>
  <c r="L344" i="2" s="1"/>
  <c r="L345" i="2" a="1"/>
  <c r="L345" i="2" s="1"/>
  <c r="L346" i="2" a="1"/>
  <c r="L346" i="2" s="1"/>
  <c r="L347" i="2" a="1"/>
  <c r="L347" i="2" s="1"/>
  <c r="L348" i="2" a="1"/>
  <c r="L348" i="2" s="1"/>
  <c r="L349" i="2" a="1"/>
  <c r="L349" i="2" s="1"/>
  <c r="L350" i="2" a="1"/>
  <c r="L350" i="2" s="1"/>
  <c r="L351" i="2" a="1"/>
  <c r="L351" i="2" s="1"/>
  <c r="L352" i="2" a="1"/>
  <c r="L352" i="2" s="1"/>
  <c r="L353" i="2" a="1"/>
  <c r="L353" i="2" s="1"/>
  <c r="L354" i="2" a="1"/>
  <c r="L354" i="2"/>
  <c r="L355" i="2" a="1"/>
  <c r="L355" i="2" s="1"/>
  <c r="L356" i="2" a="1"/>
  <c r="L356" i="2" s="1"/>
  <c r="L357" i="2" a="1"/>
  <c r="L357" i="2" s="1"/>
  <c r="L358" i="2" a="1"/>
  <c r="L358" i="2" s="1"/>
  <c r="L359" i="2" a="1"/>
  <c r="L359" i="2" s="1"/>
  <c r="L360" i="2" a="1"/>
  <c r="L360" i="2" s="1"/>
  <c r="L361" i="2" a="1"/>
  <c r="L361" i="2" s="1"/>
  <c r="L362" i="2" a="1"/>
  <c r="L362" i="2" s="1"/>
  <c r="L363" i="2" a="1"/>
  <c r="L363" i="2" s="1"/>
  <c r="L364" i="2" a="1"/>
  <c r="L364" i="2" s="1"/>
  <c r="L365" i="2" a="1"/>
  <c r="L365" i="2" s="1"/>
  <c r="L366" i="2" a="1"/>
  <c r="L366" i="2" s="1"/>
  <c r="L367" i="2" a="1"/>
  <c r="L367" i="2" s="1"/>
  <c r="L368" i="2" a="1"/>
  <c r="L368" i="2" s="1"/>
  <c r="L369" i="2" a="1"/>
  <c r="L369" i="2" s="1"/>
  <c r="L370" i="2" a="1"/>
  <c r="L370" i="2" s="1"/>
  <c r="L371" i="2" a="1"/>
  <c r="L371" i="2" s="1"/>
  <c r="L372" i="2" a="1"/>
  <c r="L372" i="2" s="1"/>
  <c r="L373" i="2" a="1"/>
  <c r="L373" i="2" s="1"/>
  <c r="L374" i="2" a="1"/>
  <c r="L374" i="2"/>
  <c r="L375" i="2" a="1"/>
  <c r="L375" i="2" s="1"/>
  <c r="L376" i="2" a="1"/>
  <c r="L376" i="2" s="1"/>
  <c r="L377" i="2" a="1"/>
  <c r="L377" i="2" s="1"/>
  <c r="L378" i="2" a="1"/>
  <c r="L378" i="2" s="1"/>
  <c r="L379" i="2" a="1"/>
  <c r="L379" i="2" s="1"/>
  <c r="L380" i="2" a="1"/>
  <c r="L380" i="2"/>
  <c r="L381" i="2" a="1"/>
  <c r="L381" i="2" s="1"/>
  <c r="L382" i="2" a="1"/>
  <c r="L382" i="2" s="1"/>
  <c r="L383" i="2" a="1"/>
  <c r="L383" i="2" s="1"/>
  <c r="L384" i="2" a="1"/>
  <c r="L384" i="2" s="1"/>
  <c r="L385" i="2" a="1"/>
  <c r="L385" i="2" s="1"/>
  <c r="L386" i="2" a="1"/>
  <c r="L386" i="2" s="1"/>
  <c r="L387" i="2" a="1"/>
  <c r="L387" i="2" s="1"/>
  <c r="L388" i="2" a="1"/>
  <c r="L388" i="2" s="1"/>
  <c r="L389" i="2" a="1"/>
  <c r="L389" i="2" s="1"/>
  <c r="L390" i="2" a="1"/>
  <c r="L390" i="2" s="1"/>
  <c r="L391" i="2" a="1"/>
  <c r="L391" i="2" s="1"/>
  <c r="L392" i="2" a="1"/>
  <c r="L392" i="2" s="1"/>
  <c r="L393" i="2" a="1"/>
  <c r="L393" i="2" s="1"/>
  <c r="L394" i="2" a="1"/>
  <c r="L394" i="2" s="1"/>
  <c r="L395" i="2" a="1"/>
  <c r="L395" i="2" s="1"/>
  <c r="L396" i="2" a="1"/>
  <c r="L396" i="2" s="1"/>
  <c r="L397" i="2" a="1"/>
  <c r="L397" i="2" s="1"/>
  <c r="L398" i="2" a="1"/>
  <c r="L398" i="2"/>
  <c r="L399" i="2" a="1"/>
  <c r="L399" i="2" s="1"/>
  <c r="L400" i="2" a="1"/>
  <c r="L400" i="2" s="1"/>
  <c r="L401" i="2" a="1"/>
  <c r="L401" i="2" s="1"/>
  <c r="L402" i="2" a="1"/>
  <c r="L402" i="2" s="1"/>
  <c r="L403" i="2" a="1"/>
  <c r="L403" i="2" s="1"/>
  <c r="L404" i="2" a="1"/>
  <c r="L404" i="2"/>
  <c r="L405" i="2" a="1"/>
  <c r="L405" i="2" s="1"/>
  <c r="L406" i="2" a="1"/>
  <c r="L406" i="2" s="1"/>
  <c r="L407" i="2" a="1"/>
  <c r="L407" i="2" s="1"/>
  <c r="L408" i="2" a="1"/>
  <c r="L408" i="2" s="1"/>
  <c r="L409" i="2" a="1"/>
  <c r="L409" i="2" s="1"/>
  <c r="L410" i="2" a="1"/>
  <c r="L410" i="2"/>
  <c r="L411" i="2" a="1"/>
  <c r="L411" i="2" s="1"/>
  <c r="L412" i="2" a="1"/>
  <c r="L412" i="2" s="1"/>
  <c r="L413" i="2" a="1"/>
  <c r="L413" i="2" s="1"/>
  <c r="L414" i="2" a="1"/>
  <c r="L414" i="2" s="1"/>
  <c r="L415" i="2" a="1"/>
  <c r="L415" i="2" s="1"/>
  <c r="L416" i="2" a="1"/>
  <c r="L416" i="2" s="1"/>
  <c r="L417" i="2" a="1"/>
  <c r="L417" i="2" s="1"/>
  <c r="L418" i="2" a="1"/>
  <c r="L418" i="2" s="1"/>
  <c r="L419" i="2" a="1"/>
  <c r="L419" i="2" s="1"/>
  <c r="L420" i="2" a="1"/>
  <c r="L420" i="2" s="1"/>
  <c r="L421" i="2" a="1"/>
  <c r="L421" i="2" s="1"/>
  <c r="L422" i="2" a="1"/>
  <c r="L422" i="2" s="1"/>
  <c r="L423" i="2" a="1"/>
  <c r="L423" i="2" s="1"/>
  <c r="L424" i="2" a="1"/>
  <c r="L424" i="2" s="1"/>
  <c r="L425" i="2" a="1"/>
  <c r="L425" i="2" s="1"/>
  <c r="L426" i="2" a="1"/>
  <c r="L426" i="2"/>
  <c r="L427" i="2" a="1"/>
  <c r="L427" i="2" s="1"/>
  <c r="L428" i="2" a="1"/>
  <c r="L428" i="2" s="1"/>
  <c r="L429" i="2" a="1"/>
  <c r="L429" i="2" s="1"/>
  <c r="L430" i="2" a="1"/>
  <c r="L430" i="2" s="1"/>
  <c r="L431" i="2" a="1"/>
  <c r="L431" i="2" s="1"/>
  <c r="L432" i="2" a="1"/>
  <c r="L432" i="2" s="1"/>
  <c r="L433" i="2" a="1"/>
  <c r="L433" i="2" s="1"/>
  <c r="L434" i="2" a="1"/>
  <c r="L434" i="2" s="1"/>
  <c r="L435" i="2" a="1"/>
  <c r="L435" i="2" s="1"/>
  <c r="L436" i="2" a="1"/>
  <c r="L436" i="2" s="1"/>
  <c r="L437" i="2" a="1"/>
  <c r="L437" i="2" s="1"/>
  <c r="L438" i="2" a="1"/>
  <c r="L438" i="2" s="1"/>
  <c r="L439" i="2" a="1"/>
  <c r="L439" i="2" s="1"/>
  <c r="L440" i="2" a="1"/>
  <c r="L440" i="2" s="1"/>
  <c r="L441" i="2" a="1"/>
  <c r="L441" i="2" s="1"/>
  <c r="L442" i="2" a="1"/>
  <c r="L442" i="2"/>
  <c r="L443" i="2" a="1"/>
  <c r="L443" i="2" s="1"/>
  <c r="L444" i="2" a="1"/>
  <c r="L444" i="2" s="1"/>
  <c r="L445" i="2" a="1"/>
  <c r="L445" i="2" s="1"/>
  <c r="L446" i="2" a="1"/>
  <c r="L446" i="2" s="1"/>
  <c r="L447" i="2" a="1"/>
  <c r="L447" i="2" s="1"/>
  <c r="L448" i="2" a="1"/>
  <c r="L448" i="2" s="1"/>
  <c r="L449" i="2" a="1"/>
  <c r="L449" i="2" s="1"/>
  <c r="L450" i="2" a="1"/>
  <c r="L450" i="2" s="1"/>
  <c r="L451" i="2" a="1"/>
  <c r="L451" i="2" s="1"/>
  <c r="L452" i="2" a="1"/>
  <c r="L452" i="2" s="1"/>
  <c r="L453" i="2" a="1"/>
  <c r="L453" i="2" s="1"/>
  <c r="L454" i="2" a="1"/>
  <c r="L454" i="2" s="1"/>
  <c r="L455" i="2" a="1"/>
  <c r="L455" i="2" s="1"/>
  <c r="L456" i="2" a="1"/>
  <c r="L456" i="2" s="1"/>
  <c r="L457" i="2" a="1"/>
  <c r="L457" i="2" s="1"/>
  <c r="L458" i="2" a="1"/>
  <c r="L458" i="2"/>
  <c r="L459" i="2" a="1"/>
  <c r="L459" i="2" s="1"/>
  <c r="L460" i="2" a="1"/>
  <c r="L460" i="2" s="1"/>
  <c r="L461" i="2" a="1"/>
  <c r="L461" i="2" s="1"/>
  <c r="L462" i="2" a="1"/>
  <c r="L462" i="2" s="1"/>
  <c r="L463" i="2" a="1"/>
  <c r="L463" i="2" s="1"/>
  <c r="L464" i="2" a="1"/>
  <c r="L464" i="2" s="1"/>
  <c r="L465" i="2" a="1"/>
  <c r="L465" i="2" s="1"/>
  <c r="L466" i="2" a="1"/>
  <c r="L466" i="2" s="1"/>
  <c r="L467" i="2" a="1"/>
  <c r="L467" i="2" s="1"/>
  <c r="L468" i="2" a="1"/>
  <c r="L468" i="2" s="1"/>
  <c r="L469" i="2" a="1"/>
  <c r="L469" i="2" s="1"/>
  <c r="L470" i="2" a="1"/>
  <c r="L470" i="2" s="1"/>
  <c r="L471" i="2" a="1"/>
  <c r="L471" i="2" s="1"/>
  <c r="L472" i="2" a="1"/>
  <c r="L472" i="2" s="1"/>
  <c r="L473" i="2" a="1"/>
  <c r="L473" i="2" s="1"/>
  <c r="L474" i="2" a="1"/>
  <c r="L474" i="2"/>
  <c r="L475" i="2" a="1"/>
  <c r="L475" i="2" s="1"/>
  <c r="L476" i="2" a="1"/>
  <c r="L476" i="2" s="1"/>
  <c r="L477" i="2" a="1"/>
  <c r="L477" i="2" s="1"/>
  <c r="L478" i="2" a="1"/>
  <c r="L478" i="2" s="1"/>
  <c r="L479" i="2" a="1"/>
  <c r="L479" i="2" s="1"/>
  <c r="L480" i="2" a="1"/>
  <c r="L480" i="2" s="1"/>
  <c r="L481" i="2" a="1"/>
  <c r="L481" i="2" s="1"/>
  <c r="L482" i="2" a="1"/>
  <c r="L482" i="2"/>
  <c r="L483" i="2" a="1"/>
  <c r="L483" i="2" s="1"/>
  <c r="L484" i="2" a="1"/>
  <c r="L484" i="2" s="1"/>
  <c r="L485" i="2" a="1"/>
  <c r="L485" i="2" s="1"/>
  <c r="L486" i="2" a="1"/>
  <c r="L486" i="2" s="1"/>
  <c r="L487" i="2" a="1"/>
  <c r="L487" i="2" s="1"/>
  <c r="L488" i="2" a="1"/>
  <c r="L488" i="2" s="1"/>
  <c r="L489" i="2" a="1"/>
  <c r="L489" i="2" s="1"/>
  <c r="L490" i="2" a="1"/>
  <c r="L490" i="2"/>
  <c r="L491" i="2" a="1"/>
  <c r="L491" i="2" s="1"/>
  <c r="L492" i="2" a="1"/>
  <c r="L492" i="2" s="1"/>
  <c r="L493" i="2" a="1"/>
  <c r="L493" i="2" s="1"/>
  <c r="L494" i="2" a="1"/>
  <c r="L494" i="2" s="1"/>
  <c r="L495" i="2" a="1"/>
  <c r="L495" i="2" s="1"/>
  <c r="L496" i="2" a="1"/>
  <c r="L496" i="2" s="1"/>
  <c r="L497" i="2" a="1"/>
  <c r="L497" i="2" s="1"/>
  <c r="L498" i="2" a="1"/>
  <c r="L498" i="2"/>
  <c r="L499" i="2" a="1"/>
  <c r="L499" i="2" s="1"/>
  <c r="L500" i="2" a="1"/>
  <c r="L500" i="2" s="1"/>
  <c r="L501" i="2" a="1"/>
  <c r="L501" i="2" s="1"/>
  <c r="L502" i="2" a="1"/>
  <c r="L502" i="2" s="1"/>
  <c r="L503" i="2" a="1"/>
  <c r="L503" i="2" s="1"/>
  <c r="L504" i="2" a="1"/>
  <c r="L504" i="2" s="1"/>
  <c r="L505" i="2" a="1"/>
  <c r="L505" i="2" s="1"/>
  <c r="L506" i="2" a="1"/>
  <c r="L506" i="2"/>
  <c r="L507" i="2" a="1"/>
  <c r="L507" i="2" s="1"/>
  <c r="L508" i="2" a="1"/>
  <c r="L508" i="2" s="1"/>
  <c r="L509" i="2" a="1"/>
  <c r="L509" i="2" s="1"/>
  <c r="L510" i="2" a="1"/>
  <c r="L510" i="2" s="1"/>
  <c r="L511" i="2" a="1"/>
  <c r="L511" i="2" s="1"/>
  <c r="L512" i="2" a="1"/>
  <c r="L512" i="2" s="1"/>
  <c r="L513" i="2" a="1"/>
  <c r="L513" i="2" s="1"/>
  <c r="L514" i="2" a="1"/>
  <c r="L514" i="2"/>
  <c r="L515" i="2" a="1"/>
  <c r="L515" i="2" s="1"/>
  <c r="L516" i="2" a="1"/>
  <c r="L516" i="2" s="1"/>
  <c r="L517" i="2" a="1"/>
  <c r="L517" i="2" s="1"/>
  <c r="L518" i="2" a="1"/>
  <c r="L518" i="2" s="1"/>
  <c r="L519" i="2" a="1"/>
  <c r="L519" i="2" s="1"/>
  <c r="L520" i="2" a="1"/>
  <c r="L520" i="2" s="1"/>
  <c r="L521" i="2" a="1"/>
  <c r="L521" i="2" s="1"/>
  <c r="L522" i="2" a="1"/>
  <c r="L522" i="2"/>
  <c r="L523" i="2" a="1"/>
  <c r="L523" i="2" s="1"/>
  <c r="L524" i="2" a="1"/>
  <c r="L524" i="2" s="1"/>
  <c r="L525" i="2" a="1"/>
  <c r="L525" i="2" s="1"/>
  <c r="L526" i="2" a="1"/>
  <c r="L526" i="2" s="1"/>
  <c r="L527" i="2" a="1"/>
  <c r="L527" i="2" s="1"/>
  <c r="L528" i="2" a="1"/>
  <c r="L528" i="2" s="1"/>
  <c r="L529" i="2" a="1"/>
  <c r="L529" i="2" s="1"/>
  <c r="L530" i="2" a="1"/>
  <c r="L530" i="2"/>
  <c r="L531" i="2" a="1"/>
  <c r="L531" i="2" s="1"/>
  <c r="L532" i="2" a="1"/>
  <c r="L532" i="2" s="1"/>
  <c r="L533" i="2" a="1"/>
  <c r="L533" i="2" s="1"/>
  <c r="L534" i="2" a="1"/>
  <c r="L534" i="2" s="1"/>
  <c r="L535" i="2" a="1"/>
  <c r="L535" i="2" s="1"/>
  <c r="L536" i="2" a="1"/>
  <c r="L536" i="2" s="1"/>
  <c r="L537" i="2" a="1"/>
  <c r="L537" i="2" s="1"/>
  <c r="L538" i="2" a="1"/>
  <c r="L538" i="2"/>
  <c r="L539" i="2" a="1"/>
  <c r="L539" i="2" s="1"/>
  <c r="L540" i="2" a="1"/>
  <c r="L540" i="2" s="1"/>
  <c r="L541" i="2" a="1"/>
  <c r="L541" i="2" s="1"/>
  <c r="L542" i="2" a="1"/>
  <c r="L542" i="2" s="1"/>
  <c r="L543" i="2" a="1"/>
  <c r="L543" i="2" s="1"/>
  <c r="L544" i="2" a="1"/>
  <c r="L544" i="2" s="1"/>
  <c r="L545" i="2" a="1"/>
  <c r="L545" i="2" s="1"/>
  <c r="L546" i="2" a="1"/>
  <c r="L546" i="2"/>
  <c r="L547" i="2" a="1"/>
  <c r="L547" i="2" s="1"/>
  <c r="L548" i="2" a="1"/>
  <c r="L548" i="2" s="1"/>
  <c r="L549" i="2" a="1"/>
  <c r="L549" i="2" s="1"/>
  <c r="L550" i="2" a="1"/>
  <c r="L550" i="2" s="1"/>
  <c r="L551" i="2" a="1"/>
  <c r="L551" i="2" s="1"/>
  <c r="L552" i="2" a="1"/>
  <c r="L552" i="2" s="1"/>
  <c r="L553" i="2" a="1"/>
  <c r="L553" i="2" s="1"/>
  <c r="L554" i="2" a="1"/>
  <c r="L554" i="2"/>
  <c r="L555" i="2" a="1"/>
  <c r="L555" i="2" s="1"/>
  <c r="L556" i="2" a="1"/>
  <c r="L556" i="2" s="1"/>
  <c r="L557" i="2" a="1"/>
  <c r="L557" i="2" s="1"/>
  <c r="L558" i="2" a="1"/>
  <c r="L558" i="2" s="1"/>
  <c r="L559" i="2" a="1"/>
  <c r="L559" i="2" s="1"/>
  <c r="L560" i="2" a="1"/>
  <c r="L560" i="2" s="1"/>
  <c r="L561" i="2" a="1"/>
  <c r="L561" i="2" s="1"/>
  <c r="L562" i="2" a="1"/>
  <c r="L562" i="2"/>
  <c r="L563" i="2" a="1"/>
  <c r="L563" i="2" s="1"/>
  <c r="L564" i="2" a="1"/>
  <c r="L564" i="2" s="1"/>
  <c r="L565" i="2" a="1"/>
  <c r="L565" i="2" s="1"/>
  <c r="L566" i="2" a="1"/>
  <c r="L566" i="2" s="1"/>
  <c r="L567" i="2" a="1"/>
  <c r="L567" i="2" s="1"/>
  <c r="L568" i="2" a="1"/>
  <c r="L568" i="2" s="1"/>
  <c r="L569" i="2" a="1"/>
  <c r="L569" i="2" s="1"/>
  <c r="L570" i="2" a="1"/>
  <c r="L570" i="2"/>
  <c r="L571" i="2" a="1"/>
  <c r="L571" i="2" s="1"/>
  <c r="L572" i="2" a="1"/>
  <c r="L572" i="2" s="1"/>
  <c r="L573" i="2" a="1"/>
  <c r="L573" i="2" s="1"/>
  <c r="L574" i="2" a="1"/>
  <c r="L574" i="2" s="1"/>
  <c r="L575" i="2" a="1"/>
  <c r="L575" i="2" s="1"/>
  <c r="L576" i="2" a="1"/>
  <c r="L576" i="2" s="1"/>
  <c r="L577" i="2" a="1"/>
  <c r="L577" i="2" s="1"/>
  <c r="L578" i="2" a="1"/>
  <c r="L578" i="2"/>
  <c r="L579" i="2" a="1"/>
  <c r="L579" i="2" s="1"/>
  <c r="L580" i="2" a="1"/>
  <c r="L580" i="2" s="1"/>
  <c r="L581" i="2" a="1"/>
  <c r="L581" i="2" s="1"/>
  <c r="L582" i="2" a="1"/>
  <c r="L582" i="2" s="1"/>
  <c r="L583" i="2" a="1"/>
  <c r="L583" i="2" s="1"/>
  <c r="L584" i="2" a="1"/>
  <c r="L584" i="2" s="1"/>
  <c r="L585" i="2" a="1"/>
  <c r="L585" i="2" s="1"/>
  <c r="L586" i="2" a="1"/>
  <c r="L586" i="2"/>
  <c r="L587" i="2" a="1"/>
  <c r="L587" i="2" s="1"/>
  <c r="L588" i="2" a="1"/>
  <c r="L588" i="2" s="1"/>
  <c r="L589" i="2" a="1"/>
  <c r="L589" i="2" s="1"/>
  <c r="L590" i="2" a="1"/>
  <c r="L590" i="2"/>
  <c r="L591" i="2" a="1"/>
  <c r="L591" i="2" s="1"/>
  <c r="L592" i="2" a="1"/>
  <c r="L592" i="2" s="1"/>
  <c r="L593" i="2" a="1"/>
  <c r="L593" i="2" s="1"/>
  <c r="L594" i="2" a="1"/>
  <c r="L594" i="2"/>
  <c r="L595" i="2" a="1"/>
  <c r="L595" i="2" s="1"/>
  <c r="L596" i="2" a="1"/>
  <c r="L596" i="2" s="1"/>
  <c r="L597" i="2" a="1"/>
  <c r="L597" i="2" s="1"/>
  <c r="L598" i="2" a="1"/>
  <c r="L598" i="2"/>
  <c r="L599" i="2" a="1"/>
  <c r="L599" i="2" s="1"/>
  <c r="L600" i="2" a="1"/>
  <c r="L600" i="2" s="1"/>
  <c r="L601" i="2" a="1"/>
  <c r="L601" i="2" s="1"/>
  <c r="L602" i="2" a="1"/>
  <c r="L602" i="2"/>
  <c r="L603" i="2" a="1"/>
  <c r="L603" i="2" s="1"/>
  <c r="L604" i="2" a="1"/>
  <c r="L604" i="2" s="1"/>
  <c r="L605" i="2" a="1"/>
  <c r="L605" i="2" s="1"/>
  <c r="L606" i="2" a="1"/>
  <c r="L606" i="2"/>
  <c r="L607" i="2" a="1"/>
  <c r="L607" i="2" s="1"/>
  <c r="L608" i="2" a="1"/>
  <c r="L608" i="2" s="1"/>
  <c r="L609" i="2" a="1"/>
  <c r="L609" i="2" s="1"/>
  <c r="L610" i="2" a="1"/>
  <c r="L610" i="2"/>
  <c r="L611" i="2" a="1"/>
  <c r="L611" i="2" s="1"/>
  <c r="L612" i="2" a="1"/>
  <c r="L612" i="2" s="1"/>
  <c r="L613" i="2" a="1"/>
  <c r="L613" i="2" s="1"/>
  <c r="L614" i="2" a="1"/>
  <c r="L614" i="2"/>
  <c r="L615" i="2" a="1"/>
  <c r="L615" i="2" s="1"/>
  <c r="L616" i="2" a="1"/>
  <c r="L616" i="2" s="1"/>
  <c r="L617" i="2" a="1"/>
  <c r="L617" i="2" s="1"/>
  <c r="L618" i="2" a="1"/>
  <c r="L618" i="2"/>
  <c r="L619" i="2" a="1"/>
  <c r="L619" i="2" s="1"/>
  <c r="L620" i="2" a="1"/>
  <c r="L620" i="2" s="1"/>
  <c r="L621" i="2" a="1"/>
  <c r="L621" i="2" s="1"/>
  <c r="L622" i="2" a="1"/>
  <c r="L622" i="2"/>
  <c r="L623" i="2" a="1"/>
  <c r="L623" i="2" s="1"/>
  <c r="L624" i="2" a="1"/>
  <c r="L624" i="2" s="1"/>
  <c r="L625" i="2" a="1"/>
  <c r="L625" i="2" s="1"/>
  <c r="L626" i="2" a="1"/>
  <c r="L626" i="2"/>
  <c r="L627" i="2" a="1"/>
  <c r="L627" i="2" s="1"/>
  <c r="L628" i="2" a="1"/>
  <c r="L628" i="2" s="1"/>
  <c r="L629" i="2" a="1"/>
  <c r="L629" i="2" s="1"/>
  <c r="L630" i="2" a="1"/>
  <c r="L630" i="2"/>
  <c r="L631" i="2" a="1"/>
  <c r="L631" i="2" s="1"/>
  <c r="L632" i="2" a="1"/>
  <c r="L632" i="2" s="1"/>
  <c r="L633" i="2" a="1"/>
  <c r="L633" i="2" s="1"/>
  <c r="L634" i="2" a="1"/>
  <c r="L634" i="2"/>
  <c r="L635" i="2" a="1"/>
  <c r="L635" i="2" s="1"/>
  <c r="L636" i="2" a="1"/>
  <c r="L636" i="2" s="1"/>
  <c r="L637" i="2" a="1"/>
  <c r="L637" i="2" s="1"/>
  <c r="L638" i="2" a="1"/>
  <c r="L638" i="2"/>
  <c r="L639" i="2" a="1"/>
  <c r="L639" i="2" s="1"/>
  <c r="L640" i="2" a="1"/>
  <c r="L640" i="2" s="1"/>
  <c r="L641" i="2" a="1"/>
  <c r="L641" i="2" s="1"/>
  <c r="L642" i="2" a="1"/>
  <c r="L642" i="2"/>
  <c r="L643" i="2" a="1"/>
  <c r="L643" i="2" s="1"/>
  <c r="L644" i="2" a="1"/>
  <c r="L644" i="2" s="1"/>
  <c r="L645" i="2" a="1"/>
  <c r="L645" i="2" s="1"/>
  <c r="L646" i="2" a="1"/>
  <c r="L646" i="2"/>
  <c r="L647" i="2" a="1"/>
  <c r="L647" i="2" s="1"/>
  <c r="L648" i="2" a="1"/>
  <c r="L648" i="2" s="1"/>
  <c r="L649" i="2" a="1"/>
  <c r="L649" i="2" s="1"/>
  <c r="L650" i="2" a="1"/>
  <c r="L650" i="2"/>
  <c r="L651" i="2" a="1"/>
  <c r="L651" i="2" s="1"/>
  <c r="L652" i="2" a="1"/>
  <c r="L652" i="2" s="1"/>
  <c r="L653" i="2" a="1"/>
  <c r="L653" i="2" s="1"/>
  <c r="L654" i="2" a="1"/>
  <c r="L654" i="2"/>
  <c r="L655" i="2" a="1"/>
  <c r="L655" i="2" s="1"/>
  <c r="L656" i="2" a="1"/>
  <c r="L656" i="2" s="1"/>
  <c r="L657" i="2" a="1"/>
  <c r="L657" i="2" s="1"/>
  <c r="L658" i="2" a="1"/>
  <c r="L658" i="2"/>
  <c r="L659" i="2" a="1"/>
  <c r="L659" i="2" s="1"/>
  <c r="L660" i="2" a="1"/>
  <c r="L660" i="2" s="1"/>
  <c r="L661" i="2" a="1"/>
  <c r="L661" i="2" s="1"/>
  <c r="L662" i="2" a="1"/>
  <c r="L662" i="2"/>
  <c r="L663" i="2" a="1"/>
  <c r="L663" i="2" s="1"/>
  <c r="L664" i="2" a="1"/>
  <c r="L664" i="2" s="1"/>
  <c r="L665" i="2" a="1"/>
  <c r="L665" i="2" s="1"/>
  <c r="L666" i="2" a="1"/>
  <c r="L666" i="2"/>
  <c r="L667" i="2" a="1"/>
  <c r="L667" i="2" s="1"/>
  <c r="L668" i="2" a="1"/>
  <c r="L668" i="2" s="1"/>
  <c r="L669" i="2" a="1"/>
  <c r="L669" i="2" s="1"/>
  <c r="L670" i="2" a="1"/>
  <c r="L670" i="2"/>
  <c r="L671" i="2" a="1"/>
  <c r="L671" i="2" s="1"/>
  <c r="L672" i="2" a="1"/>
  <c r="L672" i="2" s="1"/>
  <c r="L673" i="2" a="1"/>
  <c r="L673" i="2" s="1"/>
  <c r="L674" i="2" a="1"/>
  <c r="L674" i="2"/>
  <c r="L675" i="2" a="1"/>
  <c r="L675" i="2" s="1"/>
  <c r="L676" i="2" a="1"/>
  <c r="L676" i="2" s="1"/>
  <c r="L677" i="2" a="1"/>
  <c r="L677" i="2" s="1"/>
  <c r="L678" i="2" a="1"/>
  <c r="L678" i="2"/>
  <c r="L679" i="2" a="1"/>
  <c r="L679" i="2" s="1"/>
  <c r="L680" i="2" a="1"/>
  <c r="L680" i="2" s="1"/>
  <c r="L681" i="2" a="1"/>
  <c r="L681" i="2" s="1"/>
  <c r="L682" i="2" a="1"/>
  <c r="L682" i="2"/>
  <c r="L683" i="2" a="1"/>
  <c r="L683" i="2" s="1"/>
  <c r="L684" i="2" a="1"/>
  <c r="L684" i="2" s="1"/>
  <c r="L685" i="2" a="1"/>
  <c r="L685" i="2" s="1"/>
  <c r="L686" i="2" a="1"/>
  <c r="L686" i="2"/>
  <c r="L687" i="2" a="1"/>
  <c r="L687" i="2" s="1"/>
  <c r="L688" i="2" a="1"/>
  <c r="L688" i="2" s="1"/>
  <c r="L689" i="2" a="1"/>
  <c r="L689" i="2" s="1"/>
  <c r="L690" i="2" a="1"/>
  <c r="L690" i="2"/>
  <c r="L691" i="2" a="1"/>
  <c r="L691" i="2" s="1"/>
  <c r="L692" i="2" a="1"/>
  <c r="L692" i="2" s="1"/>
  <c r="L693" i="2" a="1"/>
  <c r="L693" i="2" s="1"/>
  <c r="L694" i="2" a="1"/>
  <c r="L694" i="2"/>
  <c r="L695" i="2" a="1"/>
  <c r="L695" i="2" s="1"/>
  <c r="L696" i="2" a="1"/>
  <c r="L696" i="2" s="1"/>
  <c r="L697" i="2" a="1"/>
  <c r="L697" i="2" s="1"/>
  <c r="L698" i="2" a="1"/>
  <c r="L698" i="2"/>
  <c r="L699" i="2" a="1"/>
  <c r="L699" i="2" s="1"/>
  <c r="L700" i="2" a="1"/>
  <c r="L700" i="2" s="1"/>
  <c r="L701" i="2" a="1"/>
  <c r="L701" i="2" s="1"/>
  <c r="L702" i="2" a="1"/>
  <c r="L702" i="2"/>
  <c r="L703" i="2" a="1"/>
  <c r="L703" i="2" s="1"/>
  <c r="L704" i="2" a="1"/>
  <c r="L704" i="2" s="1"/>
  <c r="L705" i="2" a="1"/>
  <c r="L705" i="2" s="1"/>
  <c r="L706" i="2" a="1"/>
  <c r="L706" i="2"/>
  <c r="L707" i="2" a="1"/>
  <c r="L707" i="2" s="1"/>
  <c r="L708" i="2" a="1"/>
  <c r="L708" i="2" s="1"/>
  <c r="L709" i="2" a="1"/>
  <c r="L709" i="2" s="1"/>
  <c r="L710" i="2" a="1"/>
  <c r="L710" i="2"/>
  <c r="L711" i="2" a="1"/>
  <c r="L711" i="2" s="1"/>
  <c r="L712" i="2" a="1"/>
  <c r="L712" i="2" s="1"/>
  <c r="L713" i="2" a="1"/>
  <c r="L713" i="2" s="1"/>
  <c r="L714" i="2" a="1"/>
  <c r="L714" i="2"/>
  <c r="L715" i="2" a="1"/>
  <c r="L715" i="2" s="1"/>
  <c r="L716" i="2" a="1"/>
  <c r="L716" i="2" s="1"/>
  <c r="L717" i="2" a="1"/>
  <c r="L717" i="2" s="1"/>
  <c r="L718" i="2" a="1"/>
  <c r="L718" i="2"/>
  <c r="L719" i="2" a="1"/>
  <c r="L719" i="2" s="1"/>
  <c r="L720" i="2" a="1"/>
  <c r="L720" i="2" s="1"/>
  <c r="L721" i="2" a="1"/>
  <c r="L721" i="2" s="1"/>
  <c r="L722" i="2" a="1"/>
  <c r="L722" i="2"/>
  <c r="L723" i="2" a="1"/>
  <c r="L723" i="2" s="1"/>
  <c r="L724" i="2" a="1"/>
  <c r="L724" i="2" s="1"/>
  <c r="L725" i="2" a="1"/>
  <c r="L725" i="2" s="1"/>
  <c r="L726" i="2" a="1"/>
  <c r="L726" i="2"/>
  <c r="L727" i="2" a="1"/>
  <c r="L727" i="2" s="1"/>
  <c r="L728" i="2" a="1"/>
  <c r="L728" i="2" s="1"/>
  <c r="L729" i="2" a="1"/>
  <c r="L729" i="2" s="1"/>
  <c r="L730" i="2" a="1"/>
  <c r="L730" i="2"/>
  <c r="L731" i="2" a="1"/>
  <c r="L731" i="2" s="1"/>
  <c r="L732" i="2" a="1"/>
  <c r="L732" i="2" s="1"/>
  <c r="L733" i="2" a="1"/>
  <c r="L733" i="2" s="1"/>
  <c r="L734" i="2" a="1"/>
  <c r="L734" i="2"/>
  <c r="L735" i="2" a="1"/>
  <c r="L735" i="2" s="1"/>
  <c r="L736" i="2" a="1"/>
  <c r="L736" i="2" s="1"/>
  <c r="L737" i="2" a="1"/>
  <c r="L737" i="2" s="1"/>
  <c r="L738" i="2" a="1"/>
  <c r="L738" i="2"/>
  <c r="L739" i="2" a="1"/>
  <c r="L739" i="2" s="1"/>
  <c r="L740" i="2" a="1"/>
  <c r="L740" i="2" s="1"/>
  <c r="L741" i="2" a="1"/>
  <c r="L741" i="2" s="1"/>
  <c r="L742" i="2" a="1"/>
  <c r="L742" i="2"/>
  <c r="L743" i="2" a="1"/>
  <c r="L743" i="2" s="1"/>
  <c r="L744" i="2" a="1"/>
  <c r="L744" i="2" s="1"/>
  <c r="L745" i="2" a="1"/>
  <c r="L745" i="2" s="1"/>
  <c r="L746" i="2" a="1"/>
  <c r="L746" i="2"/>
  <c r="L747" i="2" a="1"/>
  <c r="L747" i="2" s="1"/>
  <c r="L748" i="2" a="1"/>
  <c r="L748" i="2" s="1"/>
  <c r="L749" i="2" a="1"/>
  <c r="L749" i="2" s="1"/>
  <c r="L750" i="2" a="1"/>
  <c r="L750" i="2"/>
  <c r="L751" i="2" a="1"/>
  <c r="L751" i="2" s="1"/>
  <c r="L752" i="2" a="1"/>
  <c r="L752" i="2" s="1"/>
  <c r="L753" i="2" a="1"/>
  <c r="L753" i="2" s="1"/>
  <c r="L754" i="2" a="1"/>
  <c r="L754" i="2"/>
  <c r="L755" i="2" a="1"/>
  <c r="L755" i="2" s="1"/>
  <c r="L756" i="2" a="1"/>
  <c r="L756" i="2" s="1"/>
  <c r="L757" i="2" a="1"/>
  <c r="L757" i="2" s="1"/>
  <c r="L758" i="2" a="1"/>
  <c r="L758" i="2"/>
  <c r="L759" i="2" a="1"/>
  <c r="L759" i="2" s="1"/>
  <c r="L760" i="2" a="1"/>
  <c r="L760" i="2" s="1"/>
  <c r="L761" i="2" a="1"/>
  <c r="L761" i="2" s="1"/>
  <c r="L762" i="2" a="1"/>
  <c r="L762" i="2"/>
  <c r="L763" i="2" a="1"/>
  <c r="L763" i="2" s="1"/>
  <c r="L764" i="2" a="1"/>
  <c r="L764" i="2" s="1"/>
  <c r="L765" i="2" a="1"/>
  <c r="L765" i="2" s="1"/>
  <c r="L766" i="2" a="1"/>
  <c r="L766" i="2"/>
  <c r="L767" i="2" a="1"/>
  <c r="L767" i="2" s="1"/>
  <c r="L768" i="2" a="1"/>
  <c r="L768" i="2" s="1"/>
  <c r="L769" i="2" a="1"/>
  <c r="L769" i="2" s="1"/>
  <c r="L770" i="2" a="1"/>
  <c r="L770" i="2"/>
  <c r="L771" i="2" a="1"/>
  <c r="L771" i="2" s="1"/>
  <c r="L772" i="2" a="1"/>
  <c r="L772" i="2" s="1"/>
  <c r="L773" i="2" a="1"/>
  <c r="L773" i="2" s="1"/>
  <c r="L774" i="2" a="1"/>
  <c r="L774" i="2"/>
  <c r="L775" i="2" a="1"/>
  <c r="L775" i="2" s="1"/>
  <c r="L776" i="2" a="1"/>
  <c r="L776" i="2" s="1"/>
  <c r="L777" i="2" a="1"/>
  <c r="L777" i="2" s="1"/>
  <c r="L778" i="2" a="1"/>
  <c r="L778" i="2"/>
  <c r="L779" i="2" a="1"/>
  <c r="L779" i="2" s="1"/>
  <c r="L780" i="2" a="1"/>
  <c r="L780" i="2" s="1"/>
  <c r="L781" i="2" a="1"/>
  <c r="L781" i="2" s="1"/>
  <c r="L782" i="2" a="1"/>
  <c r="L782" i="2"/>
  <c r="L783" i="2" a="1"/>
  <c r="L783" i="2" s="1"/>
  <c r="L784" i="2" a="1"/>
  <c r="L784" i="2" s="1"/>
  <c r="L785" i="2" a="1"/>
  <c r="L785" i="2" s="1"/>
  <c r="L786" i="2" a="1"/>
  <c r="L786" i="2"/>
  <c r="L787" i="2" a="1"/>
  <c r="L787" i="2" s="1"/>
  <c r="L788" i="2" a="1"/>
  <c r="L788" i="2" s="1"/>
  <c r="L789" i="2" a="1"/>
  <c r="L789" i="2" s="1"/>
  <c r="L790" i="2" a="1"/>
  <c r="L790" i="2"/>
  <c r="L791" i="2" a="1"/>
  <c r="L791" i="2" s="1"/>
  <c r="L792" i="2" a="1"/>
  <c r="L792" i="2" s="1"/>
  <c r="L793" i="2" a="1"/>
  <c r="L793" i="2" s="1"/>
  <c r="L794" i="2" a="1"/>
  <c r="L794" i="2"/>
  <c r="L795" i="2" a="1"/>
  <c r="L795" i="2" s="1"/>
  <c r="L796" i="2" a="1"/>
  <c r="L796" i="2" s="1"/>
  <c r="L797" i="2" a="1"/>
  <c r="L797" i="2" s="1"/>
  <c r="L798" i="2" a="1"/>
  <c r="L798" i="2"/>
  <c r="L799" i="2" a="1"/>
  <c r="L799" i="2" s="1"/>
  <c r="L800" i="2" a="1"/>
  <c r="L800" i="2" s="1"/>
  <c r="L801" i="2" a="1"/>
  <c r="L801" i="2" s="1"/>
  <c r="L802" i="2" a="1"/>
  <c r="L802" i="2"/>
  <c r="L803" i="2" a="1"/>
  <c r="L803" i="2" s="1"/>
  <c r="L804" i="2" a="1"/>
  <c r="L804" i="2" s="1"/>
  <c r="L805" i="2" a="1"/>
  <c r="L805" i="2" s="1"/>
  <c r="L806" i="2" a="1"/>
  <c r="L806" i="2"/>
  <c r="L807" i="2" a="1"/>
  <c r="L807" i="2" s="1"/>
  <c r="L808" i="2" a="1"/>
  <c r="L808" i="2" s="1"/>
  <c r="L809" i="2" a="1"/>
  <c r="L809" i="2" s="1"/>
  <c r="L810" i="2" a="1"/>
  <c r="L810" i="2"/>
  <c r="L811" i="2" a="1"/>
  <c r="L811" i="2" s="1"/>
  <c r="L812" i="2" a="1"/>
  <c r="L812" i="2" s="1"/>
  <c r="L813" i="2" a="1"/>
  <c r="L813" i="2" s="1"/>
  <c r="L814" i="2" a="1"/>
  <c r="L814" i="2"/>
  <c r="L815" i="2" a="1"/>
  <c r="L815" i="2" s="1"/>
  <c r="L816" i="2" a="1"/>
  <c r="L816" i="2" s="1"/>
  <c r="L817" i="2" a="1"/>
  <c r="L817" i="2" s="1"/>
  <c r="L818" i="2" a="1"/>
  <c r="L818" i="2"/>
  <c r="L819" i="2" a="1"/>
  <c r="L819" i="2" s="1"/>
  <c r="L820" i="2" a="1"/>
  <c r="L820" i="2" s="1"/>
  <c r="L821" i="2" a="1"/>
  <c r="L821" i="2" s="1"/>
  <c r="L822" i="2" a="1"/>
  <c r="L822" i="2"/>
  <c r="L823" i="2" a="1"/>
  <c r="L823" i="2" s="1"/>
  <c r="L824" i="2" a="1"/>
  <c r="L824" i="2" s="1"/>
  <c r="L825" i="2" a="1"/>
  <c r="L825" i="2" s="1"/>
  <c r="L826" i="2" a="1"/>
  <c r="L826" i="2"/>
  <c r="L827" i="2" a="1"/>
  <c r="L827" i="2" s="1"/>
  <c r="L828" i="2" a="1"/>
  <c r="L828" i="2" s="1"/>
  <c r="L829" i="2" a="1"/>
  <c r="L829" i="2" s="1"/>
  <c r="L830" i="2" a="1"/>
  <c r="L830" i="2"/>
  <c r="L831" i="2" a="1"/>
  <c r="L831" i="2" s="1"/>
  <c r="L832" i="2" a="1"/>
  <c r="L832" i="2" s="1"/>
  <c r="L833" i="2" a="1"/>
  <c r="L833" i="2" s="1"/>
  <c r="L834" i="2" a="1"/>
  <c r="L834" i="2"/>
  <c r="L835" i="2" a="1"/>
  <c r="L835" i="2" s="1"/>
  <c r="L836" i="2" a="1"/>
  <c r="L836" i="2" s="1"/>
  <c r="L837" i="2" a="1"/>
  <c r="L837" i="2" s="1"/>
  <c r="L838" i="2" a="1"/>
  <c r="L838" i="2"/>
  <c r="L839" i="2" a="1"/>
  <c r="L839" i="2" s="1"/>
  <c r="L840" i="2" a="1"/>
  <c r="L840" i="2" s="1"/>
  <c r="L841" i="2" a="1"/>
  <c r="L841" i="2" s="1"/>
  <c r="L842" i="2" a="1"/>
  <c r="L842" i="2"/>
  <c r="L843" i="2" a="1"/>
  <c r="L843" i="2" s="1"/>
  <c r="L844" i="2" a="1"/>
  <c r="L844" i="2" s="1"/>
  <c r="L845" i="2" a="1"/>
  <c r="L845" i="2" s="1"/>
  <c r="L846" i="2" a="1"/>
  <c r="L846" i="2"/>
  <c r="L847" i="2" a="1"/>
  <c r="L847" i="2" s="1"/>
  <c r="L848" i="2" a="1"/>
  <c r="L848" i="2" s="1"/>
  <c r="L849" i="2" a="1"/>
  <c r="L849" i="2" s="1"/>
  <c r="L850" i="2" a="1"/>
  <c r="L850" i="2"/>
  <c r="L851" i="2" a="1"/>
  <c r="L851" i="2" s="1"/>
  <c r="L852" i="2" a="1"/>
  <c r="L852" i="2" s="1"/>
  <c r="L853" i="2" a="1"/>
  <c r="L853" i="2" s="1"/>
  <c r="L854" i="2" a="1"/>
  <c r="L854" i="2"/>
  <c r="L855" i="2" a="1"/>
  <c r="L855" i="2" s="1"/>
  <c r="L856" i="2" a="1"/>
  <c r="L856" i="2" s="1"/>
  <c r="L857" i="2" a="1"/>
  <c r="L857" i="2" s="1"/>
  <c r="L858" i="2" a="1"/>
  <c r="L858" i="2"/>
  <c r="L859" i="2" a="1"/>
  <c r="L859" i="2" s="1"/>
  <c r="L860" i="2" a="1"/>
  <c r="L860" i="2" s="1"/>
  <c r="L861" i="2" a="1"/>
  <c r="L861" i="2" s="1"/>
  <c r="L862" i="2" a="1"/>
  <c r="L862" i="2"/>
  <c r="L863" i="2" a="1"/>
  <c r="L863" i="2" s="1"/>
  <c r="L864" i="2" a="1"/>
  <c r="L864" i="2" s="1"/>
  <c r="L865" i="2" a="1"/>
  <c r="L865" i="2" s="1"/>
  <c r="L866" i="2" a="1"/>
  <c r="L866" i="2"/>
  <c r="L867" i="2" a="1"/>
  <c r="L867" i="2" s="1"/>
  <c r="L868" i="2" a="1"/>
  <c r="L868" i="2" s="1"/>
  <c r="L869" i="2" a="1"/>
  <c r="L869" i="2" s="1"/>
  <c r="L870" i="2" a="1"/>
  <c r="L870" i="2"/>
  <c r="L871" i="2" a="1"/>
  <c r="L871" i="2" s="1"/>
  <c r="L872" i="2" a="1"/>
  <c r="L872" i="2" s="1"/>
  <c r="L873" i="2" a="1"/>
  <c r="L873" i="2" s="1"/>
  <c r="L874" i="2" a="1"/>
  <c r="L874" i="2"/>
  <c r="L875" i="2" a="1"/>
  <c r="L875" i="2" s="1"/>
  <c r="L876" i="2" a="1"/>
  <c r="L876" i="2" s="1"/>
  <c r="L877" i="2" a="1"/>
  <c r="L877" i="2" s="1"/>
  <c r="L878" i="2" a="1"/>
  <c r="L878" i="2"/>
  <c r="L879" i="2" a="1"/>
  <c r="L879" i="2" s="1"/>
  <c r="L880" i="2" a="1"/>
  <c r="L880" i="2" s="1"/>
  <c r="L881" i="2" a="1"/>
  <c r="L881" i="2" s="1"/>
  <c r="L882" i="2" a="1"/>
  <c r="L882" i="2"/>
  <c r="L883" i="2" a="1"/>
  <c r="L883" i="2" s="1"/>
  <c r="L884" i="2" a="1"/>
  <c r="L884" i="2" s="1"/>
  <c r="L885" i="2" a="1"/>
  <c r="L885" i="2" s="1"/>
  <c r="L886" i="2" a="1"/>
  <c r="L886" i="2"/>
  <c r="L887" i="2" a="1"/>
  <c r="L887" i="2" s="1"/>
  <c r="L888" i="2" a="1"/>
  <c r="L888" i="2" s="1"/>
  <c r="L889" i="2" a="1"/>
  <c r="L889" i="2" s="1"/>
  <c r="L890" i="2" a="1"/>
  <c r="L890" i="2"/>
  <c r="L891" i="2" a="1"/>
  <c r="L891" i="2" s="1"/>
  <c r="L892" i="2" a="1"/>
  <c r="L892" i="2" s="1"/>
  <c r="L893" i="2" a="1"/>
  <c r="L893" i="2" s="1"/>
  <c r="L894" i="2" a="1"/>
  <c r="L894" i="2"/>
  <c r="L895" i="2" a="1"/>
  <c r="L895" i="2" s="1"/>
  <c r="L896" i="2" a="1"/>
  <c r="L896" i="2" s="1"/>
  <c r="L897" i="2" a="1"/>
  <c r="L897" i="2" s="1"/>
  <c r="L898" i="2" a="1"/>
  <c r="L898" i="2"/>
  <c r="L899" i="2" a="1"/>
  <c r="L899" i="2" s="1"/>
  <c r="L900" i="2" a="1"/>
  <c r="L900" i="2" s="1"/>
  <c r="L901" i="2" a="1"/>
  <c r="L901" i="2" s="1"/>
  <c r="L902" i="2" a="1"/>
  <c r="L902" i="2"/>
  <c r="L903" i="2" a="1"/>
  <c r="L903" i="2" s="1"/>
  <c r="L904" i="2" a="1"/>
  <c r="L904" i="2" s="1"/>
  <c r="L905" i="2" a="1"/>
  <c r="L905" i="2" s="1"/>
  <c r="L906" i="2" a="1"/>
  <c r="L906" i="2"/>
  <c r="L907" i="2" a="1"/>
  <c r="L907" i="2" s="1"/>
  <c r="L908" i="2" a="1"/>
  <c r="L908" i="2"/>
  <c r="L909" i="2" a="1"/>
  <c r="L909" i="2" s="1"/>
  <c r="L910" i="2" a="1"/>
  <c r="L910" i="2"/>
  <c r="L911" i="2" a="1"/>
  <c r="L911" i="2" s="1"/>
  <c r="L912" i="2" a="1"/>
  <c r="L912" i="2" s="1"/>
  <c r="L913" i="2" a="1"/>
  <c r="L913" i="2" s="1"/>
  <c r="L914" i="2" a="1"/>
  <c r="L914" i="2"/>
  <c r="L915" i="2" a="1"/>
  <c r="L915" i="2" s="1"/>
  <c r="L916" i="2" a="1"/>
  <c r="L916" i="2" s="1"/>
  <c r="L917" i="2" a="1"/>
  <c r="L917" i="2" s="1"/>
  <c r="L918" i="2" a="1"/>
  <c r="L918" i="2"/>
  <c r="L919" i="2" a="1"/>
  <c r="L919" i="2" s="1"/>
  <c r="L920" i="2" a="1"/>
  <c r="L920" i="2"/>
  <c r="L921" i="2" a="1"/>
  <c r="L921" i="2" s="1"/>
  <c r="L922" i="2" a="1"/>
  <c r="L922" i="2"/>
  <c r="L923" i="2" a="1"/>
  <c r="L923" i="2" s="1"/>
  <c r="L924" i="2" a="1"/>
  <c r="L924" i="2" s="1"/>
  <c r="L925" i="2" a="1"/>
  <c r="L925" i="2" s="1"/>
  <c r="L926" i="2" a="1"/>
  <c r="L926" i="2"/>
  <c r="L927" i="2" a="1"/>
  <c r="L927" i="2" s="1"/>
  <c r="L928" i="2" a="1"/>
  <c r="L928" i="2"/>
  <c r="L929" i="2" a="1"/>
  <c r="L929" i="2" s="1"/>
  <c r="L930" i="2" a="1"/>
  <c r="L930" i="2"/>
  <c r="L931" i="2" a="1"/>
  <c r="L931" i="2" s="1"/>
  <c r="L932" i="2" a="1"/>
  <c r="L932" i="2" s="1"/>
  <c r="L933" i="2" a="1"/>
  <c r="L933" i="2" s="1"/>
  <c r="L934" i="2" a="1"/>
  <c r="L934" i="2"/>
  <c r="L935" i="2" a="1"/>
  <c r="L935" i="2" s="1"/>
  <c r="L936" i="2" a="1"/>
  <c r="L936" i="2"/>
  <c r="L937" i="2" a="1"/>
  <c r="L937" i="2" s="1"/>
  <c r="L938" i="2" a="1"/>
  <c r="L938" i="2"/>
  <c r="L939" i="2" a="1"/>
  <c r="L939" i="2" s="1"/>
  <c r="L940" i="2" a="1"/>
  <c r="L940" i="2" s="1"/>
  <c r="L941" i="2" a="1"/>
  <c r="L941" i="2" s="1"/>
  <c r="L942" i="2" a="1"/>
  <c r="L942" i="2"/>
  <c r="L943" i="2" a="1"/>
  <c r="L943" i="2" s="1"/>
  <c r="L944" i="2" a="1"/>
  <c r="L944" i="2"/>
  <c r="L945" i="2" a="1"/>
  <c r="L945" i="2" s="1"/>
  <c r="L946" i="2" a="1"/>
  <c r="L946" i="2"/>
  <c r="L947" i="2" a="1"/>
  <c r="L947" i="2" s="1"/>
  <c r="L948" i="2" a="1"/>
  <c r="L948" i="2" s="1"/>
  <c r="L949" i="2" a="1"/>
  <c r="L949" i="2" s="1"/>
  <c r="L950" i="2" a="1"/>
  <c r="L950" i="2"/>
  <c r="L951" i="2" a="1"/>
  <c r="L951" i="2" s="1"/>
  <c r="L952" i="2" a="1"/>
  <c r="L952" i="2"/>
  <c r="L953" i="2" a="1"/>
  <c r="L953" i="2" s="1"/>
  <c r="L954" i="2" a="1"/>
  <c r="L954" i="2"/>
  <c r="L955" i="2" a="1"/>
  <c r="L955" i="2" s="1"/>
  <c r="L956" i="2" a="1"/>
  <c r="L956" i="2" s="1"/>
  <c r="L957" i="2" a="1"/>
  <c r="L957" i="2" s="1"/>
  <c r="L958" i="2" a="1"/>
  <c r="L958" i="2"/>
  <c r="L959" i="2" a="1"/>
  <c r="L959" i="2" s="1"/>
  <c r="L960" i="2" a="1"/>
  <c r="L960" i="2"/>
  <c r="L961" i="2" a="1"/>
  <c r="L961" i="2" s="1"/>
  <c r="L962" i="2" a="1"/>
  <c r="L962" i="2"/>
  <c r="L963" i="2" a="1"/>
  <c r="L963" i="2" s="1"/>
  <c r="L964" i="2" a="1"/>
  <c r="L964" i="2" s="1"/>
  <c r="L965" i="2" a="1"/>
  <c r="L965" i="2" s="1"/>
  <c r="L966" i="2" a="1"/>
  <c r="L966" i="2"/>
  <c r="L967" i="2" a="1"/>
  <c r="L967" i="2" s="1"/>
  <c r="L968" i="2" a="1"/>
  <c r="L968" i="2"/>
  <c r="L969" i="2" a="1"/>
  <c r="L969" i="2" s="1"/>
  <c r="L970" i="2" a="1"/>
  <c r="L970" i="2"/>
  <c r="L971" i="2" a="1"/>
  <c r="L971" i="2" s="1"/>
  <c r="L972" i="2" a="1"/>
  <c r="L972" i="2" s="1"/>
  <c r="L973" i="2" a="1"/>
  <c r="L973" i="2" s="1"/>
  <c r="L974" i="2" a="1"/>
  <c r="L974" i="2"/>
  <c r="L975" i="2" a="1"/>
  <c r="L975" i="2" s="1"/>
  <c r="L976" i="2" a="1"/>
  <c r="L976" i="2"/>
  <c r="L977" i="2" a="1"/>
  <c r="L977" i="2" s="1"/>
  <c r="L978" i="2" a="1"/>
  <c r="L978" i="2"/>
  <c r="L979" i="2" a="1"/>
  <c r="L979" i="2" s="1"/>
  <c r="L980" i="2" a="1"/>
  <c r="L980" i="2" s="1"/>
  <c r="L981" i="2" a="1"/>
  <c r="L981" i="2" s="1"/>
  <c r="L982" i="2" a="1"/>
  <c r="L982" i="2"/>
  <c r="L983" i="2" a="1"/>
  <c r="L983" i="2" s="1"/>
  <c r="L984" i="2" a="1"/>
  <c r="L984" i="2"/>
  <c r="L985" i="2" a="1"/>
  <c r="L985" i="2" s="1"/>
  <c r="L986" i="2" a="1"/>
  <c r="L986" i="2"/>
  <c r="L987" i="2" a="1"/>
  <c r="L987" i="2" s="1"/>
  <c r="L988" i="2" a="1"/>
  <c r="L988" i="2" s="1"/>
  <c r="L989" i="2" a="1"/>
  <c r="L989" i="2" s="1"/>
  <c r="L990" i="2" a="1"/>
  <c r="L990" i="2"/>
  <c r="L991" i="2" a="1"/>
  <c r="L991" i="2" s="1"/>
  <c r="L992" i="2" a="1"/>
  <c r="L992" i="2"/>
  <c r="L993" i="2" a="1"/>
  <c r="L993" i="2" s="1"/>
  <c r="L994" i="2" a="1"/>
  <c r="L994" i="2"/>
  <c r="L995" i="2" a="1"/>
  <c r="L995" i="2" s="1"/>
  <c r="L996" i="2" a="1"/>
  <c r="L996" i="2" s="1"/>
  <c r="L997" i="2" a="1"/>
  <c r="L997" i="2" s="1"/>
  <c r="L998" i="2" a="1"/>
  <c r="L998" i="2"/>
  <c r="L999" i="2" a="1"/>
  <c r="L999" i="2" s="1"/>
  <c r="L1000" i="2" a="1"/>
  <c r="L1000" i="2"/>
  <c r="L1001" i="2" a="1"/>
  <c r="L1001" i="2"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4EC0DBB-0C23-402F-831D-D2FDA26A1FEF}" keepAlive="1" name="Query - bike_buyers" description="Connection to the 'bike_buyers' query in the workbook." type="5" refreshedVersion="8" background="1" saveData="1">
    <dbPr connection="Provider=Microsoft.Mashup.OleDb.1;Data Source=$Workbook$;Location=bike_buyers;Extended Properties=&quot;&quot;" command="SELECT * FROM [bike_buyers]"/>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<sst xmlns="http://schemas.openxmlformats.org/spreadsheetml/2006/main" count="8082" uniqueCount="50">
  <si>
    <t>ID</t>
  </si>
  <si>
    <t>Marital Status</t>
  </si>
  <si>
    <t>Gender</t>
  </si>
  <si>
    <t>Income</t>
  </si>
  <si>
    <t>Children</t>
  </si>
  <si>
    <t>Education</t>
  </si>
  <si>
    <t>Occupation</t>
  </si>
  <si>
    <t>Home Owner</t>
  </si>
  <si>
    <t>Cars</t>
  </si>
  <si>
    <t>Commute Distance</t>
  </si>
  <si>
    <t>Region</t>
  </si>
  <si>
    <t>Age</t>
  </si>
  <si>
    <t>Purchased Bike</t>
  </si>
  <si>
    <t>Married</t>
  </si>
  <si>
    <t>Female</t>
  </si>
  <si>
    <t>Bachelors</t>
  </si>
  <si>
    <t>Skilled Manual</t>
  </si>
  <si>
    <t>Yes</t>
  </si>
  <si>
    <t>0-1 Miles</t>
  </si>
  <si>
    <t>Europe</t>
  </si>
  <si>
    <t>No</t>
  </si>
  <si>
    <t>Male</t>
  </si>
  <si>
    <t>Partial College</t>
  </si>
  <si>
    <t>Clerical</t>
  </si>
  <si>
    <t>Professional</t>
  </si>
  <si>
    <t>2-5 Miles</t>
  </si>
  <si>
    <t>Single</t>
  </si>
  <si>
    <t>5-10 Miles</t>
  </si>
  <si>
    <t>Pacific</t>
  </si>
  <si>
    <t>Manual</t>
  </si>
  <si>
    <t>1-2 Miles</t>
  </si>
  <si>
    <t>High School</t>
  </si>
  <si>
    <t>Management</t>
  </si>
  <si>
    <t>Partial High School</t>
  </si>
  <si>
    <t>Graduate Degree</t>
  </si>
  <si>
    <t>North America</t>
  </si>
  <si>
    <t>age categories</t>
  </si>
  <si>
    <t>Grand Total</t>
  </si>
  <si>
    <t>Count of Purchased Bike</t>
  </si>
  <si>
    <t xml:space="preserve">mature adult </t>
  </si>
  <si>
    <t>Count of Commute Distance</t>
  </si>
  <si>
    <t>more than 10 Miles</t>
  </si>
  <si>
    <t>Row Labels</t>
  </si>
  <si>
    <t>Column Labels</t>
  </si>
  <si>
    <t>Count of Purchased bike that are home owner</t>
  </si>
  <si>
    <t>adults</t>
  </si>
  <si>
    <t>middle age</t>
  </si>
  <si>
    <t>senior citizen</t>
  </si>
  <si>
    <t>young adults</t>
  </si>
  <si>
    <t>Count of 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</si>
</sst>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theme="5" tint="0.79998168889431442"/>
      <name val="Calibri"/>
      <family val="2"/>
      <scheme val="minor"/>
    </font>
  </fonts>
  <fills count="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9" tint="0.59999389629810485"/>
        <bgColor indexed="64"/>
      </patternFill>
    </fill>
    <fill>
      <patternFill patternType="solid">
        <fgColor theme="8" tint="0.79998168889431442"/>
        <bgColor indexed="64"/>
      </patternFill>
    </fill>
  </fills>
  <borders count="1">
    <border>
      <left/>
      <right/>
      <top/>
      <bottom/>
      <diagonal/>
    </border>
  </borders>
  <cellStyleXfs count="1">
    <xf numFmtId="0" fontId="0" fillId="0" borderId="0"/>
  </cellStyleXfs>
  <cellXfs count="20">
    <xf numFmtId="0" fontId="0" fillId="0" borderId="0" xfId="0"/>
    <xf numFmtId="1" fontId="0" fillId="0" borderId="0" xfId="0" applyNumberFormat="1"/>
    <xf numFmtId="0" fontId="0" fillId="0" borderId="0" xfId="0" pivotButton="1"/>
    <xf numFmtId="0" fontId="0" fillId="0" borderId="0" xfId="0" applyAlignment="1">
      <alignment horizontal="left"/>
    </xf>
    <xf numFmtId="0" fontId="1" fillId="2" borderId="0" xfId="0" applyFont="1" applyFill="1"/>
    <xf numFmtId="0" fontId="2" fillId="3" borderId="0" xfId="0" applyFont="1" applyFill="1"/>
    <xf numFmtId="0" fontId="3" fillId="4" borderId="0" xfId="0" applyFont="1" applyFill="1" applyAlignment="1">
      <alignment horizontal="left"/>
    </xf>
    <xf numFmtId="0" fontId="4" fillId="0" borderId="0" xfId="0" applyFont="1"/>
    <xf numFmtId="0" fontId="0" fillId="5" borderId="0" xfId="0" applyFill="1"/>
    <xf numFmtId="0" fontId="0" fillId="6" borderId="0" xfId="0" applyFill="1"/>
    <xf numFmtId="0" fontId="0" fillId="0" borderId="0" xfId="0" applyProtection="1">
      <protection locked="0"/>
    </xf>
    <xf numFmtId="0" fontId="0" fillId="0" borderId="0" xfId="0" pivotButton="1" applyProtection="1">
      <protection locked="0"/>
    </xf>
    <xf numFmtId="0" fontId="0" fillId="0" borderId="0" xfId="0" applyAlignment="1" applyProtection="1">
      <alignment horizontal="left"/>
      <protection locked="0"/>
    </xf>
    <xf numFmtId="0" fontId="0" fillId="7" borderId="0" xfId="0" applyFill="1"/>
    <xf numFmtId="0" fontId="0" fillId="0" borderId="0" xfId="0" applyNumberFormat="1"/>
    <xf numFmtId="0" fontId="0" fillId="0" borderId="0" xfId="0" applyNumberFormat="1" applyProtection="1">
      <protection locked="0"/>
    </xf>
    <xf numFmtId="0" fontId="2" fillId="3" borderId="0" xfId="0" applyNumberFormat="1" applyFont="1" applyFill="1"/>
    <xf numFmtId="0" fontId="1" fillId="2" borderId="0" xfId="0" applyNumberFormat="1" applyFont="1" applyFill="1"/>
    <xf numFmtId="0" fontId="3" fillId="4" borderId="0" xfId="0" applyNumberFormat="1" applyFont="1" applyFill="1"/>
    <xf numFmtId="0" fontId="0" fillId="0" borderId="0" xfId="0" applyFill="1"/>
  </cellXfs>
  <cellStyles count="1">
    <cellStyle name="Normal" xfId="0" builtinId="0"/>
  </cellStyles>
  <dxfs count="185">
    <dxf>
      <protection locked="0"/>
    </dxf>
    <dxf>
      <protection locked="0"/>
    </dxf>
    <dxf>
      <protection locked="0"/>
    </dxf>
    <dxf>
      <protection locked="0"/>
    </dxf>
    <dxf>
      <protection locked="0"/>
    </dxf>
    <dxf>
      <protection locked="0"/>
    </dxf>
    <dxf>
      <protection locked="0"/>
    </dxf>
    <dxf>
      <protection locked="0"/>
    </dxf>
    <dxf>
      <font>
        <b val="0"/>
      </font>
    </dxf>
    <dxf>
      <font>
        <i/>
      </font>
    </dxf>
    <dxf>
      <font>
        <b val="0"/>
        <i val="0"/>
        <strike val="0"/>
        <condense val="0"/>
        <extend val="0"/>
        <outline val="0"/>
        <shadow val="0"/>
        <u val="none"/>
        <vertAlign val="baseline"/>
        <sz val="11"/>
        <color rgb="FF9C0006"/>
        <name val="Calibri"/>
        <family val="2"/>
        <scheme val="minor"/>
      </font>
      <fill>
        <patternFill patternType="solid">
          <fgColor indexed="65"/>
          <bgColor rgb="FFFFC7CE"/>
        </patternFill>
      </fill>
    </dxf>
    <dxf>
      <font>
        <b val="0"/>
        <i val="0"/>
        <strike val="0"/>
        <condense val="0"/>
        <extend val="0"/>
        <outline val="0"/>
        <shadow val="0"/>
        <u val="none"/>
        <vertAlign val="baseline"/>
        <sz val="11"/>
        <color rgb="FF9C0006"/>
        <name val="Calibri"/>
        <family val="2"/>
        <scheme val="minor"/>
      </font>
      <fill>
        <patternFill patternType="solid">
          <fgColor indexed="65"/>
          <bgColor rgb="FFFFC7CE"/>
        </patternFill>
      </fill>
    </dxf>
    <dxf>
      <font>
        <b val="0"/>
        <i val="0"/>
        <strike val="0"/>
        <condense val="0"/>
        <extend val="0"/>
        <outline val="0"/>
        <shadow val="0"/>
        <u val="none"/>
        <vertAlign val="baseline"/>
        <sz val="11"/>
        <color rgb="FF9C0006"/>
        <name val="Calibri"/>
        <family val="2"/>
        <scheme val="minor"/>
      </font>
      <fill>
        <patternFill patternType="solid">
          <fgColor indexed="65"/>
          <bgColor rgb="FFFFC7CE"/>
        </patternFill>
      </fill>
    </dxf>
    <dxf>
      <font>
        <b val="0"/>
        <i val="0"/>
        <strike val="0"/>
        <condense val="0"/>
        <extend val="0"/>
        <outline val="0"/>
        <shadow val="0"/>
        <u val="none"/>
        <vertAlign val="baseline"/>
        <sz val="11"/>
        <color rgb="FF9C0006"/>
        <name val="Calibri"/>
        <family val="2"/>
        <scheme val="minor"/>
      </font>
      <fill>
        <patternFill patternType="solid">
          <fgColor indexed="65"/>
          <bgColor rgb="FFFFC7CE"/>
        </patternFill>
      </fill>
    </dxf>
    <dxf>
      <font>
        <b val="0"/>
        <i val="0"/>
        <strike val="0"/>
        <condense val="0"/>
        <extend val="0"/>
        <outline val="0"/>
        <shadow val="0"/>
        <u val="none"/>
        <vertAlign val="baseline"/>
        <sz val="11"/>
        <color rgb="FF9C0006"/>
        <name val="Calibri"/>
        <family val="2"/>
        <scheme val="minor"/>
      </font>
      <fill>
        <patternFill patternType="solid">
          <fgColor indexed="65"/>
          <bgColor rgb="FFFFC7CE"/>
        </patternFill>
      </fill>
    </dxf>
    <dxf>
      <font>
        <b val="0"/>
        <i val="0"/>
        <strike val="0"/>
        <condense val="0"/>
        <extend val="0"/>
        <outline val="0"/>
        <shadow val="0"/>
        <u val="none"/>
        <vertAlign val="baseline"/>
        <sz val="11"/>
        <color rgb="FF9C0006"/>
        <name val="Calibri"/>
        <family val="2"/>
        <scheme val="minor"/>
      </font>
      <fill>
        <patternFill patternType="solid">
          <fgColor indexed="65"/>
          <bgColor rgb="FFFFC7CE"/>
        </patternFill>
      </fill>
    </dxf>
    <dxf>
      <font>
        <b val="0"/>
        <i val="0"/>
        <strike val="0"/>
        <condense val="0"/>
        <extend val="0"/>
        <outline val="0"/>
        <shadow val="0"/>
        <u val="none"/>
        <vertAlign val="baseline"/>
        <sz val="11"/>
        <color rgb="FF006100"/>
        <name val="Calibri"/>
        <family val="2"/>
        <scheme val="minor"/>
      </font>
      <fill>
        <patternFill patternType="solid">
          <fgColor indexed="65"/>
          <bgColor rgb="FFC6EFCE"/>
        </patternFill>
      </fill>
    </dxf>
    <dxf>
      <font>
        <b val="0"/>
        <i val="0"/>
        <strike val="0"/>
        <condense val="0"/>
        <extend val="0"/>
        <outline val="0"/>
        <shadow val="0"/>
        <u val="none"/>
        <vertAlign val="baseline"/>
        <sz val="11"/>
        <color rgb="FF006100"/>
        <name val="Calibri"/>
        <family val="2"/>
        <scheme val="minor"/>
      </font>
      <fill>
        <patternFill patternType="solid">
          <fgColor indexed="65"/>
          <bgColor rgb="FFC6EFCE"/>
        </patternFill>
      </fill>
    </dxf>
    <dxf>
      <font>
        <b val="0"/>
        <i val="0"/>
        <strike val="0"/>
        <condense val="0"/>
        <extend val="0"/>
        <outline val="0"/>
        <shadow val="0"/>
        <u val="none"/>
        <vertAlign val="baseline"/>
        <sz val="11"/>
        <color rgb="FF006100"/>
        <name val="Calibri"/>
        <family val="2"/>
        <scheme val="minor"/>
      </font>
      <fill>
        <patternFill patternType="solid">
          <fgColor indexed="65"/>
          <bgColor rgb="FFC6EFCE"/>
        </patternFill>
      </fill>
    </dxf>
    <dxf>
      <font>
        <b val="0"/>
        <i val="0"/>
        <strike val="0"/>
        <condense val="0"/>
        <extend val="0"/>
        <outline val="0"/>
        <shadow val="0"/>
        <u val="none"/>
        <vertAlign val="baseline"/>
        <sz val="11"/>
        <color rgb="FF006100"/>
        <name val="Calibri"/>
        <family val="2"/>
        <scheme val="minor"/>
      </font>
      <fill>
        <patternFill patternType="solid">
          <fgColor indexed="65"/>
          <bgColor rgb="FFC6EFCE"/>
        </patternFill>
      </fill>
    </dxf>
    <dxf>
      <font>
        <b val="0"/>
        <i val="0"/>
        <strike val="0"/>
        <condense val="0"/>
        <extend val="0"/>
        <outline val="0"/>
        <shadow val="0"/>
        <u val="none"/>
        <vertAlign val="baseline"/>
        <sz val="11"/>
        <color rgb="FF006100"/>
        <name val="Calibri"/>
        <family val="2"/>
        <scheme val="minor"/>
      </font>
      <fill>
        <patternFill patternType="solid">
          <fgColor indexed="65"/>
          <bgColor rgb="FFC6EFCE"/>
        </patternFill>
      </fill>
    </dxf>
    <dxf>
      <font>
        <b val="0"/>
        <i val="0"/>
        <strike val="0"/>
        <condense val="0"/>
        <extend val="0"/>
        <outline val="0"/>
        <shadow val="0"/>
        <u val="none"/>
        <vertAlign val="baseline"/>
        <sz val="11"/>
        <color rgb="FF006100"/>
        <name val="Calibri"/>
        <family val="2"/>
        <scheme val="minor"/>
      </font>
      <fill>
        <patternFill patternType="solid">
          <fgColor indexed="65"/>
          <bgColor rgb="FFC6EFCE"/>
        </patternFill>
      </fill>
    </dxf>
    <dxf>
      <font>
        <b val="0"/>
        <i val="0"/>
        <strike val="0"/>
        <condense val="0"/>
        <extend val="0"/>
        <outline val="0"/>
        <shadow val="0"/>
        <u val="none"/>
        <vertAlign val="baseline"/>
        <sz val="11"/>
        <color rgb="FF9C5700"/>
        <name val="Calibri"/>
        <family val="2"/>
        <scheme val="minor"/>
      </font>
      <fill>
        <patternFill patternType="solid">
          <fgColor indexed="65"/>
          <bgColor rgb="FFFFEB9C"/>
        </patternFill>
      </fill>
    </dxf>
    <dxf>
      <font>
        <b val="0"/>
        <i val="0"/>
        <strike val="0"/>
        <condense val="0"/>
        <extend val="0"/>
        <outline val="0"/>
        <shadow val="0"/>
        <u val="none"/>
        <vertAlign val="baseline"/>
        <sz val="11"/>
        <color rgb="FF9C5700"/>
        <name val="Calibri"/>
        <family val="2"/>
        <scheme val="minor"/>
      </font>
      <fill>
        <patternFill patternType="solid">
          <fgColor indexed="65"/>
          <bgColor rgb="FFFFEB9C"/>
        </patternFill>
      </fill>
    </dxf>
    <dxf>
      <font>
        <color theme="5" tint="0.79998168889431442"/>
      </font>
    </dxf>
    <dxf>
      <protection locked="0"/>
    </dxf>
    <dxf>
      <protection locked="0"/>
    </dxf>
    <dxf>
      <protection locked="0"/>
    </dxf>
    <dxf>
      <protection locked="0"/>
    </dxf>
    <dxf>
      <protection locked="0"/>
    </dxf>
    <dxf>
      <protection locked="0"/>
    </dxf>
    <dxf>
      <protection locked="0"/>
    </dxf>
    <dxf>
      <protection locked="0"/>
    </dxf>
    <dxf>
      <font>
        <b val="0"/>
      </font>
    </dxf>
    <dxf>
      <font>
        <i/>
      </font>
    </dxf>
    <dxf>
      <font>
        <b val="0"/>
        <i val="0"/>
        <strike val="0"/>
        <condense val="0"/>
        <extend val="0"/>
        <outline val="0"/>
        <shadow val="0"/>
        <u val="none"/>
        <vertAlign val="baseline"/>
        <sz val="11"/>
        <color rgb="FF9C0006"/>
        <name val="Calibri"/>
        <family val="2"/>
        <scheme val="minor"/>
      </font>
      <fill>
        <patternFill patternType="solid">
          <fgColor indexed="65"/>
          <bgColor rgb="FFFFC7CE"/>
        </patternFill>
      </fill>
    </dxf>
    <dxf>
      <font>
        <b val="0"/>
        <i val="0"/>
        <strike val="0"/>
        <condense val="0"/>
        <extend val="0"/>
        <outline val="0"/>
        <shadow val="0"/>
        <u val="none"/>
        <vertAlign val="baseline"/>
        <sz val="11"/>
        <color rgb="FF9C0006"/>
        <name val="Calibri"/>
        <family val="2"/>
        <scheme val="minor"/>
      </font>
      <fill>
        <patternFill patternType="solid">
          <fgColor indexed="65"/>
          <bgColor rgb="FFFFC7CE"/>
        </patternFill>
      </fill>
    </dxf>
    <dxf>
      <font>
        <b val="0"/>
        <i val="0"/>
        <strike val="0"/>
        <condense val="0"/>
        <extend val="0"/>
        <outline val="0"/>
        <shadow val="0"/>
        <u val="none"/>
        <vertAlign val="baseline"/>
        <sz val="11"/>
        <color rgb="FF9C0006"/>
        <name val="Calibri"/>
        <family val="2"/>
        <scheme val="minor"/>
      </font>
      <fill>
        <patternFill patternType="solid">
          <fgColor indexed="65"/>
          <bgColor rgb="FFFFC7CE"/>
        </patternFill>
      </fill>
    </dxf>
    <dxf>
      <font>
        <b val="0"/>
        <i val="0"/>
        <strike val="0"/>
        <condense val="0"/>
        <extend val="0"/>
        <outline val="0"/>
        <shadow val="0"/>
        <u val="none"/>
        <vertAlign val="baseline"/>
        <sz val="11"/>
        <color rgb="FF9C0006"/>
        <name val="Calibri"/>
        <family val="2"/>
        <scheme val="minor"/>
      </font>
      <fill>
        <patternFill patternType="solid">
          <fgColor indexed="65"/>
          <bgColor rgb="FFFFC7CE"/>
        </patternFill>
      </fill>
    </dxf>
    <dxf>
      <font>
        <b val="0"/>
        <i val="0"/>
        <strike val="0"/>
        <condense val="0"/>
        <extend val="0"/>
        <outline val="0"/>
        <shadow val="0"/>
        <u val="none"/>
        <vertAlign val="baseline"/>
        <sz val="11"/>
        <color rgb="FF9C0006"/>
        <name val="Calibri"/>
        <family val="2"/>
        <scheme val="minor"/>
      </font>
      <fill>
        <patternFill patternType="solid">
          <fgColor indexed="65"/>
          <bgColor rgb="FFFFC7CE"/>
        </patternFill>
      </fill>
    </dxf>
    <dxf>
      <font>
        <b val="0"/>
        <i val="0"/>
        <strike val="0"/>
        <condense val="0"/>
        <extend val="0"/>
        <outline val="0"/>
        <shadow val="0"/>
        <u val="none"/>
        <vertAlign val="baseline"/>
        <sz val="11"/>
        <color rgb="FF9C0006"/>
        <name val="Calibri"/>
        <family val="2"/>
        <scheme val="minor"/>
      </font>
      <fill>
        <patternFill patternType="solid">
          <fgColor indexed="65"/>
          <bgColor rgb="FFFFC7CE"/>
        </patternFill>
      </fill>
    </dxf>
    <dxf>
      <font>
        <b val="0"/>
        <i val="0"/>
        <strike val="0"/>
        <condense val="0"/>
        <extend val="0"/>
        <outline val="0"/>
        <shadow val="0"/>
        <u val="none"/>
        <vertAlign val="baseline"/>
        <sz val="11"/>
        <color rgb="FF006100"/>
        <name val="Calibri"/>
        <family val="2"/>
        <scheme val="minor"/>
      </font>
      <fill>
        <patternFill patternType="solid">
          <fgColor indexed="65"/>
          <bgColor rgb="FFC6EFCE"/>
        </patternFill>
      </fill>
    </dxf>
    <dxf>
      <font>
        <b val="0"/>
        <i val="0"/>
        <strike val="0"/>
        <condense val="0"/>
        <extend val="0"/>
        <outline val="0"/>
        <shadow val="0"/>
        <u val="none"/>
        <vertAlign val="baseline"/>
        <sz val="11"/>
        <color rgb="FF006100"/>
        <name val="Calibri"/>
        <family val="2"/>
        <scheme val="minor"/>
      </font>
      <fill>
        <patternFill patternType="solid">
          <fgColor indexed="65"/>
          <bgColor rgb="FFC6EFCE"/>
        </patternFill>
      </fill>
    </dxf>
    <dxf>
      <font>
        <b val="0"/>
        <i val="0"/>
        <strike val="0"/>
        <condense val="0"/>
        <extend val="0"/>
        <outline val="0"/>
        <shadow val="0"/>
        <u val="none"/>
        <vertAlign val="baseline"/>
        <sz val="11"/>
        <color rgb="FF006100"/>
        <name val="Calibri"/>
        <family val="2"/>
        <scheme val="minor"/>
      </font>
      <fill>
        <patternFill patternType="solid">
          <fgColor indexed="65"/>
          <bgColor rgb="FFC6EFCE"/>
        </patternFill>
      </fill>
    </dxf>
    <dxf>
      <font>
        <b val="0"/>
        <i val="0"/>
        <strike val="0"/>
        <condense val="0"/>
        <extend val="0"/>
        <outline val="0"/>
        <shadow val="0"/>
        <u val="none"/>
        <vertAlign val="baseline"/>
        <sz val="11"/>
        <color rgb="FF006100"/>
        <name val="Calibri"/>
        <family val="2"/>
        <scheme val="minor"/>
      </font>
      <fill>
        <patternFill patternType="solid">
          <fgColor indexed="65"/>
          <bgColor rgb="FFC6EFCE"/>
        </patternFill>
      </fill>
    </dxf>
    <dxf>
      <font>
        <b val="0"/>
        <i val="0"/>
        <strike val="0"/>
        <condense val="0"/>
        <extend val="0"/>
        <outline val="0"/>
        <shadow val="0"/>
        <u val="none"/>
        <vertAlign val="baseline"/>
        <sz val="11"/>
        <color rgb="FF006100"/>
        <name val="Calibri"/>
        <family val="2"/>
        <scheme val="minor"/>
      </font>
      <fill>
        <patternFill patternType="solid">
          <fgColor indexed="65"/>
          <bgColor rgb="FFC6EFCE"/>
        </patternFill>
      </fill>
    </dxf>
    <dxf>
      <font>
        <b val="0"/>
        <i val="0"/>
        <strike val="0"/>
        <condense val="0"/>
        <extend val="0"/>
        <outline val="0"/>
        <shadow val="0"/>
        <u val="none"/>
        <vertAlign val="baseline"/>
        <sz val="11"/>
        <color rgb="FF006100"/>
        <name val="Calibri"/>
        <family val="2"/>
        <scheme val="minor"/>
      </font>
      <fill>
        <patternFill patternType="solid">
          <fgColor indexed="65"/>
          <bgColor rgb="FFC6EFCE"/>
        </patternFill>
      </fill>
    </dxf>
    <dxf>
      <font>
        <b val="0"/>
        <i val="0"/>
        <strike val="0"/>
        <condense val="0"/>
        <extend val="0"/>
        <outline val="0"/>
        <shadow val="0"/>
        <u val="none"/>
        <vertAlign val="baseline"/>
        <sz val="11"/>
        <color rgb="FF9C5700"/>
        <name val="Calibri"/>
        <family val="2"/>
        <scheme val="minor"/>
      </font>
      <fill>
        <patternFill patternType="solid">
          <fgColor indexed="65"/>
          <bgColor rgb="FFFFEB9C"/>
        </patternFill>
      </fill>
    </dxf>
    <dxf>
      <font>
        <b val="0"/>
        <i val="0"/>
        <strike val="0"/>
        <condense val="0"/>
        <extend val="0"/>
        <outline val="0"/>
        <shadow val="0"/>
        <u val="none"/>
        <vertAlign val="baseline"/>
        <sz val="11"/>
        <color rgb="FF9C5700"/>
        <name val="Calibri"/>
        <family val="2"/>
        <scheme val="minor"/>
      </font>
      <fill>
        <patternFill patternType="solid">
          <fgColor indexed="65"/>
          <bgColor rgb="FFFFEB9C"/>
        </patternFill>
      </fill>
    </dxf>
    <dxf>
      <font>
        <color theme="5" tint="0.79998168889431442"/>
      </font>
    </dxf>
    <dxf>
      <protection locked="0"/>
    </dxf>
    <dxf>
      <protection locked="0"/>
    </dxf>
    <dxf>
      <protection locked="0"/>
    </dxf>
    <dxf>
      <protection locked="0"/>
    </dxf>
    <dxf>
      <protection locked="0"/>
    </dxf>
    <dxf>
      <protection locked="0"/>
    </dxf>
    <dxf>
      <protection locked="0"/>
    </dxf>
    <dxf>
      <protection locked="0"/>
    </dxf>
    <dxf>
      <font>
        <b val="0"/>
        <i val="0"/>
        <strike val="0"/>
        <condense val="0"/>
        <extend val="0"/>
        <outline val="0"/>
        <shadow val="0"/>
        <u val="none"/>
        <vertAlign val="baseline"/>
        <sz val="11"/>
        <color rgb="FF9C0006"/>
        <name val="Calibri"/>
        <family val="2"/>
        <scheme val="minor"/>
      </font>
      <fill>
        <patternFill patternType="solid">
          <fgColor indexed="65"/>
          <bgColor rgb="FFFFC7CE"/>
        </patternFill>
      </fill>
    </dxf>
    <dxf>
      <font>
        <b val="0"/>
        <i val="0"/>
        <strike val="0"/>
        <condense val="0"/>
        <extend val="0"/>
        <outline val="0"/>
        <shadow val="0"/>
        <u val="none"/>
        <vertAlign val="baseline"/>
        <sz val="11"/>
        <color rgb="FF9C0006"/>
        <name val="Calibri"/>
        <family val="2"/>
        <scheme val="minor"/>
      </font>
      <fill>
        <patternFill patternType="solid">
          <fgColor indexed="65"/>
          <bgColor rgb="FFFFC7CE"/>
        </patternFill>
      </fill>
    </dxf>
    <dxf>
      <font>
        <b val="0"/>
        <i val="0"/>
        <strike val="0"/>
        <condense val="0"/>
        <extend val="0"/>
        <outline val="0"/>
        <shadow val="0"/>
        <u val="none"/>
        <vertAlign val="baseline"/>
        <sz val="11"/>
        <color rgb="FF9C0006"/>
        <name val="Calibri"/>
        <family val="2"/>
        <scheme val="minor"/>
      </font>
      <fill>
        <patternFill patternType="solid">
          <fgColor indexed="65"/>
          <bgColor rgb="FFFFC7CE"/>
        </patternFill>
      </fill>
    </dxf>
    <dxf>
      <font>
        <b val="0"/>
        <i val="0"/>
        <strike val="0"/>
        <condense val="0"/>
        <extend val="0"/>
        <outline val="0"/>
        <shadow val="0"/>
        <u val="none"/>
        <vertAlign val="baseline"/>
        <sz val="11"/>
        <color rgb="FF9C0006"/>
        <name val="Calibri"/>
        <family val="2"/>
        <scheme val="minor"/>
      </font>
      <fill>
        <patternFill patternType="solid">
          <fgColor indexed="65"/>
          <bgColor rgb="FFFFC7CE"/>
        </patternFill>
      </fill>
    </dxf>
    <dxf>
      <font>
        <b val="0"/>
        <i val="0"/>
        <strike val="0"/>
        <condense val="0"/>
        <extend val="0"/>
        <outline val="0"/>
        <shadow val="0"/>
        <u val="none"/>
        <vertAlign val="baseline"/>
        <sz val="11"/>
        <color rgb="FF9C0006"/>
        <name val="Calibri"/>
        <family val="2"/>
        <scheme val="minor"/>
      </font>
      <fill>
        <patternFill patternType="solid">
          <fgColor indexed="65"/>
          <bgColor rgb="FFFFC7CE"/>
        </patternFill>
      </fill>
    </dxf>
    <dxf>
      <font>
        <b val="0"/>
        <i val="0"/>
        <strike val="0"/>
        <condense val="0"/>
        <extend val="0"/>
        <outline val="0"/>
        <shadow val="0"/>
        <u val="none"/>
        <vertAlign val="baseline"/>
        <sz val="11"/>
        <color rgb="FF9C0006"/>
        <name val="Calibri"/>
        <family val="2"/>
        <scheme val="minor"/>
      </font>
      <fill>
        <patternFill patternType="solid">
          <fgColor indexed="65"/>
          <bgColor rgb="FFFFC7CE"/>
        </patternFill>
      </fill>
    </dxf>
    <dxf>
      <font>
        <b val="0"/>
        <i val="0"/>
        <strike val="0"/>
        <condense val="0"/>
        <extend val="0"/>
        <outline val="0"/>
        <shadow val="0"/>
        <u val="none"/>
        <vertAlign val="baseline"/>
        <sz val="11"/>
        <color rgb="FF006100"/>
        <name val="Calibri"/>
        <family val="2"/>
        <scheme val="minor"/>
      </font>
      <fill>
        <patternFill patternType="solid">
          <fgColor indexed="65"/>
          <bgColor rgb="FFC6EFCE"/>
        </patternFill>
      </fill>
    </dxf>
    <dxf>
      <font>
        <b val="0"/>
        <i val="0"/>
        <strike val="0"/>
        <condense val="0"/>
        <extend val="0"/>
        <outline val="0"/>
        <shadow val="0"/>
        <u val="none"/>
        <vertAlign val="baseline"/>
        <sz val="11"/>
        <color rgb="FF006100"/>
        <name val="Calibri"/>
        <family val="2"/>
        <scheme val="minor"/>
      </font>
      <fill>
        <patternFill patternType="solid">
          <fgColor indexed="65"/>
          <bgColor rgb="FFC6EFCE"/>
        </patternFill>
      </fill>
    </dxf>
    <dxf>
      <font>
        <b val="0"/>
        <i val="0"/>
        <strike val="0"/>
        <condense val="0"/>
        <extend val="0"/>
        <outline val="0"/>
        <shadow val="0"/>
        <u val="none"/>
        <vertAlign val="baseline"/>
        <sz val="11"/>
        <color rgb="FF006100"/>
        <name val="Calibri"/>
        <family val="2"/>
        <scheme val="minor"/>
      </font>
      <fill>
        <patternFill patternType="solid">
          <fgColor indexed="65"/>
          <bgColor rgb="FFC6EFCE"/>
        </patternFill>
      </fill>
    </dxf>
    <dxf>
      <font>
        <b val="0"/>
        <i val="0"/>
        <strike val="0"/>
        <condense val="0"/>
        <extend val="0"/>
        <outline val="0"/>
        <shadow val="0"/>
        <u val="none"/>
        <vertAlign val="baseline"/>
        <sz val="11"/>
        <color rgb="FF006100"/>
        <name val="Calibri"/>
        <family val="2"/>
        <scheme val="minor"/>
      </font>
      <fill>
        <patternFill patternType="solid">
          <fgColor indexed="65"/>
          <bgColor rgb="FFC6EFCE"/>
        </patternFill>
      </fill>
    </dxf>
    <dxf>
      <font>
        <b val="0"/>
        <i val="0"/>
        <strike val="0"/>
        <condense val="0"/>
        <extend val="0"/>
        <outline val="0"/>
        <shadow val="0"/>
        <u val="none"/>
        <vertAlign val="baseline"/>
        <sz val="11"/>
        <color rgb="FF006100"/>
        <name val="Calibri"/>
        <family val="2"/>
        <scheme val="minor"/>
      </font>
      <fill>
        <patternFill patternType="solid">
          <fgColor indexed="65"/>
          <bgColor rgb="FFC6EFCE"/>
        </patternFill>
      </fill>
    </dxf>
    <dxf>
      <font>
        <b val="0"/>
        <i val="0"/>
        <strike val="0"/>
        <condense val="0"/>
        <extend val="0"/>
        <outline val="0"/>
        <shadow val="0"/>
        <u val="none"/>
        <vertAlign val="baseline"/>
        <sz val="11"/>
        <color rgb="FF006100"/>
        <name val="Calibri"/>
        <family val="2"/>
        <scheme val="minor"/>
      </font>
      <fill>
        <patternFill patternType="solid">
          <fgColor indexed="65"/>
          <bgColor rgb="FFC6EFCE"/>
        </patternFill>
      </fill>
    </dxf>
    <dxf>
      <font>
        <b val="0"/>
        <i val="0"/>
        <strike val="0"/>
        <condense val="0"/>
        <extend val="0"/>
        <outline val="0"/>
        <shadow val="0"/>
        <u val="none"/>
        <vertAlign val="baseline"/>
        <sz val="11"/>
        <color rgb="FF9C5700"/>
        <name val="Calibri"/>
        <family val="2"/>
        <scheme val="minor"/>
      </font>
      <fill>
        <patternFill patternType="solid">
          <fgColor indexed="65"/>
          <bgColor rgb="FFFFEB9C"/>
        </patternFill>
      </fill>
    </dxf>
    <dxf>
      <font>
        <b val="0"/>
        <i val="0"/>
        <strike val="0"/>
        <condense val="0"/>
        <extend val="0"/>
        <outline val="0"/>
        <shadow val="0"/>
        <u val="none"/>
        <vertAlign val="baseline"/>
        <sz val="11"/>
        <color rgb="FF9C5700"/>
        <name val="Calibri"/>
        <family val="2"/>
        <scheme val="minor"/>
      </font>
      <fill>
        <patternFill patternType="solid">
          <fgColor indexed="65"/>
          <bgColor rgb="FFFFEB9C"/>
        </patternFill>
      </fill>
    </dxf>
    <dxf>
      <font>
        <color theme="5" tint="0.79998168889431442"/>
      </font>
    </dxf>
    <dxf>
      <font>
        <b val="0"/>
      </font>
    </dxf>
    <dxf>
      <font>
        <i/>
      </font>
    </dxf>
    <dxf>
      <protection locked="0"/>
    </dxf>
    <dxf>
      <protection locked="0"/>
    </dxf>
    <dxf>
      <protection locked="0"/>
    </dxf>
    <dxf>
      <protection locked="0"/>
    </dxf>
    <dxf>
      <protection locked="0"/>
    </dxf>
    <dxf>
      <protection locked="0"/>
    </dxf>
    <dxf>
      <protection locked="0"/>
    </dxf>
    <dxf>
      <protection locked="0"/>
    </dxf>
    <dxf>
      <font>
        <b val="0"/>
        <i val="0"/>
        <strike val="0"/>
        <condense val="0"/>
        <extend val="0"/>
        <outline val="0"/>
        <shadow val="0"/>
        <u val="none"/>
        <vertAlign val="baseline"/>
        <sz val="11"/>
        <color rgb="FF9C0006"/>
        <name val="Calibri"/>
        <family val="2"/>
        <scheme val="minor"/>
      </font>
      <fill>
        <patternFill patternType="solid">
          <fgColor indexed="65"/>
          <bgColor rgb="FFFFC7CE"/>
        </patternFill>
      </fill>
    </dxf>
    <dxf>
      <font>
        <b val="0"/>
        <i val="0"/>
        <strike val="0"/>
        <condense val="0"/>
        <extend val="0"/>
        <outline val="0"/>
        <shadow val="0"/>
        <u val="none"/>
        <vertAlign val="baseline"/>
        <sz val="11"/>
        <color rgb="FF9C0006"/>
        <name val="Calibri"/>
        <family val="2"/>
        <scheme val="minor"/>
      </font>
      <fill>
        <patternFill patternType="solid">
          <fgColor indexed="65"/>
          <bgColor rgb="FFFFC7CE"/>
        </patternFill>
      </fill>
    </dxf>
    <dxf>
      <font>
        <b val="0"/>
        <i val="0"/>
        <strike val="0"/>
        <condense val="0"/>
        <extend val="0"/>
        <outline val="0"/>
        <shadow val="0"/>
        <u val="none"/>
        <vertAlign val="baseline"/>
        <sz val="11"/>
        <color rgb="FF9C0006"/>
        <name val="Calibri"/>
        <family val="2"/>
        <scheme val="minor"/>
      </font>
      <fill>
        <patternFill patternType="solid">
          <fgColor indexed="65"/>
          <bgColor rgb="FFFFC7CE"/>
        </patternFill>
      </fill>
    </dxf>
    <dxf>
      <font>
        <b val="0"/>
        <i val="0"/>
        <strike val="0"/>
        <condense val="0"/>
        <extend val="0"/>
        <outline val="0"/>
        <shadow val="0"/>
        <u val="none"/>
        <vertAlign val="baseline"/>
        <sz val="11"/>
        <color rgb="FF9C0006"/>
        <name val="Calibri"/>
        <family val="2"/>
        <scheme val="minor"/>
      </font>
      <fill>
        <patternFill patternType="solid">
          <fgColor indexed="65"/>
          <bgColor rgb="FFFFC7CE"/>
        </patternFill>
      </fill>
    </dxf>
    <dxf>
      <font>
        <b val="0"/>
        <i val="0"/>
        <strike val="0"/>
        <condense val="0"/>
        <extend val="0"/>
        <outline val="0"/>
        <shadow val="0"/>
        <u val="none"/>
        <vertAlign val="baseline"/>
        <sz val="11"/>
        <color rgb="FF9C0006"/>
        <name val="Calibri"/>
        <family val="2"/>
        <scheme val="minor"/>
      </font>
      <fill>
        <patternFill patternType="solid">
          <fgColor indexed="65"/>
          <bgColor rgb="FFFFC7CE"/>
        </patternFill>
      </fill>
    </dxf>
    <dxf>
      <font>
        <b val="0"/>
        <i val="0"/>
        <strike val="0"/>
        <condense val="0"/>
        <extend val="0"/>
        <outline val="0"/>
        <shadow val="0"/>
        <u val="none"/>
        <vertAlign val="baseline"/>
        <sz val="11"/>
        <color rgb="FF9C0006"/>
        <name val="Calibri"/>
        <family val="2"/>
        <scheme val="minor"/>
      </font>
      <fill>
        <patternFill patternType="solid">
          <fgColor indexed="65"/>
          <bgColor rgb="FFFFC7CE"/>
        </patternFill>
      </fill>
    </dxf>
    <dxf>
      <font>
        <b val="0"/>
        <i val="0"/>
        <strike val="0"/>
        <condense val="0"/>
        <extend val="0"/>
        <outline val="0"/>
        <shadow val="0"/>
        <u val="none"/>
        <vertAlign val="baseline"/>
        <sz val="11"/>
        <color rgb="FF006100"/>
        <name val="Calibri"/>
        <family val="2"/>
        <scheme val="minor"/>
      </font>
      <fill>
        <patternFill patternType="solid">
          <fgColor indexed="65"/>
          <bgColor rgb="FFC6EFCE"/>
        </patternFill>
      </fill>
    </dxf>
    <dxf>
      <font>
        <b val="0"/>
        <i val="0"/>
        <strike val="0"/>
        <condense val="0"/>
        <extend val="0"/>
        <outline val="0"/>
        <shadow val="0"/>
        <u val="none"/>
        <vertAlign val="baseline"/>
        <sz val="11"/>
        <color rgb="FF006100"/>
        <name val="Calibri"/>
        <family val="2"/>
        <scheme val="minor"/>
      </font>
      <fill>
        <patternFill patternType="solid">
          <fgColor indexed="65"/>
          <bgColor rgb="FFC6EFCE"/>
        </patternFill>
      </fill>
    </dxf>
    <dxf>
      <font>
        <b val="0"/>
        <i val="0"/>
        <strike val="0"/>
        <condense val="0"/>
        <extend val="0"/>
        <outline val="0"/>
        <shadow val="0"/>
        <u val="none"/>
        <vertAlign val="baseline"/>
        <sz val="11"/>
        <color rgb="FF006100"/>
        <name val="Calibri"/>
        <family val="2"/>
        <scheme val="minor"/>
      </font>
      <fill>
        <patternFill patternType="solid">
          <fgColor indexed="65"/>
          <bgColor rgb="FFC6EFCE"/>
        </patternFill>
      </fill>
    </dxf>
    <dxf>
      <font>
        <b val="0"/>
        <i val="0"/>
        <strike val="0"/>
        <condense val="0"/>
        <extend val="0"/>
        <outline val="0"/>
        <shadow val="0"/>
        <u val="none"/>
        <vertAlign val="baseline"/>
        <sz val="11"/>
        <color rgb="FF006100"/>
        <name val="Calibri"/>
        <family val="2"/>
        <scheme val="minor"/>
      </font>
      <fill>
        <patternFill patternType="solid">
          <fgColor indexed="65"/>
          <bgColor rgb="FFC6EFCE"/>
        </patternFill>
      </fill>
    </dxf>
    <dxf>
      <font>
        <b val="0"/>
        <i val="0"/>
        <strike val="0"/>
        <condense val="0"/>
        <extend val="0"/>
        <outline val="0"/>
        <shadow val="0"/>
        <u val="none"/>
        <vertAlign val="baseline"/>
        <sz val="11"/>
        <color rgb="FF006100"/>
        <name val="Calibri"/>
        <family val="2"/>
        <scheme val="minor"/>
      </font>
      <fill>
        <patternFill patternType="solid">
          <fgColor indexed="65"/>
          <bgColor rgb="FFC6EFCE"/>
        </patternFill>
      </fill>
    </dxf>
    <dxf>
      <font>
        <b val="0"/>
        <i val="0"/>
        <strike val="0"/>
        <condense val="0"/>
        <extend val="0"/>
        <outline val="0"/>
        <shadow val="0"/>
        <u val="none"/>
        <vertAlign val="baseline"/>
        <sz val="11"/>
        <color rgb="FF006100"/>
        <name val="Calibri"/>
        <family val="2"/>
        <scheme val="minor"/>
      </font>
      <fill>
        <patternFill patternType="solid">
          <fgColor indexed="65"/>
          <bgColor rgb="FFC6EFCE"/>
        </patternFill>
      </fill>
    </dxf>
    <dxf>
      <font>
        <b val="0"/>
        <i val="0"/>
        <strike val="0"/>
        <condense val="0"/>
        <extend val="0"/>
        <outline val="0"/>
        <shadow val="0"/>
        <u val="none"/>
        <vertAlign val="baseline"/>
        <sz val="11"/>
        <color rgb="FF9C5700"/>
        <name val="Calibri"/>
        <family val="2"/>
        <scheme val="minor"/>
      </font>
      <fill>
        <patternFill patternType="solid">
          <fgColor indexed="65"/>
          <bgColor rgb="FFFFEB9C"/>
        </patternFill>
      </fill>
    </dxf>
    <dxf>
      <font>
        <b val="0"/>
        <i val="0"/>
        <strike val="0"/>
        <condense val="0"/>
        <extend val="0"/>
        <outline val="0"/>
        <shadow val="0"/>
        <u val="none"/>
        <vertAlign val="baseline"/>
        <sz val="11"/>
        <color rgb="FF9C5700"/>
        <name val="Calibri"/>
        <family val="2"/>
        <scheme val="minor"/>
      </font>
      <fill>
        <patternFill patternType="solid">
          <fgColor indexed="65"/>
          <bgColor rgb="FFFFEB9C"/>
        </patternFill>
      </fill>
    </dxf>
    <dxf>
      <font>
        <color theme="5" tint="0.79998168889431442"/>
      </font>
    </dxf>
    <dxf>
      <font>
        <b val="0"/>
      </font>
    </dxf>
    <dxf>
      <font>
        <i/>
      </font>
    </dxf>
    <dxf>
      <protection locked="0"/>
    </dxf>
    <dxf>
      <protection locked="0"/>
    </dxf>
    <dxf>
      <protection locked="0"/>
    </dxf>
    <dxf>
      <protection locked="0"/>
    </dxf>
    <dxf>
      <protection locked="0"/>
    </dxf>
    <dxf>
      <protection locked="0"/>
    </dxf>
    <dxf>
      <protection locked="0"/>
    </dxf>
    <dxf>
      <protection locked="0"/>
    </dxf>
    <dxf>
      <font>
        <b val="0"/>
        <i val="0"/>
        <strike val="0"/>
        <condense val="0"/>
        <extend val="0"/>
        <outline val="0"/>
        <shadow val="0"/>
        <u val="none"/>
        <vertAlign val="baseline"/>
        <sz val="11"/>
        <color rgb="FF9C0006"/>
        <name val="Calibri"/>
        <family val="2"/>
        <scheme val="minor"/>
      </font>
      <fill>
        <patternFill patternType="solid">
          <fgColor indexed="65"/>
          <bgColor rgb="FFFFC7CE"/>
        </patternFill>
      </fill>
    </dxf>
    <dxf>
      <font>
        <b val="0"/>
        <i val="0"/>
        <strike val="0"/>
        <condense val="0"/>
        <extend val="0"/>
        <outline val="0"/>
        <shadow val="0"/>
        <u val="none"/>
        <vertAlign val="baseline"/>
        <sz val="11"/>
        <color rgb="FF9C0006"/>
        <name val="Calibri"/>
        <family val="2"/>
        <scheme val="minor"/>
      </font>
      <fill>
        <patternFill patternType="solid">
          <fgColor indexed="65"/>
          <bgColor rgb="FFFFC7CE"/>
        </patternFill>
      </fill>
    </dxf>
    <dxf>
      <font>
        <b val="0"/>
        <i val="0"/>
        <strike val="0"/>
        <condense val="0"/>
        <extend val="0"/>
        <outline val="0"/>
        <shadow val="0"/>
        <u val="none"/>
        <vertAlign val="baseline"/>
        <sz val="11"/>
        <color rgb="FF9C0006"/>
        <name val="Calibri"/>
        <family val="2"/>
        <scheme val="minor"/>
      </font>
      <fill>
        <patternFill patternType="solid">
          <fgColor indexed="65"/>
          <bgColor rgb="FFFFC7CE"/>
        </patternFill>
      </fill>
    </dxf>
    <dxf>
      <font>
        <b val="0"/>
        <i val="0"/>
        <strike val="0"/>
        <condense val="0"/>
        <extend val="0"/>
        <outline val="0"/>
        <shadow val="0"/>
        <u val="none"/>
        <vertAlign val="baseline"/>
        <sz val="11"/>
        <color rgb="FF9C0006"/>
        <name val="Calibri"/>
        <family val="2"/>
        <scheme val="minor"/>
      </font>
      <fill>
        <patternFill patternType="solid">
          <fgColor indexed="65"/>
          <bgColor rgb="FFFFC7CE"/>
        </patternFill>
      </fill>
    </dxf>
    <dxf>
      <font>
        <b val="0"/>
        <i val="0"/>
        <strike val="0"/>
        <condense val="0"/>
        <extend val="0"/>
        <outline val="0"/>
        <shadow val="0"/>
        <u val="none"/>
        <vertAlign val="baseline"/>
        <sz val="11"/>
        <color rgb="FF9C0006"/>
        <name val="Calibri"/>
        <family val="2"/>
        <scheme val="minor"/>
      </font>
      <fill>
        <patternFill patternType="solid">
          <fgColor indexed="65"/>
          <bgColor rgb="FFFFC7CE"/>
        </patternFill>
      </fill>
    </dxf>
    <dxf>
      <font>
        <b val="0"/>
        <i val="0"/>
        <strike val="0"/>
        <condense val="0"/>
        <extend val="0"/>
        <outline val="0"/>
        <shadow val="0"/>
        <u val="none"/>
        <vertAlign val="baseline"/>
        <sz val="11"/>
        <color rgb="FF9C0006"/>
        <name val="Calibri"/>
        <family val="2"/>
        <scheme val="minor"/>
      </font>
      <fill>
        <patternFill patternType="solid">
          <fgColor indexed="65"/>
          <bgColor rgb="FFFFC7CE"/>
        </patternFill>
      </fill>
    </dxf>
    <dxf>
      <font>
        <b val="0"/>
        <i val="0"/>
        <strike val="0"/>
        <condense val="0"/>
        <extend val="0"/>
        <outline val="0"/>
        <shadow val="0"/>
        <u val="none"/>
        <vertAlign val="baseline"/>
        <sz val="11"/>
        <color rgb="FF006100"/>
        <name val="Calibri"/>
        <family val="2"/>
        <scheme val="minor"/>
      </font>
      <fill>
        <patternFill patternType="solid">
          <fgColor indexed="65"/>
          <bgColor rgb="FFC6EFCE"/>
        </patternFill>
      </fill>
    </dxf>
    <dxf>
      <font>
        <b val="0"/>
        <i val="0"/>
        <strike val="0"/>
        <condense val="0"/>
        <extend val="0"/>
        <outline val="0"/>
        <shadow val="0"/>
        <u val="none"/>
        <vertAlign val="baseline"/>
        <sz val="11"/>
        <color rgb="FF006100"/>
        <name val="Calibri"/>
        <family val="2"/>
        <scheme val="minor"/>
      </font>
      <fill>
        <patternFill patternType="solid">
          <fgColor indexed="65"/>
          <bgColor rgb="FFC6EFCE"/>
        </patternFill>
      </fill>
    </dxf>
    <dxf>
      <font>
        <b val="0"/>
        <i val="0"/>
        <strike val="0"/>
        <condense val="0"/>
        <extend val="0"/>
        <outline val="0"/>
        <shadow val="0"/>
        <u val="none"/>
        <vertAlign val="baseline"/>
        <sz val="11"/>
        <color rgb="FF006100"/>
        <name val="Calibri"/>
        <family val="2"/>
        <scheme val="minor"/>
      </font>
      <fill>
        <patternFill patternType="solid">
          <fgColor indexed="65"/>
          <bgColor rgb="FFC6EFCE"/>
        </patternFill>
      </fill>
    </dxf>
    <dxf>
      <font>
        <b val="0"/>
        <i val="0"/>
        <strike val="0"/>
        <condense val="0"/>
        <extend val="0"/>
        <outline val="0"/>
        <shadow val="0"/>
        <u val="none"/>
        <vertAlign val="baseline"/>
        <sz val="11"/>
        <color rgb="FF006100"/>
        <name val="Calibri"/>
        <family val="2"/>
        <scheme val="minor"/>
      </font>
      <fill>
        <patternFill patternType="solid">
          <fgColor indexed="65"/>
          <bgColor rgb="FFC6EFCE"/>
        </patternFill>
      </fill>
    </dxf>
    <dxf>
      <font>
        <b val="0"/>
        <i val="0"/>
        <strike val="0"/>
        <condense val="0"/>
        <extend val="0"/>
        <outline val="0"/>
        <shadow val="0"/>
        <u val="none"/>
        <vertAlign val="baseline"/>
        <sz val="11"/>
        <color rgb="FF006100"/>
        <name val="Calibri"/>
        <family val="2"/>
        <scheme val="minor"/>
      </font>
      <fill>
        <patternFill patternType="solid">
          <fgColor indexed="65"/>
          <bgColor rgb="FFC6EFCE"/>
        </patternFill>
      </fill>
    </dxf>
    <dxf>
      <font>
        <b val="0"/>
        <i val="0"/>
        <strike val="0"/>
        <condense val="0"/>
        <extend val="0"/>
        <outline val="0"/>
        <shadow val="0"/>
        <u val="none"/>
        <vertAlign val="baseline"/>
        <sz val="11"/>
        <color rgb="FF006100"/>
        <name val="Calibri"/>
        <family val="2"/>
        <scheme val="minor"/>
      </font>
      <fill>
        <patternFill patternType="solid">
          <fgColor indexed="65"/>
          <bgColor rgb="FFC6EFCE"/>
        </patternFill>
      </fill>
    </dxf>
    <dxf>
      <font>
        <b val="0"/>
        <i val="0"/>
        <strike val="0"/>
        <condense val="0"/>
        <extend val="0"/>
        <outline val="0"/>
        <shadow val="0"/>
        <u val="none"/>
        <vertAlign val="baseline"/>
        <sz val="11"/>
        <color rgb="FF9C5700"/>
        <name val="Calibri"/>
        <family val="2"/>
        <scheme val="minor"/>
      </font>
      <fill>
        <patternFill patternType="solid">
          <fgColor indexed="65"/>
          <bgColor rgb="FFFFEB9C"/>
        </patternFill>
      </fill>
    </dxf>
    <dxf>
      <font>
        <b val="0"/>
        <i val="0"/>
        <strike val="0"/>
        <condense val="0"/>
        <extend val="0"/>
        <outline val="0"/>
        <shadow val="0"/>
        <u val="none"/>
        <vertAlign val="baseline"/>
        <sz val="11"/>
        <color rgb="FF9C5700"/>
        <name val="Calibri"/>
        <family val="2"/>
        <scheme val="minor"/>
      </font>
      <fill>
        <patternFill patternType="solid">
          <fgColor indexed="65"/>
          <bgColor rgb="FFFFEB9C"/>
        </patternFill>
      </fill>
    </dxf>
    <dxf>
      <font>
        <color theme="5" tint="0.79998168889431442"/>
      </font>
    </dxf>
    <dxf>
      <font>
        <b val="0"/>
      </font>
    </dxf>
    <dxf>
      <font>
        <i/>
      </font>
    </dxf>
    <dxf>
      <protection locked="0"/>
    </dxf>
    <dxf>
      <protection locked="0"/>
    </dxf>
    <dxf>
      <protection locked="0"/>
    </dxf>
    <dxf>
      <protection locked="0"/>
    </dxf>
    <dxf>
      <protection locked="0"/>
    </dxf>
    <dxf>
      <protection locked="0"/>
    </dxf>
    <dxf>
      <protection locked="0"/>
    </dxf>
    <dxf>
      <protection locked="0"/>
    </dxf>
    <dxf>
      <font>
        <b val="0"/>
        <i val="0"/>
        <strike val="0"/>
        <condense val="0"/>
        <extend val="0"/>
        <outline val="0"/>
        <shadow val="0"/>
        <u val="none"/>
        <vertAlign val="baseline"/>
        <sz val="11"/>
        <color rgb="FF9C0006"/>
        <name val="Calibri"/>
        <family val="2"/>
        <scheme val="minor"/>
      </font>
      <fill>
        <patternFill patternType="solid">
          <fgColor indexed="65"/>
          <bgColor rgb="FFFFC7CE"/>
        </patternFill>
      </fill>
    </dxf>
    <dxf>
      <font>
        <b val="0"/>
        <i val="0"/>
        <strike val="0"/>
        <condense val="0"/>
        <extend val="0"/>
        <outline val="0"/>
        <shadow val="0"/>
        <u val="none"/>
        <vertAlign val="baseline"/>
        <sz val="11"/>
        <color rgb="FF9C0006"/>
        <name val="Calibri"/>
        <family val="2"/>
        <scheme val="minor"/>
      </font>
      <fill>
        <patternFill patternType="solid">
          <fgColor indexed="65"/>
          <bgColor rgb="FFFFC7CE"/>
        </patternFill>
      </fill>
    </dxf>
    <dxf>
      <font>
        <b val="0"/>
        <i val="0"/>
        <strike val="0"/>
        <condense val="0"/>
        <extend val="0"/>
        <outline val="0"/>
        <shadow val="0"/>
        <u val="none"/>
        <vertAlign val="baseline"/>
        <sz val="11"/>
        <color rgb="FF9C0006"/>
        <name val="Calibri"/>
        <family val="2"/>
        <scheme val="minor"/>
      </font>
      <fill>
        <patternFill patternType="solid">
          <fgColor indexed="65"/>
          <bgColor rgb="FFFFC7CE"/>
        </patternFill>
      </fill>
    </dxf>
    <dxf>
      <font>
        <b val="0"/>
        <i val="0"/>
        <strike val="0"/>
        <condense val="0"/>
        <extend val="0"/>
        <outline val="0"/>
        <shadow val="0"/>
        <u val="none"/>
        <vertAlign val="baseline"/>
        <sz val="11"/>
        <color rgb="FF9C0006"/>
        <name val="Calibri"/>
        <family val="2"/>
        <scheme val="minor"/>
      </font>
      <fill>
        <patternFill patternType="solid">
          <fgColor indexed="65"/>
          <bgColor rgb="FFFFC7CE"/>
        </patternFill>
      </fill>
    </dxf>
    <dxf>
      <font>
        <b val="0"/>
        <i val="0"/>
        <strike val="0"/>
        <condense val="0"/>
        <extend val="0"/>
        <outline val="0"/>
        <shadow val="0"/>
        <u val="none"/>
        <vertAlign val="baseline"/>
        <sz val="11"/>
        <color rgb="FF9C0006"/>
        <name val="Calibri"/>
        <family val="2"/>
        <scheme val="minor"/>
      </font>
      <fill>
        <patternFill patternType="solid">
          <fgColor indexed="65"/>
          <bgColor rgb="FFFFC7CE"/>
        </patternFill>
      </fill>
    </dxf>
    <dxf>
      <font>
        <b val="0"/>
        <i val="0"/>
        <strike val="0"/>
        <condense val="0"/>
        <extend val="0"/>
        <outline val="0"/>
        <shadow val="0"/>
        <u val="none"/>
        <vertAlign val="baseline"/>
        <sz val="11"/>
        <color rgb="FF9C0006"/>
        <name val="Calibri"/>
        <family val="2"/>
        <scheme val="minor"/>
      </font>
      <fill>
        <patternFill patternType="solid">
          <fgColor indexed="65"/>
          <bgColor rgb="FFFFC7CE"/>
        </patternFill>
      </fill>
    </dxf>
    <dxf>
      <font>
        <b val="0"/>
        <i val="0"/>
        <strike val="0"/>
        <condense val="0"/>
        <extend val="0"/>
        <outline val="0"/>
        <shadow val="0"/>
        <u val="none"/>
        <vertAlign val="baseline"/>
        <sz val="11"/>
        <color rgb="FF006100"/>
        <name val="Calibri"/>
        <family val="2"/>
        <scheme val="minor"/>
      </font>
      <fill>
        <patternFill patternType="solid">
          <fgColor indexed="65"/>
          <bgColor rgb="FFC6EFCE"/>
        </patternFill>
      </fill>
    </dxf>
    <dxf>
      <font>
        <b val="0"/>
        <i val="0"/>
        <strike val="0"/>
        <condense val="0"/>
        <extend val="0"/>
        <outline val="0"/>
        <shadow val="0"/>
        <u val="none"/>
        <vertAlign val="baseline"/>
        <sz val="11"/>
        <color rgb="FF006100"/>
        <name val="Calibri"/>
        <family val="2"/>
        <scheme val="minor"/>
      </font>
      <fill>
        <patternFill patternType="solid">
          <fgColor indexed="65"/>
          <bgColor rgb="FFC6EFCE"/>
        </patternFill>
      </fill>
    </dxf>
    <dxf>
      <font>
        <b val="0"/>
        <i val="0"/>
        <strike val="0"/>
        <condense val="0"/>
        <extend val="0"/>
        <outline val="0"/>
        <shadow val="0"/>
        <u val="none"/>
        <vertAlign val="baseline"/>
        <sz val="11"/>
        <color rgb="FF006100"/>
        <name val="Calibri"/>
        <family val="2"/>
        <scheme val="minor"/>
      </font>
      <fill>
        <patternFill patternType="solid">
          <fgColor indexed="65"/>
          <bgColor rgb="FFC6EFCE"/>
        </patternFill>
      </fill>
    </dxf>
    <dxf>
      <font>
        <b val="0"/>
        <i val="0"/>
        <strike val="0"/>
        <condense val="0"/>
        <extend val="0"/>
        <outline val="0"/>
        <shadow val="0"/>
        <u val="none"/>
        <vertAlign val="baseline"/>
        <sz val="11"/>
        <color rgb="FF006100"/>
        <name val="Calibri"/>
        <family val="2"/>
        <scheme val="minor"/>
      </font>
      <fill>
        <patternFill patternType="solid">
          <fgColor indexed="65"/>
          <bgColor rgb="FFC6EFCE"/>
        </patternFill>
      </fill>
    </dxf>
    <dxf>
      <font>
        <b val="0"/>
        <i val="0"/>
        <strike val="0"/>
        <condense val="0"/>
        <extend val="0"/>
        <outline val="0"/>
        <shadow val="0"/>
        <u val="none"/>
        <vertAlign val="baseline"/>
        <sz val="11"/>
        <color rgb="FF006100"/>
        <name val="Calibri"/>
        <family val="2"/>
        <scheme val="minor"/>
      </font>
      <fill>
        <patternFill patternType="solid">
          <fgColor indexed="65"/>
          <bgColor rgb="FFC6EFCE"/>
        </patternFill>
      </fill>
    </dxf>
    <dxf>
      <font>
        <b val="0"/>
        <i val="0"/>
        <strike val="0"/>
        <condense val="0"/>
        <extend val="0"/>
        <outline val="0"/>
        <shadow val="0"/>
        <u val="none"/>
        <vertAlign val="baseline"/>
        <sz val="11"/>
        <color rgb="FF006100"/>
        <name val="Calibri"/>
        <family val="2"/>
        <scheme val="minor"/>
      </font>
      <fill>
        <patternFill patternType="solid">
          <fgColor indexed="65"/>
          <bgColor rgb="FFC6EFCE"/>
        </patternFill>
      </fill>
    </dxf>
    <dxf>
      <font>
        <b val="0"/>
        <i val="0"/>
        <strike val="0"/>
        <condense val="0"/>
        <extend val="0"/>
        <outline val="0"/>
        <shadow val="0"/>
        <u val="none"/>
        <vertAlign val="baseline"/>
        <sz val="11"/>
        <color rgb="FF9C5700"/>
        <name val="Calibri"/>
        <family val="2"/>
        <scheme val="minor"/>
      </font>
      <fill>
        <patternFill patternType="solid">
          <fgColor indexed="65"/>
          <bgColor rgb="FFFFEB9C"/>
        </patternFill>
      </fill>
    </dxf>
    <dxf>
      <font>
        <b val="0"/>
        <i val="0"/>
        <strike val="0"/>
        <condense val="0"/>
        <extend val="0"/>
        <outline val="0"/>
        <shadow val="0"/>
        <u val="none"/>
        <vertAlign val="baseline"/>
        <sz val="11"/>
        <color rgb="FF9C5700"/>
        <name val="Calibri"/>
        <family val="2"/>
        <scheme val="minor"/>
      </font>
      <fill>
        <patternFill patternType="solid">
          <fgColor indexed="65"/>
          <bgColor rgb="FFFFEB9C"/>
        </patternFill>
      </fill>
    </dxf>
    <dxf>
      <font>
        <color theme="5" tint="0.79998168889431442"/>
      </font>
    </dxf>
    <dxf>
      <font>
        <b val="0"/>
      </font>
    </dxf>
    <dxf>
      <font>
        <i/>
      </font>
    </dxf>
    <dxf>
      <font>
        <color theme="5" tint="0.79998168889431442"/>
      </font>
    </dxf>
    <dxf>
      <font>
        <b val="0"/>
        <i val="0"/>
        <strike val="0"/>
        <condense val="0"/>
        <extend val="0"/>
        <outline val="0"/>
        <shadow val="0"/>
        <u val="none"/>
        <vertAlign val="baseline"/>
        <sz val="11"/>
        <color rgb="FF9C5700"/>
        <name val="Calibri"/>
        <family val="2"/>
        <scheme val="minor"/>
      </font>
      <fill>
        <patternFill patternType="solid">
          <fgColor indexed="65"/>
          <bgColor rgb="FFFFEB9C"/>
        </patternFill>
      </fill>
    </dxf>
    <dxf>
      <font>
        <b val="0"/>
        <i val="0"/>
        <strike val="0"/>
        <condense val="0"/>
        <extend val="0"/>
        <outline val="0"/>
        <shadow val="0"/>
        <u val="none"/>
        <vertAlign val="baseline"/>
        <sz val="11"/>
        <color rgb="FF9C5700"/>
        <name val="Calibri"/>
        <family val="2"/>
        <scheme val="minor"/>
      </font>
      <fill>
        <patternFill patternType="solid">
          <fgColor indexed="65"/>
          <bgColor rgb="FFFFEB9C"/>
        </patternFill>
      </fill>
    </dxf>
    <dxf>
      <font>
        <b val="0"/>
        <i val="0"/>
        <strike val="0"/>
        <condense val="0"/>
        <extend val="0"/>
        <outline val="0"/>
        <shadow val="0"/>
        <u val="none"/>
        <vertAlign val="baseline"/>
        <sz val="11"/>
        <color rgb="FF006100"/>
        <name val="Calibri"/>
        <family val="2"/>
        <scheme val="minor"/>
      </font>
      <fill>
        <patternFill patternType="solid">
          <fgColor indexed="65"/>
          <bgColor rgb="FFC6EFCE"/>
        </patternFill>
      </fill>
    </dxf>
    <dxf>
      <font>
        <b val="0"/>
        <i val="0"/>
        <strike val="0"/>
        <condense val="0"/>
        <extend val="0"/>
        <outline val="0"/>
        <shadow val="0"/>
        <u val="none"/>
        <vertAlign val="baseline"/>
        <sz val="11"/>
        <color rgb="FF006100"/>
        <name val="Calibri"/>
        <family val="2"/>
        <scheme val="minor"/>
      </font>
      <fill>
        <patternFill patternType="solid">
          <fgColor indexed="65"/>
          <bgColor rgb="FFC6EFCE"/>
        </patternFill>
      </fill>
    </dxf>
    <dxf>
      <font>
        <b val="0"/>
        <i val="0"/>
        <strike val="0"/>
        <condense val="0"/>
        <extend val="0"/>
        <outline val="0"/>
        <shadow val="0"/>
        <u val="none"/>
        <vertAlign val="baseline"/>
        <sz val="11"/>
        <color rgb="FF006100"/>
        <name val="Calibri"/>
        <family val="2"/>
        <scheme val="minor"/>
      </font>
      <fill>
        <patternFill patternType="solid">
          <fgColor indexed="65"/>
          <bgColor rgb="FFC6EFCE"/>
        </patternFill>
      </fill>
    </dxf>
    <dxf>
      <font>
        <b val="0"/>
        <i val="0"/>
        <strike val="0"/>
        <condense val="0"/>
        <extend val="0"/>
        <outline val="0"/>
        <shadow val="0"/>
        <u val="none"/>
        <vertAlign val="baseline"/>
        <sz val="11"/>
        <color rgb="FF006100"/>
        <name val="Calibri"/>
        <family val="2"/>
        <scheme val="minor"/>
      </font>
      <fill>
        <patternFill patternType="solid">
          <fgColor indexed="65"/>
          <bgColor rgb="FFC6EFCE"/>
        </patternFill>
      </fill>
    </dxf>
    <dxf>
      <font>
        <b val="0"/>
        <i val="0"/>
        <strike val="0"/>
        <condense val="0"/>
        <extend val="0"/>
        <outline val="0"/>
        <shadow val="0"/>
        <u val="none"/>
        <vertAlign val="baseline"/>
        <sz val="11"/>
        <color rgb="FF006100"/>
        <name val="Calibri"/>
        <family val="2"/>
        <scheme val="minor"/>
      </font>
      <fill>
        <patternFill patternType="solid">
          <fgColor indexed="65"/>
          <bgColor rgb="FFC6EFCE"/>
        </patternFill>
      </fill>
    </dxf>
    <dxf>
      <font>
        <b val="0"/>
        <i val="0"/>
        <strike val="0"/>
        <condense val="0"/>
        <extend val="0"/>
        <outline val="0"/>
        <shadow val="0"/>
        <u val="none"/>
        <vertAlign val="baseline"/>
        <sz val="11"/>
        <color rgb="FF006100"/>
        <name val="Calibri"/>
        <family val="2"/>
        <scheme val="minor"/>
      </font>
      <fill>
        <patternFill patternType="solid">
          <fgColor indexed="65"/>
          <bgColor rgb="FFC6EFCE"/>
        </patternFill>
      </fill>
    </dxf>
    <dxf>
      <font>
        <b val="0"/>
        <i val="0"/>
        <strike val="0"/>
        <condense val="0"/>
        <extend val="0"/>
        <outline val="0"/>
        <shadow val="0"/>
        <u val="none"/>
        <vertAlign val="baseline"/>
        <sz val="11"/>
        <color rgb="FF9C0006"/>
        <name val="Calibri"/>
        <family val="2"/>
        <scheme val="minor"/>
      </font>
      <fill>
        <patternFill patternType="solid">
          <fgColor indexed="65"/>
          <bgColor rgb="FFFFC7CE"/>
        </patternFill>
      </fill>
    </dxf>
    <dxf>
      <font>
        <b val="0"/>
        <i val="0"/>
        <strike val="0"/>
        <condense val="0"/>
        <extend val="0"/>
        <outline val="0"/>
        <shadow val="0"/>
        <u val="none"/>
        <vertAlign val="baseline"/>
        <sz val="11"/>
        <color rgb="FF9C0006"/>
        <name val="Calibri"/>
        <family val="2"/>
        <scheme val="minor"/>
      </font>
      <fill>
        <patternFill patternType="solid">
          <fgColor indexed="65"/>
          <bgColor rgb="FFFFC7CE"/>
        </patternFill>
      </fill>
    </dxf>
    <dxf>
      <font>
        <b val="0"/>
        <i val="0"/>
        <strike val="0"/>
        <condense val="0"/>
        <extend val="0"/>
        <outline val="0"/>
        <shadow val="0"/>
        <u val="none"/>
        <vertAlign val="baseline"/>
        <sz val="11"/>
        <color rgb="FF9C0006"/>
        <name val="Calibri"/>
        <family val="2"/>
        <scheme val="minor"/>
      </font>
      <fill>
        <patternFill patternType="solid">
          <fgColor indexed="65"/>
          <bgColor rgb="FFFFC7CE"/>
        </patternFill>
      </fill>
    </dxf>
    <dxf>
      <font>
        <b val="0"/>
        <i val="0"/>
        <strike val="0"/>
        <condense val="0"/>
        <extend val="0"/>
        <outline val="0"/>
        <shadow val="0"/>
        <u val="none"/>
        <vertAlign val="baseline"/>
        <sz val="11"/>
        <color rgb="FF9C0006"/>
        <name val="Calibri"/>
        <family val="2"/>
        <scheme val="minor"/>
      </font>
      <fill>
        <patternFill patternType="solid">
          <fgColor indexed="65"/>
          <bgColor rgb="FFFFC7CE"/>
        </patternFill>
      </fill>
    </dxf>
    <dxf>
      <font>
        <b val="0"/>
        <i val="0"/>
        <strike val="0"/>
        <condense val="0"/>
        <extend val="0"/>
        <outline val="0"/>
        <shadow val="0"/>
        <u val="none"/>
        <vertAlign val="baseline"/>
        <sz val="11"/>
        <color rgb="FF9C0006"/>
        <name val="Calibri"/>
        <family val="2"/>
        <scheme val="minor"/>
      </font>
      <fill>
        <patternFill patternType="solid">
          <fgColor indexed="65"/>
          <bgColor rgb="FFFFC7CE"/>
        </patternFill>
      </fill>
    </dxf>
    <dxf>
      <font>
        <b val="0"/>
        <i val="0"/>
        <strike val="0"/>
        <condense val="0"/>
        <extend val="0"/>
        <outline val="0"/>
        <shadow val="0"/>
        <u val="none"/>
        <vertAlign val="baseline"/>
        <sz val="11"/>
        <color rgb="FF9C0006"/>
        <name val="Calibri"/>
        <family val="2"/>
        <scheme val="minor"/>
      </font>
      <fill>
        <patternFill patternType="solid">
          <fgColor indexed="65"/>
          <bgColor rgb="FFFFC7CE"/>
        </patternFill>
      </fill>
    </dxf>
    <dxf>
      <font>
        <i/>
      </font>
    </dxf>
    <dxf>
      <font>
        <b val="0"/>
      </font>
    </dxf>
    <dxf>
      <protection locked="0"/>
    </dxf>
    <dxf>
      <protection locked="0"/>
    </dxf>
    <dxf>
      <protection locked="0"/>
    </dxf>
    <dxf>
      <protection locked="0"/>
    </dxf>
    <dxf>
      <protection locked="0"/>
    </dxf>
    <dxf>
      <protection locked="0"/>
    </dxf>
    <dxf>
      <protection locked="0"/>
    </dxf>
    <dxf>
      <protection locked="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 formatCode="0"/>
    </dxf>
    <dxf>
      <numFmt numFmtId="0" formatCode="General"/>
    </dxf>
    <dxf>
      <numFmt numFmtId="0" formatCode="General"/>
    </dxf>
  </dxfs>
  <tableStyles count="0" defaultTableStyle="TableStyleMedium2" defaultPivotStyle="PivotStyleLight16"/>
  <colors>
    <mruColors>
      <color rgb="FF00FFFF"/>
      <color rgb="FFCC9900"/>
      <color rgb="FF006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microsoft.com/office/2007/relationships/slicerCache" Target="slicerCaches/slicerCache8.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microsoft.com/office/2007/relationships/slicerCache" Target="slicerCaches/slicerCache2.xml"/><Relationship Id="rId12" Type="http://schemas.microsoft.com/office/2007/relationships/slicerCache" Target="slicerCaches/slicerCache7.xml"/><Relationship Id="rId17" Type="http://schemas.openxmlformats.org/officeDocument/2006/relationships/theme" Target="theme/theme1.xml"/><Relationship Id="rId2" Type="http://schemas.openxmlformats.org/officeDocument/2006/relationships/worksheet" Target="worksheets/sheet2.xml"/><Relationship Id="rId16" Type="http://schemas.microsoft.com/office/2007/relationships/slicerCache" Target="slicerCaches/slicerCache11.xml"/><Relationship Id="rId20" Type="http://schemas.openxmlformats.org/officeDocument/2006/relationships/sharedStrings" Target="sharedStrings.xml"/><Relationship Id="rId1" Type="http://schemas.openxmlformats.org/officeDocument/2006/relationships/worksheet" Target="worksheets/sheet1.xml"/><Relationship Id="rId6" Type="http://schemas.microsoft.com/office/2007/relationships/slicerCache" Target="slicerCaches/slicerCache1.xml"/><Relationship Id="rId11" Type="http://schemas.microsoft.com/office/2007/relationships/slicerCache" Target="slicerCaches/slicerCache6.xml"/><Relationship Id="rId5" Type="http://schemas.openxmlformats.org/officeDocument/2006/relationships/pivotCacheDefinition" Target="pivotCache/pivotCacheDefinition2.xml"/><Relationship Id="rId15" Type="http://schemas.microsoft.com/office/2007/relationships/slicerCache" Target="slicerCaches/slicerCache10.xml"/><Relationship Id="rId23" Type="http://schemas.openxmlformats.org/officeDocument/2006/relationships/customXml" Target="../customXml/item1.xml"/><Relationship Id="rId10" Type="http://schemas.microsoft.com/office/2007/relationships/slicerCache" Target="slicerCaches/slicerCache5.xml"/><Relationship Id="rId19" Type="http://schemas.openxmlformats.org/officeDocument/2006/relationships/styles" Target="styles.xml"/><Relationship Id="rId4" Type="http://schemas.openxmlformats.org/officeDocument/2006/relationships/pivotCacheDefinition" Target="pivotCache/pivotCacheDefinition1.xml"/><Relationship Id="rId9" Type="http://schemas.microsoft.com/office/2007/relationships/slicerCache" Target="slicerCaches/slicerCache4.xml"/><Relationship Id="rId14" Type="http://schemas.microsoft.com/office/2007/relationships/slicerCache" Target="slicerCaches/slicerCache9.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jpeg"/><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image" Target="../media/image2.jpeg"/><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image" Target="../media/image2.jpeg"/><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4.xml"/><Relationship Id="rId1" Type="http://schemas.microsoft.com/office/2011/relationships/chartStyle" Target="style4.xml"/><Relationship Id="rId4" Type="http://schemas.openxmlformats.org/officeDocument/2006/relationships/image" Target="../media/image2.jpeg"/></Relationships>
</file>

<file path=xl/charts/_rels/chart5.xml.rels><?xml version="1.0" encoding="UTF-8" standalone="yes"?>
<Relationships xmlns="http://schemas.openxmlformats.org/package/2006/relationships"><Relationship Id="rId3" Type="http://schemas.openxmlformats.org/officeDocument/2006/relationships/image" Target="../media/image2.jpeg"/><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1" Type="http://schemas.openxmlformats.org/officeDocument/2006/relationships/image" Target="../media/image2.jpeg"/></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9.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0.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1.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2.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11.xml"/><Relationship Id="rId1" Type="http://schemas.microsoft.com/office/2011/relationships/chartStyle" Target="style11.xml"/></Relationships>
</file>

<file path=xl/charts/_rels/chart13.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4.xml.rels><?xml version="1.0" encoding="UTF-8" standalone="yes"?>
<Relationships xmlns="http://schemas.openxmlformats.org/package/2006/relationships"><Relationship Id="rId3" Type="http://schemas.openxmlformats.org/officeDocument/2006/relationships/themeOverride" Target="../theme/themeOverride3.xml"/><Relationship Id="rId2" Type="http://schemas.microsoft.com/office/2011/relationships/chartColorStyle" Target="colors13.xml"/><Relationship Id="rId1" Type="http://schemas.microsoft.com/office/2011/relationships/chartStyle" Target="style13.xml"/></Relationships>
</file>

<file path=xl/charts/_rels/chart15.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6.xml.rels><?xml version="1.0" encoding="UTF-8" standalone="yes"?>
<Relationships xmlns="http://schemas.openxmlformats.org/package/2006/relationships"><Relationship Id="rId3" Type="http://schemas.openxmlformats.org/officeDocument/2006/relationships/themeOverride" Target="../theme/themeOverride4.xml"/><Relationship Id="rId2" Type="http://schemas.microsoft.com/office/2011/relationships/chartColorStyle" Target="colors15.xml"/><Relationship Id="rId1" Type="http://schemas.microsoft.com/office/2011/relationships/chartStyle" Target="style15.xml"/><Relationship Id="rId4" Type="http://schemas.openxmlformats.org/officeDocument/2006/relationships/image" Target="../media/image2.jpeg"/></Relationships>
</file>

<file path=xl/charts/_rels/chart17.xml.rels><?xml version="1.0" encoding="UTF-8" standalone="yes"?>
<Relationships xmlns="http://schemas.openxmlformats.org/package/2006/relationships"><Relationship Id="rId3" Type="http://schemas.openxmlformats.org/officeDocument/2006/relationships/image" Target="../media/image2.jpeg"/><Relationship Id="rId2" Type="http://schemas.microsoft.com/office/2011/relationships/chartColorStyle" Target="colors16.xml"/><Relationship Id="rId1" Type="http://schemas.microsoft.com/office/2011/relationships/chartStyle" Target="style16.xml"/></Relationships>
</file>

<file path=xl/charts/_rels/chart18.xml.rels><?xml version="1.0" encoding="UTF-8" standalone="yes"?>
<Relationships xmlns="http://schemas.openxmlformats.org/package/2006/relationships"><Relationship Id="rId3" Type="http://schemas.openxmlformats.org/officeDocument/2006/relationships/image" Target="../media/image2.jpeg"/><Relationship Id="rId2" Type="http://schemas.microsoft.com/office/2011/relationships/chartColorStyle" Target="colors17.xml"/><Relationship Id="rId1" Type="http://schemas.microsoft.com/office/2011/relationships/chartStyle" Target="style1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survey cleaned Dataset &amp; Dshboard.xlsx]Sheet3!PivotTable1</c:name>
    <c:fmtId val="20"/>
  </c:pivotSource>
  <c:chart>
    <c:title>
      <c:tx>
        <c:rich>
          <a:bodyPr rot="0" spcFirstLastPara="1" vertOverflow="ellipsis" vert="horz" wrap="square" anchor="ctr" anchorCtr="1"/>
          <a:lstStyle/>
          <a:p>
            <a:pPr>
              <a:defRPr sz="1680" b="1" i="0" u="none" strike="noStrike" kern="1200" cap="none" baseline="0">
                <a:solidFill>
                  <a:schemeClr val="lt1">
                    <a:lumMod val="85000"/>
                  </a:schemeClr>
                </a:solidFill>
                <a:latin typeface="+mn-lt"/>
                <a:ea typeface="+mn-ea"/>
                <a:cs typeface="+mn-cs"/>
              </a:defRPr>
            </a:pPr>
            <a:r>
              <a:rPr kumimoji="0" lang="en-US" sz="1680" b="0" i="0" u="none" strike="noStrike" kern="1200" cap="none" spc="0" normalizeH="0" baseline="0" noProof="0">
                <a:ln>
                  <a:noFill/>
                </a:ln>
                <a:solidFill>
                  <a:sysClr val="windowText" lastClr="000000"/>
                </a:solidFill>
                <a:effectLst/>
                <a:uLnTx/>
                <a:uFillTx/>
                <a:latin typeface="+mn-lt"/>
              </a:rPr>
              <a:t>BIKE PURCHASED BASED ON MILES</a:t>
            </a:r>
          </a:p>
        </c:rich>
      </c:tx>
      <c:layout>
        <c:manualLayout>
          <c:xMode val="edge"/>
          <c:yMode val="edge"/>
          <c:x val="0.14159394927029378"/>
          <c:y val="0"/>
        </c:manualLayout>
      </c:layout>
      <c:overlay val="0"/>
      <c:spPr>
        <a:noFill/>
        <a:ln>
          <a:noFill/>
        </a:ln>
        <a:effectLst/>
      </c:spPr>
      <c:txPr>
        <a:bodyPr rot="0" spcFirstLastPara="1" vertOverflow="ellipsis" vert="horz" wrap="square" anchor="ctr" anchorCtr="1"/>
        <a:lstStyle/>
        <a:p>
          <a:pPr>
            <a:defRPr sz="168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dLbl>
          <c:idx val="0"/>
          <c:showLegendKey val="0"/>
          <c:showVal val="0"/>
          <c:showCatName val="0"/>
          <c:showSerName val="0"/>
          <c:showPercent val="0"/>
          <c:showBubbleSize val="0"/>
          <c:extLst>
            <c:ext xmlns:c15="http://schemas.microsoft.com/office/drawing/2012/chart" uri="{CE6537A1-D6FC-4f65-9D91-7224C49458BB}"/>
          </c:extLst>
        </c:dLbl>
      </c:pivotFmt>
      <c:pivotFmt>
        <c:idx val="10"/>
        <c:dLbl>
          <c:idx val="0"/>
          <c:showLegendKey val="0"/>
          <c:showVal val="0"/>
          <c:showCatName val="0"/>
          <c:showSerName val="0"/>
          <c:showPercent val="0"/>
          <c:showBubbleSize val="0"/>
          <c:extLst>
            <c:ext xmlns:c15="http://schemas.microsoft.com/office/drawing/2012/chart" uri="{CE6537A1-D6FC-4f65-9D91-7224C49458BB}"/>
          </c:extLst>
        </c:dLbl>
      </c:pivotFmt>
      <c:pivotFmt>
        <c:idx val="11"/>
        <c:dLbl>
          <c:idx val="0"/>
          <c:showLegendKey val="0"/>
          <c:showVal val="0"/>
          <c:showCatName val="0"/>
          <c:showSerName val="0"/>
          <c:showPercent val="0"/>
          <c:showBubbleSize val="0"/>
          <c:extLst>
            <c:ext xmlns:c15="http://schemas.microsoft.com/office/drawing/2012/chart" uri="{CE6537A1-D6FC-4f65-9D91-7224C49458BB}"/>
          </c:extLst>
        </c:dLbl>
      </c:pivotFmt>
      <c:pivotFmt>
        <c:idx val="12"/>
        <c:dLbl>
          <c:idx val="0"/>
          <c:showLegendKey val="0"/>
          <c:showVal val="0"/>
          <c:showCatName val="0"/>
          <c:showSerName val="0"/>
          <c:showPercent val="0"/>
          <c:showBubbleSize val="0"/>
          <c:extLst>
            <c:ext xmlns:c15="http://schemas.microsoft.com/office/drawing/2012/chart" uri="{CE6537A1-D6FC-4f65-9D91-7224C49458BB}"/>
          </c:extLst>
        </c:dLbl>
      </c:pivotFmt>
      <c:pivotFmt>
        <c:idx val="13"/>
        <c:dLbl>
          <c:idx val="0"/>
          <c:showLegendKey val="0"/>
          <c:showVal val="0"/>
          <c:showCatName val="0"/>
          <c:showSerName val="0"/>
          <c:showPercent val="0"/>
          <c:showBubbleSize val="0"/>
          <c:extLst>
            <c:ext xmlns:c15="http://schemas.microsoft.com/office/drawing/2012/chart" uri="{CE6537A1-D6FC-4f65-9D91-7224C49458BB}"/>
          </c:extLst>
        </c:dLbl>
      </c:pivotFmt>
      <c:pivotFmt>
        <c:idx val="14"/>
        <c:dLbl>
          <c:idx val="0"/>
          <c:showLegendKey val="0"/>
          <c:showVal val="0"/>
          <c:showCatName val="0"/>
          <c:showSerName val="0"/>
          <c:showPercent val="0"/>
          <c:showBubbleSize val="0"/>
          <c:extLst>
            <c:ext xmlns:c15="http://schemas.microsoft.com/office/drawing/2012/chart" uri="{CE6537A1-D6FC-4f65-9D91-7224C49458BB}"/>
          </c:extLst>
        </c:dLbl>
      </c:pivotFmt>
      <c:pivotFmt>
        <c:idx val="15"/>
        <c:dLbl>
          <c:idx val="0"/>
          <c:showLegendKey val="0"/>
          <c:showVal val="0"/>
          <c:showCatName val="0"/>
          <c:showSerName val="0"/>
          <c:showPercent val="0"/>
          <c:showBubbleSize val="0"/>
          <c:extLst>
            <c:ext xmlns:c15="http://schemas.microsoft.com/office/drawing/2012/chart" uri="{CE6537A1-D6FC-4f65-9D91-7224C49458BB}"/>
          </c:extLst>
        </c:dLbl>
      </c:pivotFmt>
      <c:pivotFmt>
        <c:idx val="16"/>
        <c:dLbl>
          <c:idx val="0"/>
          <c:showLegendKey val="0"/>
          <c:showVal val="0"/>
          <c:showCatName val="0"/>
          <c:showSerName val="0"/>
          <c:showPercent val="0"/>
          <c:showBubbleSize val="0"/>
          <c:extLst>
            <c:ext xmlns:c15="http://schemas.microsoft.com/office/drawing/2012/chart" uri="{CE6537A1-D6FC-4f65-9D91-7224C49458BB}"/>
          </c:extLst>
        </c:dLbl>
      </c:pivotFmt>
      <c:pivotFmt>
        <c:idx val="17"/>
        <c:dLbl>
          <c:idx val="0"/>
          <c:showLegendKey val="0"/>
          <c:showVal val="0"/>
          <c:showCatName val="0"/>
          <c:showSerName val="0"/>
          <c:showPercent val="0"/>
          <c:showBubbleSize val="0"/>
          <c:extLst>
            <c:ext xmlns:c15="http://schemas.microsoft.com/office/drawing/2012/chart" uri="{CE6537A1-D6FC-4f65-9D91-7224C49458BB}"/>
          </c:extLst>
        </c:dLbl>
      </c:pivotFmt>
      <c:pivotFmt>
        <c:idx val="18"/>
        <c:dLbl>
          <c:idx val="0"/>
          <c:showLegendKey val="0"/>
          <c:showVal val="0"/>
          <c:showCatName val="0"/>
          <c:showSerName val="0"/>
          <c:showPercent val="0"/>
          <c:showBubbleSize val="0"/>
          <c:extLst>
            <c:ext xmlns:c15="http://schemas.microsoft.com/office/drawing/2012/chart" uri="{CE6537A1-D6FC-4f65-9D91-7224C49458BB}"/>
          </c:extLst>
        </c:dLbl>
      </c:pivotFmt>
      <c:pivotFmt>
        <c:idx val="19"/>
        <c:dLbl>
          <c:idx val="0"/>
          <c:showLegendKey val="0"/>
          <c:showVal val="0"/>
          <c:showCatName val="0"/>
          <c:showSerName val="0"/>
          <c:showPercent val="0"/>
          <c:showBubbleSize val="0"/>
          <c:extLst>
            <c:ext xmlns:c15="http://schemas.microsoft.com/office/drawing/2012/chart" uri="{CE6537A1-D6FC-4f65-9D91-7224C49458BB}"/>
          </c:extLst>
        </c:dLbl>
      </c:pivotFmt>
      <c:pivotFmt>
        <c:idx val="20"/>
        <c:dLbl>
          <c:idx val="0"/>
          <c:showLegendKey val="0"/>
          <c:showVal val="0"/>
          <c:showCatName val="0"/>
          <c:showSerName val="0"/>
          <c:showPercent val="0"/>
          <c:showBubbleSize val="0"/>
          <c:extLst>
            <c:ext xmlns:c15="http://schemas.microsoft.com/office/drawing/2012/chart" uri="{CE6537A1-D6FC-4f65-9D91-7224C49458BB}"/>
          </c:extLst>
        </c:dLbl>
      </c:pivotFmt>
      <c:pivotFmt>
        <c:idx val="21"/>
        <c:spPr>
          <a:ln w="22225" cap="rnd">
            <a:solidFill>
              <a:schemeClr val="accent6"/>
            </a:solidFill>
          </a:ln>
          <a:effectLst>
            <a:glow rad="139700">
              <a:schemeClr val="accent6">
                <a:satMod val="175000"/>
                <a:alpha val="14000"/>
              </a:schemeClr>
            </a:glow>
          </a:effectLst>
        </c:spPr>
        <c:marker>
          <c:symbol val="circle"/>
          <c:size val="4"/>
          <c:spPr>
            <a:solidFill>
              <a:schemeClr val="accent6">
                <a:lumMod val="60000"/>
                <a:lumOff val="40000"/>
              </a:schemeClr>
            </a:solidFill>
            <a:ln>
              <a:noFill/>
            </a:ln>
            <a:effectLst>
              <a:glow rad="63500">
                <a:schemeClr val="accent6">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ysClr val="windowText" lastClr="000000"/>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2"/>
        <c:spPr>
          <a:ln w="22225" cap="rnd">
            <a:solidFill>
              <a:schemeClr val="accent6"/>
            </a:solidFill>
          </a:ln>
          <a:effectLst>
            <a:glow rad="139700">
              <a:schemeClr val="accent6">
                <a:satMod val="175000"/>
                <a:alpha val="14000"/>
              </a:schemeClr>
            </a:glow>
          </a:effectLst>
        </c:spPr>
        <c:marker>
          <c:symbol val="circle"/>
          <c:size val="4"/>
          <c:spPr>
            <a:solidFill>
              <a:schemeClr val="accent5">
                <a:lumMod val="60000"/>
                <a:lumOff val="40000"/>
              </a:schemeClr>
            </a:solidFill>
            <a:ln>
              <a:noFill/>
            </a:ln>
            <a:effectLst>
              <a:glow rad="63500">
                <a:schemeClr val="accent5">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ysClr val="windowText" lastClr="000000"/>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3"/>
        <c:spPr>
          <a:ln w="22225" cap="rnd">
            <a:solidFill>
              <a:schemeClr val="accent6"/>
            </a:solidFill>
          </a:ln>
          <a:effectLst>
            <a:glow rad="139700">
              <a:schemeClr val="accent6">
                <a:satMod val="175000"/>
                <a:alpha val="14000"/>
              </a:schemeClr>
            </a:glow>
          </a:effectLst>
        </c:spPr>
        <c:marker>
          <c:symbol val="circle"/>
          <c:size val="4"/>
          <c:spPr>
            <a:solidFill>
              <a:schemeClr val="accent5">
                <a:lumMod val="60000"/>
                <a:lumOff val="40000"/>
              </a:schemeClr>
            </a:solidFill>
            <a:ln>
              <a:noFill/>
            </a:ln>
            <a:effectLst>
              <a:glow rad="63500">
                <a:schemeClr val="accent5">
                  <a:satMod val="175000"/>
                  <a:alpha val="25000"/>
                </a:schemeClr>
              </a:glow>
            </a:effectLst>
          </c:spPr>
        </c:marker>
        <c:dLbl>
          <c:idx val="0"/>
          <c:layout>
            <c:manualLayout>
              <c:x val="-1.9458086722914832E-2"/>
              <c:y val="-9.0395480225988704E-3"/>
            </c:manualLayout>
          </c:layout>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ysClr val="windowText" lastClr="000000"/>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2.9414298777013674E-2"/>
          <c:y val="0.14057889100067558"/>
          <c:w val="0.92940568293516723"/>
          <c:h val="0.69029155593936975"/>
        </c:manualLayout>
      </c:layout>
      <c:lineChart>
        <c:grouping val="stacked"/>
        <c:varyColors val="0"/>
        <c:ser>
          <c:idx val="0"/>
          <c:order val="0"/>
          <c:tx>
            <c:strRef>
              <c:f>Sheet3!$B$40:$B$42</c:f>
              <c:strCache>
                <c:ptCount val="1"/>
                <c:pt idx="0">
                  <c:v>No</c:v>
                </c:pt>
              </c:strCache>
            </c:strRef>
          </c:tx>
          <c:spPr>
            <a:ln w="22225" cap="rnd">
              <a:solidFill>
                <a:schemeClr val="accent6"/>
              </a:solidFill>
            </a:ln>
            <a:effectLst>
              <a:glow rad="139700">
                <a:schemeClr val="accent6">
                  <a:satMod val="175000"/>
                  <a:alpha val="14000"/>
                </a:schemeClr>
              </a:glow>
            </a:effectLst>
          </c:spPr>
          <c:marker>
            <c:symbol val="circle"/>
            <c:size val="4"/>
            <c:spPr>
              <a:solidFill>
                <a:schemeClr val="accent6">
                  <a:lumMod val="60000"/>
                  <a:lumOff val="40000"/>
                </a:schemeClr>
              </a:solidFill>
              <a:ln>
                <a:noFill/>
              </a:ln>
              <a:effectLst>
                <a:glow rad="63500">
                  <a:schemeClr val="accent6">
                    <a:satMod val="175000"/>
                    <a:alpha val="25000"/>
                  </a:schemeClr>
                </a:glow>
              </a:effectLst>
            </c:spPr>
          </c:marker>
          <c:dLbls>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ysClr val="windowText" lastClr="000000"/>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Sheet3!$A$43:$A$48</c:f>
              <c:strCache>
                <c:ptCount val="5"/>
                <c:pt idx="0">
                  <c:v>0-1 Miles</c:v>
                </c:pt>
                <c:pt idx="1">
                  <c:v>1-2 Miles</c:v>
                </c:pt>
                <c:pt idx="2">
                  <c:v>2-5 Miles</c:v>
                </c:pt>
                <c:pt idx="3">
                  <c:v>5-10 Miles</c:v>
                </c:pt>
                <c:pt idx="4">
                  <c:v>more than 10 Miles</c:v>
                </c:pt>
              </c:strCache>
            </c:strRef>
          </c:cat>
          <c:val>
            <c:numRef>
              <c:f>Sheet3!$B$43:$B$48</c:f>
              <c:numCache>
                <c:formatCode>General</c:formatCode>
                <c:ptCount val="5"/>
                <c:pt idx="0">
                  <c:v>166</c:v>
                </c:pt>
                <c:pt idx="1">
                  <c:v>92</c:v>
                </c:pt>
                <c:pt idx="2">
                  <c:v>67</c:v>
                </c:pt>
                <c:pt idx="3">
                  <c:v>116</c:v>
                </c:pt>
                <c:pt idx="4">
                  <c:v>78</c:v>
                </c:pt>
              </c:numCache>
            </c:numRef>
          </c:val>
          <c:smooth val="0"/>
          <c:extLst>
            <c:ext xmlns:c16="http://schemas.microsoft.com/office/drawing/2014/chart" uri="{C3380CC4-5D6E-409C-BE32-E72D297353CC}">
              <c16:uniqueId val="{00000000-D8F2-42AC-9753-2BB66FC33C0F}"/>
            </c:ext>
          </c:extLst>
        </c:ser>
        <c:ser>
          <c:idx val="1"/>
          <c:order val="1"/>
          <c:tx>
            <c:strRef>
              <c:f>Sheet3!$C$40:$C$42</c:f>
              <c:strCache>
                <c:ptCount val="1"/>
                <c:pt idx="0">
                  <c:v>Yes</c:v>
                </c:pt>
              </c:strCache>
            </c:strRef>
          </c:tx>
          <c:spPr>
            <a:ln w="22225" cap="rnd">
              <a:solidFill>
                <a:schemeClr val="accent5"/>
              </a:solidFill>
            </a:ln>
            <a:effectLst>
              <a:glow rad="139700">
                <a:schemeClr val="accent5">
                  <a:satMod val="175000"/>
                  <a:alpha val="14000"/>
                </a:schemeClr>
              </a:glow>
            </a:effectLst>
          </c:spPr>
          <c:marker>
            <c:symbol val="circle"/>
            <c:size val="4"/>
            <c:spPr>
              <a:solidFill>
                <a:schemeClr val="accent5">
                  <a:lumMod val="60000"/>
                  <a:lumOff val="40000"/>
                </a:schemeClr>
              </a:solidFill>
              <a:ln>
                <a:noFill/>
              </a:ln>
              <a:effectLst>
                <a:glow rad="63500">
                  <a:schemeClr val="accent5">
                    <a:satMod val="175000"/>
                    <a:alpha val="25000"/>
                  </a:schemeClr>
                </a:glow>
              </a:effectLst>
            </c:spPr>
          </c:marker>
          <c:dPt>
            <c:idx val="0"/>
            <c:marker>
              <c:symbol val="circle"/>
              <c:size val="4"/>
              <c:spPr>
                <a:solidFill>
                  <a:schemeClr val="accent5">
                    <a:lumMod val="60000"/>
                    <a:lumOff val="40000"/>
                  </a:schemeClr>
                </a:solidFill>
                <a:ln>
                  <a:noFill/>
                </a:ln>
                <a:effectLst>
                  <a:glow rad="63500">
                    <a:schemeClr val="accent5">
                      <a:satMod val="175000"/>
                      <a:alpha val="25000"/>
                    </a:schemeClr>
                  </a:glow>
                </a:effectLst>
              </c:spPr>
            </c:marker>
            <c:bubble3D val="0"/>
            <c:spPr>
              <a:ln w="22225" cap="rnd">
                <a:solidFill>
                  <a:schemeClr val="accent5"/>
                </a:solidFill>
              </a:ln>
              <a:effectLst>
                <a:glow rad="139700">
                  <a:schemeClr val="accent5">
                    <a:satMod val="175000"/>
                    <a:alpha val="14000"/>
                  </a:schemeClr>
                </a:glow>
              </a:effectLst>
            </c:spPr>
          </c:dPt>
          <c:dLbls>
            <c:dLbl>
              <c:idx val="0"/>
              <c:layout>
                <c:manualLayout>
                  <c:x val="-1.9458086722914832E-2"/>
                  <c:y val="-9.0395480225988704E-3"/>
                </c:manualLayout>
              </c:layout>
              <c:dLblPos val="r"/>
              <c:showLegendKey val="0"/>
              <c:showVal val="1"/>
              <c:showCatName val="0"/>
              <c:showSerName val="0"/>
              <c:showPercent val="0"/>
              <c:showBubbleSize val="0"/>
              <c:extLst>
                <c:ext xmlns:c15="http://schemas.microsoft.com/office/drawing/2012/chart" uri="{CE6537A1-D6FC-4f65-9D91-7224C49458BB}"/>
              </c:extLst>
            </c:dLbl>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ysClr val="windowText" lastClr="000000"/>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Sheet3!$A$43:$A$48</c:f>
              <c:strCache>
                <c:ptCount val="5"/>
                <c:pt idx="0">
                  <c:v>0-1 Miles</c:v>
                </c:pt>
                <c:pt idx="1">
                  <c:v>1-2 Miles</c:v>
                </c:pt>
                <c:pt idx="2">
                  <c:v>2-5 Miles</c:v>
                </c:pt>
                <c:pt idx="3">
                  <c:v>5-10 Miles</c:v>
                </c:pt>
                <c:pt idx="4">
                  <c:v>more than 10 Miles</c:v>
                </c:pt>
              </c:strCache>
            </c:strRef>
          </c:cat>
          <c:val>
            <c:numRef>
              <c:f>Sheet3!$C$43:$C$48</c:f>
              <c:numCache>
                <c:formatCode>General</c:formatCode>
                <c:ptCount val="5"/>
                <c:pt idx="0">
                  <c:v>200</c:v>
                </c:pt>
                <c:pt idx="1">
                  <c:v>77</c:v>
                </c:pt>
                <c:pt idx="2">
                  <c:v>95</c:v>
                </c:pt>
                <c:pt idx="3">
                  <c:v>76</c:v>
                </c:pt>
                <c:pt idx="4">
                  <c:v>33</c:v>
                </c:pt>
              </c:numCache>
            </c:numRef>
          </c:val>
          <c:smooth val="0"/>
          <c:extLst>
            <c:ext xmlns:c16="http://schemas.microsoft.com/office/drawing/2014/chart" uri="{C3380CC4-5D6E-409C-BE32-E72D297353CC}">
              <c16:uniqueId val="{00000001-4099-4F3C-85F9-CFEB171EE28D}"/>
            </c:ext>
          </c:extLst>
        </c:ser>
        <c:dLbls>
          <c:dLblPos val="ctr"/>
          <c:showLegendKey val="0"/>
          <c:showVal val="1"/>
          <c:showCatName val="0"/>
          <c:showSerName val="0"/>
          <c:showPercent val="0"/>
          <c:showBubbleSize val="0"/>
        </c:dLbls>
        <c:marker val="1"/>
        <c:smooth val="0"/>
        <c:axId val="1421743775"/>
        <c:axId val="1421719775"/>
      </c:lineChart>
      <c:catAx>
        <c:axId val="1421743775"/>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ysClr val="windowText" lastClr="000000"/>
                </a:solidFill>
                <a:latin typeface="+mn-lt"/>
                <a:ea typeface="+mn-ea"/>
                <a:cs typeface="+mn-cs"/>
              </a:defRPr>
            </a:pPr>
            <a:endParaRPr lang="en-US"/>
          </a:p>
        </c:txPr>
        <c:crossAx val="1421719775"/>
        <c:crosses val="autoZero"/>
        <c:auto val="1"/>
        <c:lblAlgn val="ctr"/>
        <c:lblOffset val="100"/>
        <c:noMultiLvlLbl val="0"/>
      </c:catAx>
      <c:valAx>
        <c:axId val="1421719775"/>
        <c:scaling>
          <c:orientation val="minMax"/>
        </c:scaling>
        <c:delete val="1"/>
        <c:axPos val="l"/>
        <c:numFmt formatCode="General" sourceLinked="1"/>
        <c:majorTickMark val="out"/>
        <c:minorTickMark val="none"/>
        <c:tickLblPos val="nextTo"/>
        <c:crossAx val="1421743775"/>
        <c:crosses val="autoZero"/>
        <c:crossBetween val="between"/>
      </c:valAx>
      <c:spPr>
        <a:blipFill>
          <a:blip xmlns:r="http://schemas.openxmlformats.org/officeDocument/2006/relationships" r:embed="rId3"/>
          <a:tile tx="0" ty="0" sx="100000" sy="100000" flip="none" algn="tl"/>
        </a:blipFill>
        <a:ln>
          <a:noFill/>
        </a:ln>
        <a:effectLst/>
      </c:spPr>
    </c:plotArea>
    <c:legend>
      <c:legendPos val="b"/>
      <c:overlay val="0"/>
      <c:spPr>
        <a:noFill/>
        <a:ln>
          <a:noFill/>
        </a:ln>
        <a:effectLst/>
      </c:spPr>
      <c:txPr>
        <a:bodyPr rot="0" spcFirstLastPara="1" vertOverflow="ellipsis" vert="horz" wrap="square" anchor="ctr" anchorCtr="1"/>
        <a:lstStyle/>
        <a:p>
          <a:pPr>
            <a:defRPr sz="1400" b="0" i="0" u="none" strike="noStrike" kern="1200" baseline="0">
              <a:solidFill>
                <a:sysClr val="windowText" lastClr="000000"/>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blipFill>
      <a:blip xmlns:r="http://schemas.openxmlformats.org/officeDocument/2006/relationships" r:embed="rId3"/>
      <a:tile tx="0" ty="0" sx="100000" sy="100000" flip="none" algn="tl"/>
    </a:blipFill>
    <a:ln w="9525" cap="flat" cmpd="sng" algn="ctr">
      <a:solidFill>
        <a:schemeClr val="dk1">
          <a:lumMod val="15000"/>
          <a:lumOff val="85000"/>
        </a:schemeClr>
      </a:solidFill>
      <a:round/>
    </a:ln>
    <a:effectLst/>
  </c:spPr>
  <c:txPr>
    <a:bodyPr/>
    <a:lstStyle/>
    <a:p>
      <a:pPr>
        <a:defRPr sz="14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survey cleaned Dataset &amp; Dshboard.xlsx]Sheet3!PivotTable3</c:name>
    <c:fmtId val="41"/>
  </c:pivotSource>
  <c:chart>
    <c:autoTitleDeleted val="0"/>
    <c:pivotFmts>
      <c:pivotFmt>
        <c:idx val="0"/>
        <c:dLbl>
          <c:idx val="0"/>
          <c:showLegendKey val="0"/>
          <c:showVal val="1"/>
          <c:showCatName val="0"/>
          <c:showSerName val="0"/>
          <c:showPercent val="0"/>
          <c:showBubbleSize val="0"/>
          <c:extLst>
            <c:ext xmlns:c15="http://schemas.microsoft.com/office/drawing/2012/chart" uri="{CE6537A1-D6FC-4f65-9D91-7224C49458BB}"/>
          </c:extLst>
        </c:dLbl>
      </c:pivotFmt>
      <c:pivotFmt>
        <c:idx val="1"/>
        <c:dLbl>
          <c:idx val="0"/>
          <c:showLegendKey val="0"/>
          <c:showVal val="1"/>
          <c:showCatName val="0"/>
          <c:showSerName val="0"/>
          <c:showPercent val="0"/>
          <c:showBubbleSize val="0"/>
          <c:extLst>
            <c:ext xmlns:c15="http://schemas.microsoft.com/office/drawing/2012/chart" uri="{CE6537A1-D6FC-4f65-9D91-7224C49458BB}"/>
          </c:extLst>
        </c:dLbl>
      </c:pivotFmt>
      <c:pivotFmt>
        <c:idx val="2"/>
      </c:pivotFmt>
      <c:pivotFmt>
        <c:idx val="3"/>
        <c:dLbl>
          <c:idx val="0"/>
          <c:showLegendKey val="0"/>
          <c:showVal val="1"/>
          <c:showCatName val="0"/>
          <c:showSerName val="0"/>
          <c:showPercent val="0"/>
          <c:showBubbleSize val="0"/>
          <c:extLst>
            <c:ext xmlns:c15="http://schemas.microsoft.com/office/drawing/2012/chart" uri="{CE6537A1-D6FC-4f65-9D91-7224C49458BB}"/>
          </c:extLst>
        </c:dLbl>
      </c:pivotFmt>
      <c:pivotFmt>
        <c:idx val="4"/>
        <c:dLbl>
          <c:idx val="0"/>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2.5396833861378615E-2"/>
              <c:y val="-7.7519356186487153E-3"/>
            </c:manualLayout>
          </c:layout>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2.1164028217815514E-2"/>
              <c:y val="-1.4211717792545972E-16"/>
            </c:manualLayout>
          </c:layout>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166454105190059"/>
          <c:y val="0.11642156002516021"/>
          <c:w val="0.91970734315122049"/>
          <c:h val="0.80922455923073944"/>
        </c:manualLayout>
      </c:layout>
      <c:barChart>
        <c:barDir val="col"/>
        <c:grouping val="clustered"/>
        <c:varyColors val="0"/>
        <c:ser>
          <c:idx val="0"/>
          <c:order val="0"/>
          <c:tx>
            <c:strRef>
              <c:f>Sheet3!$B$3:$B$4</c:f>
              <c:strCache>
                <c:ptCount val="1"/>
                <c:pt idx="0">
                  <c:v>No</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Sheet3!$A$5:$A$10</c:f>
              <c:strCache>
                <c:ptCount val="5"/>
                <c:pt idx="0">
                  <c:v>adults</c:v>
                </c:pt>
                <c:pt idx="1">
                  <c:v>mature adult </c:v>
                </c:pt>
                <c:pt idx="2">
                  <c:v>middle age</c:v>
                </c:pt>
                <c:pt idx="3">
                  <c:v>senior citizen</c:v>
                </c:pt>
                <c:pt idx="4">
                  <c:v>young adults</c:v>
                </c:pt>
              </c:strCache>
            </c:strRef>
          </c:cat>
          <c:val>
            <c:numRef>
              <c:f>Sheet3!$B$5:$B$10</c:f>
              <c:numCache>
                <c:formatCode>General</c:formatCode>
                <c:ptCount val="5"/>
                <c:pt idx="0">
                  <c:v>122</c:v>
                </c:pt>
                <c:pt idx="1">
                  <c:v>219</c:v>
                </c:pt>
                <c:pt idx="2">
                  <c:v>121</c:v>
                </c:pt>
                <c:pt idx="3">
                  <c:v>9</c:v>
                </c:pt>
                <c:pt idx="4">
                  <c:v>48</c:v>
                </c:pt>
              </c:numCache>
            </c:numRef>
          </c:val>
          <c:extLst>
            <c:ext xmlns:c16="http://schemas.microsoft.com/office/drawing/2014/chart" uri="{C3380CC4-5D6E-409C-BE32-E72D297353CC}">
              <c16:uniqueId val="{00000000-1BC1-43B1-A49F-0DED92FF31A9}"/>
            </c:ext>
          </c:extLst>
        </c:ser>
        <c:ser>
          <c:idx val="1"/>
          <c:order val="1"/>
          <c:tx>
            <c:strRef>
              <c:f>Sheet3!$C$3:$C$4</c:f>
              <c:strCache>
                <c:ptCount val="1"/>
                <c:pt idx="0">
                  <c:v>Yes</c:v>
                </c:pt>
              </c:strCache>
            </c:strRef>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Pt>
            <c:idx val="2"/>
            <c:invertIfNegative val="0"/>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dPt>
          <c:dPt>
            <c:idx val="4"/>
            <c:invertIfNegative val="0"/>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dPt>
          <c:dLbls>
            <c:dLbl>
              <c:idx val="2"/>
              <c:layout>
                <c:manualLayout>
                  <c:x val="2.5396833861378615E-2"/>
                  <c:y val="-7.7519356186487153E-3"/>
                </c:manualLayout>
              </c:layout>
              <c:showLegendKey val="0"/>
              <c:showVal val="1"/>
              <c:showCatName val="0"/>
              <c:showSerName val="0"/>
              <c:showPercent val="0"/>
              <c:showBubbleSize val="0"/>
              <c:extLst>
                <c:ext xmlns:c15="http://schemas.microsoft.com/office/drawing/2012/chart" uri="{CE6537A1-D6FC-4f65-9D91-7224C49458BB}"/>
              </c:extLst>
            </c:dLbl>
            <c:dLbl>
              <c:idx val="4"/>
              <c:layout>
                <c:manualLayout>
                  <c:x val="2.1164028217815514E-2"/>
                  <c:y val="-1.4211717792545972E-16"/>
                </c:manualLayout>
              </c:layout>
              <c:showLegendKey val="0"/>
              <c:showVal val="1"/>
              <c:showCatName val="0"/>
              <c:showSerName val="0"/>
              <c:showPercent val="0"/>
              <c:showBubbleSize val="0"/>
              <c:extLst>
                <c:ext xmlns:c15="http://schemas.microsoft.com/office/drawing/2012/chart" uri="{CE6537A1-D6FC-4f65-9D91-7224C49458BB}"/>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Sheet3!$A$5:$A$10</c:f>
              <c:strCache>
                <c:ptCount val="5"/>
                <c:pt idx="0">
                  <c:v>adults</c:v>
                </c:pt>
                <c:pt idx="1">
                  <c:v>mature adult </c:v>
                </c:pt>
                <c:pt idx="2">
                  <c:v>middle age</c:v>
                </c:pt>
                <c:pt idx="3">
                  <c:v>senior citizen</c:v>
                </c:pt>
                <c:pt idx="4">
                  <c:v>young adults</c:v>
                </c:pt>
              </c:strCache>
            </c:strRef>
          </c:cat>
          <c:val>
            <c:numRef>
              <c:f>Sheet3!$C$5:$C$10</c:f>
              <c:numCache>
                <c:formatCode>General</c:formatCode>
                <c:ptCount val="5"/>
                <c:pt idx="0">
                  <c:v>179</c:v>
                </c:pt>
                <c:pt idx="1">
                  <c:v>208</c:v>
                </c:pt>
                <c:pt idx="2">
                  <c:v>53</c:v>
                </c:pt>
                <c:pt idx="3">
                  <c:v>6</c:v>
                </c:pt>
                <c:pt idx="4">
                  <c:v>35</c:v>
                </c:pt>
              </c:numCache>
            </c:numRef>
          </c:val>
          <c:extLst>
            <c:ext xmlns:c16="http://schemas.microsoft.com/office/drawing/2014/chart" uri="{C3380CC4-5D6E-409C-BE32-E72D297353CC}">
              <c16:uniqueId val="{00000003-BB4E-4823-86AC-F9E9130BAF14}"/>
            </c:ext>
          </c:extLst>
        </c:ser>
        <c:dLbls>
          <c:showLegendKey val="0"/>
          <c:showVal val="0"/>
          <c:showCatName val="0"/>
          <c:showSerName val="0"/>
          <c:showPercent val="0"/>
          <c:showBubbleSize val="0"/>
        </c:dLbls>
        <c:gapWidth val="100"/>
        <c:overlap val="-24"/>
        <c:axId val="1789472624"/>
        <c:axId val="1789454864"/>
      </c:barChart>
      <c:catAx>
        <c:axId val="1789472624"/>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789454864"/>
        <c:crosses val="autoZero"/>
        <c:auto val="1"/>
        <c:lblAlgn val="ctr"/>
        <c:lblOffset val="100"/>
        <c:noMultiLvlLbl val="0"/>
      </c:catAx>
      <c:valAx>
        <c:axId val="1789454864"/>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17894726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blipFill>
      <a:blip xmlns:r="http://schemas.openxmlformats.org/officeDocument/2006/relationships" r:embed="rId3"/>
      <a:tile tx="0" ty="0" sx="100000" sy="100000" flip="none" algn="tl"/>
    </a:blip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survey cleaned Dataset &amp; Dshboard.xlsx]Sheet3!PivotTable2</c:name>
    <c:fmtId val="8"/>
  </c:pivotSource>
  <c:chart>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6">
              <a:alpha val="85000"/>
            </a:schemeClr>
          </a:solidFill>
          <a:ln w="9525" cap="flat" cmpd="sng" algn="ctr">
            <a:solidFill>
              <a:schemeClr val="accent6">
                <a:lumMod val="75000"/>
              </a:schemeClr>
            </a:solidFill>
            <a:round/>
          </a:ln>
          <a:effectLst/>
          <a:sp3d contourW="9525">
            <a:contourClr>
              <a:schemeClr val="accent6">
                <a:lumMod val="75000"/>
              </a:schemeClr>
            </a:contourClr>
          </a:sp3d>
        </c:spPr>
        <c:marker>
          <c:symbol val="none"/>
        </c:marker>
        <c:dLbl>
          <c:idx val="0"/>
          <c:spPr>
            <a:solidFill>
              <a:sysClr val="windowText" lastClr="000000">
                <a:lumMod val="65000"/>
                <a:lumOff val="35000"/>
                <a:alpha val="75000"/>
              </a:sysClr>
            </a:solidFill>
            <a:ln>
              <a:noFill/>
            </a:ln>
            <a:effectLst/>
          </c:spPr>
          <c:txPr>
            <a:bodyPr rot="0" spcFirstLastPara="1" vertOverflow="clip" horzOverflow="clip" vert="horz" wrap="square" lIns="38100" tIns="19050" rIns="38100" bIns="19050" anchor="ctr" anchorCtr="1">
              <a:spAutoFit/>
            </a:bodyPr>
            <a:lstStyle/>
            <a:p>
              <a:pPr>
                <a:defRPr sz="1400" b="1" i="0" u="none" strike="noStrike" kern="1200" baseline="0">
                  <a:solidFill>
                    <a:schemeClr val="lt1"/>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accent6">
              <a:alpha val="85000"/>
            </a:schemeClr>
          </a:solidFill>
          <a:ln w="9525" cap="flat" cmpd="sng" algn="ctr">
            <a:solidFill>
              <a:schemeClr val="accent6">
                <a:lumMod val="75000"/>
              </a:schemeClr>
            </a:solidFill>
            <a:round/>
          </a:ln>
          <a:effectLst/>
          <a:sp3d contourW="9525">
            <a:contourClr>
              <a:schemeClr val="accent6">
                <a:lumMod val="75000"/>
              </a:schemeClr>
            </a:contourClr>
          </a:sp3d>
        </c:spPr>
        <c:marker>
          <c:symbol val="none"/>
        </c:marker>
        <c:dLbl>
          <c:idx val="0"/>
          <c:spPr>
            <a:solidFill>
              <a:sysClr val="windowText" lastClr="000000">
                <a:lumMod val="65000"/>
                <a:lumOff val="35000"/>
                <a:alpha val="75000"/>
              </a:sysClr>
            </a:solidFill>
            <a:ln>
              <a:noFill/>
            </a:ln>
            <a:effectLst/>
          </c:spPr>
          <c:txPr>
            <a:bodyPr rot="0" spcFirstLastPara="1" vertOverflow="clip" horzOverflow="clip" vert="horz" wrap="square" lIns="38100" tIns="19050" rIns="38100" bIns="19050" anchor="ctr" anchorCtr="1">
              <a:spAutoFit/>
            </a:bodyPr>
            <a:lstStyle/>
            <a:p>
              <a:pPr>
                <a:defRPr sz="1400" b="1" i="0" u="none" strike="noStrike" kern="1200" baseline="0">
                  <a:solidFill>
                    <a:schemeClr val="lt1"/>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
        <c:spPr>
          <a:solidFill>
            <a:schemeClr val="accent6">
              <a:alpha val="85000"/>
            </a:schemeClr>
          </a:solidFill>
          <a:ln w="9525" cap="flat" cmpd="sng" algn="ctr">
            <a:solidFill>
              <a:schemeClr val="accent6">
                <a:lumMod val="75000"/>
              </a:schemeClr>
            </a:solidFill>
            <a:round/>
          </a:ln>
          <a:effectLst/>
          <a:sp3d contourW="9525">
            <a:contourClr>
              <a:schemeClr val="accent6">
                <a:lumMod val="75000"/>
              </a:schemeClr>
            </a:contourClr>
          </a:sp3d>
        </c:spPr>
        <c:marker>
          <c:symbol val="none"/>
        </c:marker>
        <c:dLbl>
          <c:idx val="0"/>
          <c:spPr>
            <a:solidFill>
              <a:sysClr val="windowText" lastClr="000000">
                <a:lumMod val="65000"/>
                <a:lumOff val="35000"/>
                <a:alpha val="75000"/>
              </a:sysClr>
            </a:solidFill>
            <a:ln>
              <a:noFill/>
            </a:ln>
            <a:effectLst/>
          </c:spPr>
          <c:txPr>
            <a:bodyPr rot="0" spcFirstLastPara="1" vertOverflow="clip" horzOverflow="clip" vert="horz" wrap="square" lIns="38100" tIns="19050" rIns="38100" bIns="19050" anchor="ctr" anchorCtr="1">
              <a:spAutoFit/>
            </a:bodyPr>
            <a:lstStyle/>
            <a:p>
              <a:pPr>
                <a:defRPr sz="1400" b="1" i="0" u="none" strike="noStrike" kern="1200" baseline="0">
                  <a:solidFill>
                    <a:schemeClr val="lt1"/>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9"/>
        <c:dLbl>
          <c:idx val="0"/>
          <c:showLegendKey val="0"/>
          <c:showVal val="0"/>
          <c:showCatName val="0"/>
          <c:showSerName val="0"/>
          <c:showPercent val="0"/>
          <c:showBubbleSize val="0"/>
          <c:extLst>
            <c:ext xmlns:c15="http://schemas.microsoft.com/office/drawing/2012/chart" uri="{CE6537A1-D6FC-4f65-9D91-7224C49458BB}"/>
          </c:extLst>
        </c:dLbl>
      </c:pivotFmt>
      <c:pivotFmt>
        <c:idx val="10"/>
        <c:dLbl>
          <c:idx val="0"/>
          <c:showLegendKey val="0"/>
          <c:showVal val="1"/>
          <c:showCatName val="0"/>
          <c:showSerName val="0"/>
          <c:showPercent val="0"/>
          <c:showBubbleSize val="0"/>
          <c:extLst>
            <c:ext xmlns:c15="http://schemas.microsoft.com/office/drawing/2012/chart" uri="{CE6537A1-D6FC-4f65-9D91-7224C49458BB}"/>
          </c:extLst>
        </c:dLbl>
      </c:pivotFmt>
      <c:pivotFmt>
        <c:idx val="11"/>
        <c:dLbl>
          <c:idx val="0"/>
          <c:showLegendKey val="0"/>
          <c:showVal val="0"/>
          <c:showCatName val="0"/>
          <c:showSerName val="0"/>
          <c:showPercent val="0"/>
          <c:showBubbleSize val="0"/>
          <c:extLst>
            <c:ext xmlns:c15="http://schemas.microsoft.com/office/drawing/2012/chart" uri="{CE6537A1-D6FC-4f65-9D91-7224C49458BB}"/>
          </c:extLst>
        </c:dLbl>
      </c:pivotFmt>
      <c:pivotFmt>
        <c:idx val="12"/>
        <c:dLbl>
          <c:idx val="0"/>
          <c:showLegendKey val="0"/>
          <c:showVal val="0"/>
          <c:showCatName val="0"/>
          <c:showSerName val="0"/>
          <c:showPercent val="0"/>
          <c:showBubbleSize val="0"/>
          <c:extLst>
            <c:ext xmlns:c15="http://schemas.microsoft.com/office/drawing/2012/chart" uri="{CE6537A1-D6FC-4f65-9D91-7224C49458BB}"/>
          </c:extLst>
        </c:dLbl>
      </c:pivotFmt>
      <c:pivotFmt>
        <c:idx val="13"/>
        <c:dLbl>
          <c:idx val="0"/>
          <c:showLegendKey val="0"/>
          <c:showVal val="0"/>
          <c:showCatName val="0"/>
          <c:showSerName val="0"/>
          <c:showPercent val="0"/>
          <c:showBubbleSize val="0"/>
          <c:extLst>
            <c:ext xmlns:c15="http://schemas.microsoft.com/office/drawing/2012/chart" uri="{CE6537A1-D6FC-4f65-9D91-7224C49458BB}"/>
          </c:extLst>
        </c:dLbl>
      </c:pivotFmt>
      <c:pivotFmt>
        <c:idx val="14"/>
        <c:dLbl>
          <c:idx val="0"/>
          <c:showLegendKey val="0"/>
          <c:showVal val="0"/>
          <c:showCatName val="0"/>
          <c:showSerName val="0"/>
          <c:showPercent val="0"/>
          <c:showBubbleSize val="0"/>
          <c:extLst>
            <c:ext xmlns:c15="http://schemas.microsoft.com/office/drawing/2012/chart" uri="{CE6537A1-D6FC-4f65-9D91-7224C49458BB}"/>
          </c:extLst>
        </c:dLbl>
      </c:pivotFmt>
      <c:pivotFmt>
        <c:idx val="15"/>
        <c:dLbl>
          <c:idx val="0"/>
          <c:showLegendKey val="0"/>
          <c:showVal val="0"/>
          <c:showCatName val="0"/>
          <c:showSerName val="0"/>
          <c:showPercent val="0"/>
          <c:showBubbleSize val="0"/>
          <c:extLst>
            <c:ext xmlns:c15="http://schemas.microsoft.com/office/drawing/2012/chart" uri="{CE6537A1-D6FC-4f65-9D91-7224C49458BB}"/>
          </c:extLst>
        </c:dLbl>
      </c:pivotFmt>
      <c:pivotFmt>
        <c:idx val="16"/>
        <c:dLbl>
          <c:idx val="0"/>
          <c:showLegendKey val="0"/>
          <c:showVal val="0"/>
          <c:showCatName val="0"/>
          <c:showSerName val="0"/>
          <c:showPercent val="0"/>
          <c:showBubbleSize val="0"/>
          <c:extLst>
            <c:ext xmlns:c15="http://schemas.microsoft.com/office/drawing/2012/chart" uri="{CE6537A1-D6FC-4f65-9D91-7224C49458BB}"/>
          </c:extLst>
        </c:dLbl>
      </c:pivotFmt>
      <c:pivotFmt>
        <c:idx val="17"/>
        <c:dLbl>
          <c:idx val="0"/>
          <c:showLegendKey val="0"/>
          <c:showVal val="0"/>
          <c:showCatName val="0"/>
          <c:showSerName val="0"/>
          <c:showPercent val="0"/>
          <c:showBubbleSize val="0"/>
          <c:extLst>
            <c:ext xmlns:c15="http://schemas.microsoft.com/office/drawing/2012/chart" uri="{CE6537A1-D6FC-4f65-9D91-7224C49458BB}"/>
          </c:extLst>
        </c:dLbl>
      </c:pivotFmt>
      <c:pivotFmt>
        <c:idx val="18"/>
        <c:dLbl>
          <c:idx val="0"/>
          <c:showLegendKey val="0"/>
          <c:showVal val="0"/>
          <c:showCatName val="0"/>
          <c:showSerName val="0"/>
          <c:showPercent val="0"/>
          <c:showBubbleSize val="0"/>
          <c:extLst>
            <c:ext xmlns:c15="http://schemas.microsoft.com/office/drawing/2012/chart" uri="{CE6537A1-D6FC-4f65-9D91-7224C49458BB}"/>
          </c:extLst>
        </c:dLbl>
      </c:pivotFmt>
      <c:pivotFmt>
        <c:idx val="19"/>
        <c:dLbl>
          <c:idx val="0"/>
          <c:showLegendKey val="0"/>
          <c:showVal val="0"/>
          <c:showCatName val="0"/>
          <c:showSerName val="0"/>
          <c:showPercent val="0"/>
          <c:showBubbleSize val="0"/>
          <c:extLst>
            <c:ext xmlns:c15="http://schemas.microsoft.com/office/drawing/2012/chart" uri="{CE6537A1-D6FC-4f65-9D91-7224C49458BB}"/>
          </c:extLst>
        </c:dLbl>
      </c:pivotFmt>
    </c:pivotFmts>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3.8537828266940716E-2"/>
          <c:y val="8.8575754117691807E-2"/>
          <c:w val="0.92934731484394206"/>
          <c:h val="0.72021027806306825"/>
        </c:manualLayout>
      </c:layout>
      <c:bar3DChart>
        <c:barDir val="col"/>
        <c:grouping val="clustered"/>
        <c:varyColors val="0"/>
        <c:ser>
          <c:idx val="0"/>
          <c:order val="0"/>
          <c:tx>
            <c:strRef>
              <c:f>Sheet3!$B$52:$B$53</c:f>
              <c:strCache>
                <c:ptCount val="1"/>
                <c:pt idx="0">
                  <c:v>Europe</c:v>
                </c:pt>
              </c:strCache>
            </c:strRef>
          </c:tx>
          <c:spPr>
            <a:solidFill>
              <a:schemeClr val="accent6">
                <a:alpha val="85000"/>
              </a:schemeClr>
            </a:solidFill>
            <a:ln w="9525" cap="flat" cmpd="sng" algn="ctr">
              <a:solidFill>
                <a:schemeClr val="accent6">
                  <a:lumMod val="75000"/>
                </a:schemeClr>
              </a:solidFill>
              <a:round/>
            </a:ln>
            <a:effectLst/>
            <a:sp3d contourW="9525">
              <a:contourClr>
                <a:schemeClr val="accent6">
                  <a:lumMod val="75000"/>
                </a:schemeClr>
              </a:contourClr>
            </a:sp3d>
          </c:spPr>
          <c:invertIfNegative val="0"/>
          <c:dLbls>
            <c:spPr>
              <a:solidFill>
                <a:sysClr val="windowText" lastClr="000000">
                  <a:lumMod val="65000"/>
                  <a:lumOff val="35000"/>
                  <a:alpha val="75000"/>
                </a:sysClr>
              </a:solidFill>
              <a:ln>
                <a:noFill/>
              </a:ln>
              <a:effectLst/>
            </c:spPr>
            <c:txPr>
              <a:bodyPr rot="0" spcFirstLastPara="1" vertOverflow="clip" horzOverflow="clip" vert="horz" wrap="square" lIns="38100" tIns="19050" rIns="38100" bIns="19050" anchor="ctr" anchorCtr="1">
                <a:spAutoFit/>
              </a:bodyPr>
              <a:lstStyle/>
              <a:p>
                <a:pPr>
                  <a:defRPr sz="1400" b="1" i="0" u="none" strike="noStrike" kern="1200" baseline="0">
                    <a:solidFill>
                      <a:schemeClr val="lt1"/>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Sheet3!$A$54:$A$56</c:f>
              <c:strCache>
                <c:ptCount val="2"/>
                <c:pt idx="0">
                  <c:v>Married</c:v>
                </c:pt>
                <c:pt idx="1">
                  <c:v>Single</c:v>
                </c:pt>
              </c:strCache>
            </c:strRef>
          </c:cat>
          <c:val>
            <c:numRef>
              <c:f>Sheet3!$B$54:$B$56</c:f>
              <c:numCache>
                <c:formatCode>General</c:formatCode>
                <c:ptCount val="2"/>
                <c:pt idx="0">
                  <c:v>146</c:v>
                </c:pt>
                <c:pt idx="1">
                  <c:v>154</c:v>
                </c:pt>
              </c:numCache>
            </c:numRef>
          </c:val>
          <c:extLst>
            <c:ext xmlns:c16="http://schemas.microsoft.com/office/drawing/2014/chart" uri="{C3380CC4-5D6E-409C-BE32-E72D297353CC}">
              <c16:uniqueId val="{00000000-6EB4-4CEA-9E45-A57A59682657}"/>
            </c:ext>
          </c:extLst>
        </c:ser>
        <c:ser>
          <c:idx val="1"/>
          <c:order val="1"/>
          <c:tx>
            <c:strRef>
              <c:f>Sheet3!$C$52:$C$53</c:f>
              <c:strCache>
                <c:ptCount val="1"/>
                <c:pt idx="0">
                  <c:v>North America</c:v>
                </c:pt>
              </c:strCache>
            </c:strRef>
          </c:tx>
          <c:spPr>
            <a:solidFill>
              <a:schemeClr val="accent5">
                <a:alpha val="85000"/>
              </a:schemeClr>
            </a:solidFill>
            <a:ln w="9525" cap="flat" cmpd="sng" algn="ctr">
              <a:solidFill>
                <a:schemeClr val="accent5">
                  <a:lumMod val="75000"/>
                </a:schemeClr>
              </a:solidFill>
              <a:round/>
            </a:ln>
            <a:effectLst/>
            <a:sp3d contourW="9525">
              <a:contourClr>
                <a:schemeClr val="accent5">
                  <a:lumMod val="75000"/>
                </a:schemeClr>
              </a:contourClr>
            </a:sp3d>
          </c:spPr>
          <c:invertIfNegative val="0"/>
          <c:dLbls>
            <c:spPr>
              <a:solidFill>
                <a:sysClr val="windowText" lastClr="000000">
                  <a:lumMod val="65000"/>
                  <a:lumOff val="35000"/>
                  <a:alpha val="75000"/>
                </a:sysClr>
              </a:solidFill>
              <a:ln>
                <a:noFill/>
              </a:ln>
              <a:effectLst/>
            </c:spPr>
            <c:txPr>
              <a:bodyPr rot="0" spcFirstLastPara="1" vertOverflow="clip" horzOverflow="clip" vert="horz" wrap="square" lIns="38100" tIns="19050" rIns="38100" bIns="19050" anchor="ctr" anchorCtr="1">
                <a:spAutoFit/>
              </a:bodyPr>
              <a:lstStyle/>
              <a:p>
                <a:pPr>
                  <a:defRPr sz="1400" b="1" i="0" u="none" strike="noStrike" kern="1200" baseline="0">
                    <a:solidFill>
                      <a:schemeClr val="lt1"/>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Sheet3!$A$54:$A$56</c:f>
              <c:strCache>
                <c:ptCount val="2"/>
                <c:pt idx="0">
                  <c:v>Married</c:v>
                </c:pt>
                <c:pt idx="1">
                  <c:v>Single</c:v>
                </c:pt>
              </c:strCache>
            </c:strRef>
          </c:cat>
          <c:val>
            <c:numRef>
              <c:f>Sheet3!$C$54:$C$56</c:f>
              <c:numCache>
                <c:formatCode>General</c:formatCode>
                <c:ptCount val="2"/>
                <c:pt idx="0">
                  <c:v>297</c:v>
                </c:pt>
                <c:pt idx="1">
                  <c:v>211</c:v>
                </c:pt>
              </c:numCache>
            </c:numRef>
          </c:val>
          <c:extLst>
            <c:ext xmlns:c16="http://schemas.microsoft.com/office/drawing/2014/chart" uri="{C3380CC4-5D6E-409C-BE32-E72D297353CC}">
              <c16:uniqueId val="{00000003-18A7-422A-9460-6CF5855A49B3}"/>
            </c:ext>
          </c:extLst>
        </c:ser>
        <c:ser>
          <c:idx val="2"/>
          <c:order val="2"/>
          <c:tx>
            <c:strRef>
              <c:f>Sheet3!$D$52:$D$53</c:f>
              <c:strCache>
                <c:ptCount val="1"/>
                <c:pt idx="0">
                  <c:v>Pacific</c:v>
                </c:pt>
              </c:strCache>
            </c:strRef>
          </c:tx>
          <c:spPr>
            <a:solidFill>
              <a:schemeClr val="accent4">
                <a:alpha val="85000"/>
              </a:schemeClr>
            </a:solidFill>
            <a:ln w="9525" cap="flat" cmpd="sng" algn="ctr">
              <a:solidFill>
                <a:schemeClr val="accent4">
                  <a:lumMod val="75000"/>
                </a:schemeClr>
              </a:solidFill>
              <a:round/>
            </a:ln>
            <a:effectLst/>
            <a:sp3d contourW="9525">
              <a:contourClr>
                <a:schemeClr val="accent4">
                  <a:lumMod val="75000"/>
                </a:schemeClr>
              </a:contourClr>
            </a:sp3d>
          </c:spPr>
          <c:invertIfNegative val="0"/>
          <c:dLbls>
            <c:spPr>
              <a:solidFill>
                <a:sysClr val="windowText" lastClr="000000">
                  <a:lumMod val="65000"/>
                  <a:lumOff val="35000"/>
                  <a:alpha val="75000"/>
                </a:sysClr>
              </a:solidFill>
              <a:ln>
                <a:noFill/>
              </a:ln>
              <a:effectLst/>
            </c:spPr>
            <c:txPr>
              <a:bodyPr rot="0" spcFirstLastPara="1" vertOverflow="clip" horzOverflow="clip" vert="horz" wrap="square" lIns="38100" tIns="19050" rIns="38100" bIns="19050" anchor="ctr" anchorCtr="1">
                <a:spAutoFit/>
              </a:bodyPr>
              <a:lstStyle/>
              <a:p>
                <a:pPr>
                  <a:defRPr sz="1400" b="1" i="0" u="none" strike="noStrike" kern="1200" baseline="0">
                    <a:solidFill>
                      <a:schemeClr val="lt1"/>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Sheet3!$A$54:$A$56</c:f>
              <c:strCache>
                <c:ptCount val="2"/>
                <c:pt idx="0">
                  <c:v>Married</c:v>
                </c:pt>
                <c:pt idx="1">
                  <c:v>Single</c:v>
                </c:pt>
              </c:strCache>
            </c:strRef>
          </c:cat>
          <c:val>
            <c:numRef>
              <c:f>Sheet3!$D$54:$D$56</c:f>
              <c:numCache>
                <c:formatCode>General</c:formatCode>
                <c:ptCount val="2"/>
                <c:pt idx="0">
                  <c:v>95</c:v>
                </c:pt>
                <c:pt idx="1">
                  <c:v>97</c:v>
                </c:pt>
              </c:numCache>
            </c:numRef>
          </c:val>
          <c:extLst>
            <c:ext xmlns:c16="http://schemas.microsoft.com/office/drawing/2014/chart" uri="{C3380CC4-5D6E-409C-BE32-E72D297353CC}">
              <c16:uniqueId val="{00000006-18A7-422A-9460-6CF5855A49B3}"/>
            </c:ext>
          </c:extLst>
        </c:ser>
        <c:dLbls>
          <c:showLegendKey val="0"/>
          <c:showVal val="0"/>
          <c:showCatName val="0"/>
          <c:showSerName val="0"/>
          <c:showPercent val="0"/>
          <c:showBubbleSize val="0"/>
        </c:dLbls>
        <c:gapWidth val="65"/>
        <c:shape val="box"/>
        <c:axId val="320835007"/>
        <c:axId val="320847487"/>
        <c:axId val="0"/>
      </c:bar3DChart>
      <c:catAx>
        <c:axId val="320835007"/>
        <c:scaling>
          <c:orientation val="minMax"/>
        </c:scaling>
        <c:delete val="0"/>
        <c:axPos val="b"/>
        <c:numFmt formatCode="General" sourceLinked="1"/>
        <c:majorTickMark val="out"/>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1400" b="0" i="0" u="none" strike="noStrike" kern="1200" cap="all" baseline="0">
                <a:solidFill>
                  <a:schemeClr val="dk1">
                    <a:lumMod val="75000"/>
                    <a:lumOff val="25000"/>
                  </a:schemeClr>
                </a:solidFill>
                <a:latin typeface="+mn-lt"/>
                <a:ea typeface="+mn-ea"/>
                <a:cs typeface="+mn-cs"/>
              </a:defRPr>
            </a:pPr>
            <a:endParaRPr lang="en-US"/>
          </a:p>
        </c:txPr>
        <c:crossAx val="320847487"/>
        <c:crosses val="autoZero"/>
        <c:auto val="1"/>
        <c:lblAlgn val="ctr"/>
        <c:lblOffset val="100"/>
        <c:noMultiLvlLbl val="0"/>
      </c:catAx>
      <c:valAx>
        <c:axId val="320847487"/>
        <c:scaling>
          <c:orientation val="minMax"/>
        </c:scaling>
        <c:delete val="1"/>
        <c:axPos val="l"/>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crossAx val="320835007"/>
        <c:crosses val="autoZero"/>
        <c:crossBetween val="between"/>
      </c:valAx>
      <c:spPr>
        <a:noFill/>
        <a:ln>
          <a:noFill/>
        </a:ln>
        <a:effectLst/>
      </c:spPr>
    </c:plotArea>
    <c:legend>
      <c:legendPos val="t"/>
      <c:layout>
        <c:manualLayout>
          <c:xMode val="edge"/>
          <c:yMode val="edge"/>
          <c:x val="0.10458873259096596"/>
          <c:y val="0.89275362318840579"/>
          <c:w val="0.79724525332300267"/>
          <c:h val="8.8575754117691807E-2"/>
        </c:manualLayout>
      </c:layout>
      <c:overlay val="0"/>
      <c:spPr>
        <a:solidFill>
          <a:schemeClr val="lt1">
            <a:lumMod val="95000"/>
            <a:alpha val="39000"/>
          </a:schemeClr>
        </a:solidFill>
        <a:ln>
          <a:noFill/>
        </a:ln>
        <a:effectLst/>
      </c:spPr>
      <c:txPr>
        <a:bodyPr rot="0" spcFirstLastPara="1" vertOverflow="ellipsis" vert="horz" wrap="square" anchor="ctr" anchorCtr="1"/>
        <a:lstStyle/>
        <a:p>
          <a:pPr>
            <a:defRPr sz="14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blipFill>
      <a:blip xmlns:r="http://schemas.openxmlformats.org/officeDocument/2006/relationships" r:embed="rId3"/>
      <a:tile tx="0" ty="0" sx="100000" sy="100000" flip="none" algn="tl"/>
    </a:blipFill>
    <a:ln w="9525" cap="flat" cmpd="sng" algn="ctr">
      <a:solidFill>
        <a:schemeClr val="dk1">
          <a:lumMod val="25000"/>
          <a:lumOff val="75000"/>
        </a:schemeClr>
      </a:solidFill>
      <a:round/>
    </a:ln>
    <a:effectLst/>
  </c:spPr>
  <c:txPr>
    <a:bodyPr/>
    <a:lstStyle/>
    <a:p>
      <a:pPr>
        <a:defRPr sz="14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[Bike sales survey cleaned Dataset &amp; Dshboard.xlsx]Sheet3!PivotTable1</c:name>
    <c:fmtId val="31"/>
  </c:pivotSource>
  <c:chart>
    <c:title>
      <c:tx>
        <c:rich>
          <a:bodyPr rot="0" spcFirstLastPara="1" vertOverflow="ellipsis" vert="horz" wrap="square" anchor="ctr" anchorCtr="1"/>
          <a:lstStyle/>
          <a:p>
            <a:pPr>
              <a:defRPr sz="1440" b="0" i="0" u="none" strike="noStrike" kern="1200" cap="none" spc="20" baseline="0">
                <a:solidFill>
                  <a:schemeClr val="dk1">
                    <a:lumMod val="50000"/>
                    <a:lumOff val="50000"/>
                  </a:schemeClr>
                </a:solidFill>
                <a:latin typeface="+mn-lt"/>
                <a:ea typeface="+mn-ea"/>
                <a:cs typeface="+mn-cs"/>
              </a:defRPr>
            </a:pPr>
            <a:r>
              <a:rPr lang="en-US">
                <a:solidFill>
                  <a:sysClr val="windowText" lastClr="000000"/>
                </a:solidFill>
              </a:rPr>
              <a:t>PERCENT</a:t>
            </a:r>
            <a:r>
              <a:rPr lang="en-US" baseline="0">
                <a:solidFill>
                  <a:sysClr val="windowText" lastClr="000000"/>
                </a:solidFill>
              </a:rPr>
              <a:t> SHARE BASED ON MILES</a:t>
            </a:r>
            <a:endParaRPr lang="en-US">
              <a:solidFill>
                <a:sysClr val="windowText" lastClr="000000"/>
              </a:solidFill>
            </a:endParaRPr>
          </a:p>
        </c:rich>
      </c:tx>
      <c:layout>
        <c:manualLayout>
          <c:xMode val="edge"/>
          <c:yMode val="edge"/>
          <c:x val="0.17104826406775356"/>
          <c:y val="1.9607837082650275E-2"/>
        </c:manualLayout>
      </c:layout>
      <c:overlay val="0"/>
      <c:spPr>
        <a:noFill/>
        <a:ln>
          <a:noFill/>
        </a:ln>
        <a:effectLst/>
      </c:spPr>
      <c:txPr>
        <a:bodyPr rot="0" spcFirstLastPara="1" vertOverflow="ellipsis" vert="horz" wrap="square" anchor="ctr" anchorCtr="1"/>
        <a:lstStyle/>
        <a:p>
          <a:pPr>
            <a:defRPr sz="1440" b="0" i="0" u="none" strike="noStrike" kern="1200" cap="none" spc="20" baseline="0">
              <a:solidFill>
                <a:schemeClr val="dk1">
                  <a:lumMod val="50000"/>
                  <a:lumOff val="50000"/>
                </a:schemeClr>
              </a:solidFill>
              <a:latin typeface="+mn-lt"/>
              <a:ea typeface="+mn-ea"/>
              <a:cs typeface="+mn-cs"/>
            </a:defRPr>
          </a:pPr>
          <a:endParaRPr lang="en-US"/>
        </a:p>
      </c:txPr>
    </c:title>
    <c:autoTitleDeleted val="0"/>
    <c:pivotFmts>
      <c:pivotFmt>
        <c:idx val="0"/>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22225" cap="rnd" cmpd="sng" algn="ctr">
            <a:solidFill>
              <a:schemeClr val="accent6"/>
            </a:solidFill>
            <a:round/>
          </a:ln>
          <a:effectLst/>
        </c:spPr>
        <c:marker>
          <c:spPr>
            <a:solidFill>
              <a:schemeClr val="accent6"/>
            </a:solidFill>
            <a:ln w="9525" cap="flat" cmpd="sng" algn="ctr">
              <a:solidFill>
                <a:schemeClr val="accent6"/>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22225" cap="rnd" cmpd="sng" algn="ctr">
            <a:solidFill>
              <a:schemeClr val="accent6"/>
            </a:solidFill>
            <a:round/>
          </a:ln>
          <a:effectLst/>
        </c:spPr>
        <c:marker>
          <c:spPr>
            <a:solidFill>
              <a:schemeClr val="accent5"/>
            </a:solidFill>
            <a:ln w="9525" cap="flat" cmpd="sng" algn="ctr">
              <a:solidFill>
                <a:schemeClr val="accent5"/>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pivotFmt>
      <c:pivotFmt>
        <c:idx val="3"/>
      </c:pivotFmt>
      <c:pivotFmt>
        <c:idx val="4"/>
      </c:pivotFmt>
      <c:pivotFmt>
        <c:idx val="5"/>
      </c:pivotFmt>
      <c:pivotFmt>
        <c:idx val="6"/>
      </c:pivotFmt>
      <c:pivotFmt>
        <c:idx val="7"/>
      </c:pivotFmt>
      <c:pivotFmt>
        <c:idx val="8"/>
      </c:pivotFmt>
      <c:pivotFmt>
        <c:idx val="9"/>
      </c:pivotFmt>
      <c:pivotFmt>
        <c:idx val="10"/>
      </c:pivotFmt>
      <c:pivotFmt>
        <c:idx val="11"/>
      </c:pivotFmt>
      <c:pivotFmt>
        <c:idx val="12"/>
      </c:pivotFmt>
      <c:pivotFmt>
        <c:idx val="13"/>
      </c:pivotFmt>
      <c:pivotFmt>
        <c:idx val="14"/>
      </c:pivotFmt>
      <c:pivotFmt>
        <c:idx val="15"/>
      </c:pivotFmt>
      <c:pivotFmt>
        <c:idx val="16"/>
      </c:pivotFmt>
      <c:pivotFmt>
        <c:idx val="17"/>
      </c:pivotFmt>
      <c:pivotFmt>
        <c:idx val="18"/>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22225" cap="rnd" cmpd="sng" algn="ctr">
            <a:solidFill>
              <a:schemeClr val="accent6"/>
            </a:solidFill>
            <a:round/>
          </a:ln>
          <a:effectLst/>
        </c:spPr>
        <c:marker>
          <c:spPr>
            <a:solidFill>
              <a:schemeClr val="accent6"/>
            </a:solidFill>
            <a:ln w="9525" cap="flat" cmpd="sng" algn="ctr">
              <a:solidFill>
                <a:schemeClr val="accent6"/>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9"/>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22225" cap="rnd" cmpd="sng" algn="ctr">
            <a:solidFill>
              <a:schemeClr val="accent6"/>
            </a:solidFill>
            <a:round/>
          </a:ln>
          <a:effectLst/>
        </c:spPr>
        <c:marker>
          <c:spPr>
            <a:solidFill>
              <a:schemeClr val="accent6"/>
            </a:solidFill>
            <a:ln w="9525" cap="flat" cmpd="sng" algn="ctr">
              <a:solidFill>
                <a:schemeClr val="accent6"/>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0"/>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22225" cap="rnd" cmpd="sng" algn="ctr">
            <a:solidFill>
              <a:schemeClr val="accent6"/>
            </a:solidFill>
            <a:round/>
          </a:ln>
          <a:effectLst/>
        </c:spPr>
        <c:marker>
          <c:spPr>
            <a:solidFill>
              <a:schemeClr val="accent5"/>
            </a:solidFill>
            <a:ln w="9525" cap="flat" cmpd="sng" algn="ctr">
              <a:solidFill>
                <a:schemeClr val="accent5"/>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1"/>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9525" cap="flat" cmpd="sng" algn="ctr">
            <a:solidFill>
              <a:schemeClr val="accent6">
                <a:shade val="95000"/>
              </a:schemeClr>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2"/>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9525" cap="flat" cmpd="sng" algn="ctr">
            <a:solidFill>
              <a:schemeClr val="accent6">
                <a:shade val="95000"/>
              </a:schemeClr>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3"/>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9525" cap="flat" cmpd="sng" algn="ctr">
            <a:solidFill>
              <a:schemeClr val="accent6">
                <a:shade val="95000"/>
              </a:schemeClr>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4"/>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9525" cap="flat" cmpd="sng" algn="ctr">
            <a:solidFill>
              <a:schemeClr val="accent6">
                <a:shade val="95000"/>
              </a:schemeClr>
            </a:solidFill>
            <a:round/>
          </a:ln>
          <a:effectLst/>
        </c:spPr>
      </c:pivotFmt>
      <c:pivotFmt>
        <c:idx val="25"/>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9525" cap="flat" cmpd="sng" algn="ctr">
            <a:solidFill>
              <a:schemeClr val="accent6">
                <a:shade val="95000"/>
              </a:schemeClr>
            </a:solidFill>
            <a:round/>
          </a:ln>
          <a:effectLst/>
        </c:spPr>
      </c:pivotFmt>
      <c:pivotFmt>
        <c:idx val="26"/>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9525" cap="flat" cmpd="sng" algn="ctr">
            <a:solidFill>
              <a:schemeClr val="accent6">
                <a:shade val="95000"/>
              </a:schemeClr>
            </a:solidFill>
            <a:round/>
          </a:ln>
          <a:effectLst/>
        </c:spPr>
      </c:pivotFmt>
      <c:pivotFmt>
        <c:idx val="27"/>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9525" cap="flat" cmpd="sng" algn="ctr">
            <a:solidFill>
              <a:schemeClr val="accent6">
                <a:shade val="95000"/>
              </a:schemeClr>
            </a:solidFill>
            <a:round/>
          </a:ln>
          <a:effectLst/>
        </c:spPr>
      </c:pivotFmt>
      <c:pivotFmt>
        <c:idx val="28"/>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9525" cap="flat" cmpd="sng" algn="ctr">
            <a:solidFill>
              <a:schemeClr val="accent6">
                <a:shade val="95000"/>
              </a:schemeClr>
            </a:solidFill>
            <a:round/>
          </a:ln>
          <a:effectLst/>
        </c:spPr>
      </c:pivotFmt>
      <c:pivotFmt>
        <c:idx val="29"/>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9525" cap="flat" cmpd="sng" algn="ctr">
            <a:solidFill>
              <a:schemeClr val="accent6">
                <a:shade val="95000"/>
              </a:schemeClr>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0"/>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9525" cap="flat" cmpd="sng" algn="ctr">
            <a:solidFill>
              <a:schemeClr val="accent6">
                <a:shade val="95000"/>
              </a:schemeClr>
            </a:solidFill>
            <a:round/>
          </a:ln>
          <a:effectLst/>
        </c:spPr>
      </c:pivotFmt>
      <c:pivotFmt>
        <c:idx val="31"/>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9525" cap="flat" cmpd="sng" algn="ctr">
            <a:solidFill>
              <a:schemeClr val="accent6">
                <a:shade val="95000"/>
              </a:schemeClr>
            </a:solidFill>
            <a:round/>
          </a:ln>
          <a:effectLst/>
        </c:spPr>
      </c:pivotFmt>
      <c:pivotFmt>
        <c:idx val="32"/>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9525" cap="flat" cmpd="sng" algn="ctr">
            <a:solidFill>
              <a:schemeClr val="accent6">
                <a:shade val="95000"/>
              </a:schemeClr>
            </a:solidFill>
            <a:round/>
          </a:ln>
          <a:effectLst/>
        </c:spPr>
      </c:pivotFmt>
      <c:pivotFmt>
        <c:idx val="33"/>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9525" cap="flat" cmpd="sng" algn="ctr">
            <a:solidFill>
              <a:schemeClr val="accent6">
                <a:shade val="95000"/>
              </a:schemeClr>
            </a:solidFill>
            <a:round/>
          </a:ln>
          <a:effectLst/>
        </c:spPr>
      </c:pivotFmt>
      <c:pivotFmt>
        <c:idx val="34"/>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9525" cap="flat" cmpd="sng" algn="ctr">
            <a:solidFill>
              <a:schemeClr val="accent6">
                <a:shade val="95000"/>
              </a:schemeClr>
            </a:solidFill>
            <a:round/>
          </a:ln>
          <a:effectLst/>
        </c:spPr>
      </c:pivotFmt>
      <c:pivotFmt>
        <c:idx val="35"/>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9525" cap="flat" cmpd="sng" algn="ctr">
            <a:solidFill>
              <a:schemeClr val="accent6">
                <a:shade val="9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36"/>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9525" cap="flat" cmpd="sng" algn="ctr">
            <a:solidFill>
              <a:schemeClr val="accent6">
                <a:shade val="95000"/>
              </a:schemeClr>
            </a:solidFill>
            <a:round/>
          </a:ln>
          <a:effectLst/>
        </c:spPr>
      </c:pivotFmt>
      <c:pivotFmt>
        <c:idx val="37"/>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9525" cap="flat" cmpd="sng" algn="ctr">
            <a:solidFill>
              <a:schemeClr val="accent6">
                <a:shade val="95000"/>
              </a:schemeClr>
            </a:solidFill>
            <a:round/>
          </a:ln>
          <a:effectLst/>
        </c:spPr>
      </c:pivotFmt>
      <c:pivotFmt>
        <c:idx val="38"/>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9525" cap="flat" cmpd="sng" algn="ctr">
            <a:solidFill>
              <a:schemeClr val="accent6">
                <a:shade val="95000"/>
              </a:schemeClr>
            </a:solidFill>
            <a:round/>
          </a:ln>
          <a:effectLst/>
        </c:spPr>
      </c:pivotFmt>
      <c:pivotFmt>
        <c:idx val="39"/>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9525" cap="flat" cmpd="sng" algn="ctr">
            <a:solidFill>
              <a:schemeClr val="accent6">
                <a:shade val="95000"/>
              </a:schemeClr>
            </a:solidFill>
            <a:round/>
          </a:ln>
          <a:effectLst/>
        </c:spPr>
      </c:pivotFmt>
      <c:pivotFmt>
        <c:idx val="40"/>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9525" cap="flat" cmpd="sng" algn="ctr">
            <a:solidFill>
              <a:schemeClr val="accent6">
                <a:shade val="95000"/>
              </a:schemeClr>
            </a:solidFill>
            <a:round/>
          </a:ln>
          <a:effectLst/>
        </c:spPr>
      </c:pivotFmt>
      <c:pivotFmt>
        <c:idx val="41"/>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9525" cap="flat" cmpd="sng" algn="ctr">
            <a:solidFill>
              <a:schemeClr val="accent6">
                <a:shade val="95000"/>
              </a:schemeClr>
            </a:solidFill>
            <a:round/>
          </a:ln>
          <a:effectLst/>
        </c:spPr>
        <c:marker>
          <c:symbol val="none"/>
        </c:marker>
        <c:dLbl>
          <c:idx val="0"/>
          <c:spPr>
            <a:noFill/>
            <a:ln>
              <a:noFill/>
            </a:ln>
            <a:effectLst/>
          </c:spPr>
          <c:txPr>
            <a:bodyPr rot="0" spcFirstLastPara="1" vertOverflow="ellipsis" vert="horz" wrap="square" anchor="ctr" anchorCtr="1"/>
            <a:lstStyle/>
            <a:p>
              <a:pPr>
                <a:defRPr sz="12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42"/>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9525" cap="flat" cmpd="sng" algn="ctr">
            <a:solidFill>
              <a:schemeClr val="accent6">
                <a:shade val="95000"/>
              </a:schemeClr>
            </a:solidFill>
            <a:round/>
          </a:ln>
          <a:effectLst/>
        </c:spPr>
      </c:pivotFmt>
      <c:pivotFmt>
        <c:idx val="43"/>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9525" cap="flat" cmpd="sng" algn="ctr">
            <a:solidFill>
              <a:schemeClr val="accent6">
                <a:shade val="95000"/>
              </a:schemeClr>
            </a:solidFill>
            <a:round/>
          </a:ln>
          <a:effectLst/>
        </c:spPr>
      </c:pivotFmt>
      <c:pivotFmt>
        <c:idx val="44"/>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9525" cap="flat" cmpd="sng" algn="ctr">
            <a:solidFill>
              <a:schemeClr val="accent6">
                <a:shade val="95000"/>
              </a:schemeClr>
            </a:solidFill>
            <a:round/>
          </a:ln>
          <a:effectLst/>
        </c:spPr>
      </c:pivotFmt>
      <c:pivotFmt>
        <c:idx val="45"/>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9525" cap="flat" cmpd="sng" algn="ctr">
            <a:solidFill>
              <a:schemeClr val="accent6">
                <a:shade val="95000"/>
              </a:schemeClr>
            </a:solidFill>
            <a:round/>
          </a:ln>
          <a:effectLst/>
        </c:spPr>
      </c:pivotFmt>
      <c:pivotFmt>
        <c:idx val="46"/>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9525" cap="flat" cmpd="sng" algn="ctr">
            <a:solidFill>
              <a:schemeClr val="accent6">
                <a:shade val="95000"/>
              </a:schemeClr>
            </a:solidFill>
            <a:round/>
          </a:ln>
          <a:effectLst/>
        </c:spPr>
      </c:pivotFmt>
    </c:pivotFmts>
    <c:plotArea>
      <c:layout>
        <c:manualLayout>
          <c:layoutTarget val="inner"/>
          <c:xMode val="edge"/>
          <c:yMode val="edge"/>
          <c:x val="0.34912302736045098"/>
          <c:y val="0"/>
          <c:w val="0.6388009222294988"/>
          <c:h val="0.98157181532492188"/>
        </c:manualLayout>
      </c:layout>
      <c:pieChart>
        <c:varyColors val="1"/>
        <c:ser>
          <c:idx val="0"/>
          <c:order val="0"/>
          <c:tx>
            <c:strRef>
              <c:f>Sheet3!$B$40:$B$42</c:f>
              <c:strCache>
                <c:ptCount val="1"/>
                <c:pt idx="0">
                  <c:v>No</c:v>
                </c:pt>
              </c:strCache>
            </c:strRef>
          </c:tx>
          <c:explosion val="6"/>
          <c:dPt>
            <c:idx val="0"/>
            <c:bubble3D val="0"/>
            <c:explosion val="0"/>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9525" cap="flat" cmpd="sng" algn="ctr">
                <a:solidFill>
                  <a:schemeClr val="accent6">
                    <a:shade val="95000"/>
                  </a:schemeClr>
                </a:solidFill>
                <a:round/>
              </a:ln>
              <a:effectLst/>
            </c:spPr>
            <c:extLst>
              <c:ext xmlns:c16="http://schemas.microsoft.com/office/drawing/2014/chart" uri="{C3380CC4-5D6E-409C-BE32-E72D297353CC}">
                <c16:uniqueId val="{00000001-0D41-477F-97CA-A84125556FEE}"/>
              </c:ext>
            </c:extLst>
          </c:dPt>
          <c:dPt>
            <c:idx val="1"/>
            <c:bubble3D val="0"/>
            <c:explosion val="0"/>
            <c:spPr>
              <a:gradFill rotWithShape="1">
                <a:gsLst>
                  <a:gs pos="0">
                    <a:schemeClr val="accent5">
                      <a:lumMod val="110000"/>
                      <a:satMod val="105000"/>
                      <a:tint val="67000"/>
                    </a:schemeClr>
                  </a:gs>
                  <a:gs pos="50000">
                    <a:schemeClr val="accent5">
                      <a:lumMod val="105000"/>
                      <a:satMod val="103000"/>
                      <a:tint val="73000"/>
                    </a:schemeClr>
                  </a:gs>
                  <a:gs pos="100000">
                    <a:schemeClr val="accent5">
                      <a:lumMod val="105000"/>
                      <a:satMod val="109000"/>
                      <a:tint val="81000"/>
                    </a:schemeClr>
                  </a:gs>
                </a:gsLst>
                <a:lin ang="5400000" scaled="0"/>
              </a:gradFill>
              <a:ln w="9525" cap="flat" cmpd="sng" algn="ctr">
                <a:solidFill>
                  <a:schemeClr val="accent5">
                    <a:shade val="95000"/>
                  </a:schemeClr>
                </a:solidFill>
                <a:round/>
              </a:ln>
              <a:effectLst/>
            </c:spPr>
            <c:extLst>
              <c:ext xmlns:c16="http://schemas.microsoft.com/office/drawing/2014/chart" uri="{C3380CC4-5D6E-409C-BE32-E72D297353CC}">
                <c16:uniqueId val="{00000003-0D41-477F-97CA-A84125556FEE}"/>
              </c:ext>
            </c:extLst>
          </c:dPt>
          <c:dPt>
            <c:idx val="2"/>
            <c:bubble3D val="0"/>
            <c:explosion val="0"/>
            <c:spPr>
              <a:gradFill rotWithShape="1">
                <a:gsLst>
                  <a:gs pos="0">
                    <a:schemeClr val="accent4">
                      <a:lumMod val="110000"/>
                      <a:satMod val="105000"/>
                      <a:tint val="67000"/>
                    </a:schemeClr>
                  </a:gs>
                  <a:gs pos="50000">
                    <a:schemeClr val="accent4">
                      <a:lumMod val="105000"/>
                      <a:satMod val="103000"/>
                      <a:tint val="73000"/>
                    </a:schemeClr>
                  </a:gs>
                  <a:gs pos="100000">
                    <a:schemeClr val="accent4">
                      <a:lumMod val="105000"/>
                      <a:satMod val="109000"/>
                      <a:tint val="81000"/>
                    </a:schemeClr>
                  </a:gs>
                </a:gsLst>
                <a:lin ang="5400000" scaled="0"/>
              </a:gradFill>
              <a:ln w="9525" cap="flat" cmpd="sng" algn="ctr">
                <a:solidFill>
                  <a:schemeClr val="accent4">
                    <a:shade val="95000"/>
                  </a:schemeClr>
                </a:solidFill>
                <a:round/>
              </a:ln>
              <a:effectLst/>
            </c:spPr>
            <c:extLst>
              <c:ext xmlns:c16="http://schemas.microsoft.com/office/drawing/2014/chart" uri="{C3380CC4-5D6E-409C-BE32-E72D297353CC}">
                <c16:uniqueId val="{00000005-0D41-477F-97CA-A84125556FEE}"/>
              </c:ext>
            </c:extLst>
          </c:dPt>
          <c:dPt>
            <c:idx val="3"/>
            <c:bubble3D val="0"/>
            <c:explosion val="0"/>
            <c:spPr>
              <a:gradFill rotWithShape="1">
                <a:gsLst>
                  <a:gs pos="0">
                    <a:schemeClr val="accent6">
                      <a:lumMod val="60000"/>
                      <a:lumMod val="110000"/>
                      <a:satMod val="105000"/>
                      <a:tint val="67000"/>
                    </a:schemeClr>
                  </a:gs>
                  <a:gs pos="50000">
                    <a:schemeClr val="accent6">
                      <a:lumMod val="60000"/>
                      <a:lumMod val="105000"/>
                      <a:satMod val="103000"/>
                      <a:tint val="73000"/>
                    </a:schemeClr>
                  </a:gs>
                  <a:gs pos="100000">
                    <a:schemeClr val="accent6">
                      <a:lumMod val="60000"/>
                      <a:lumMod val="105000"/>
                      <a:satMod val="109000"/>
                      <a:tint val="81000"/>
                    </a:schemeClr>
                  </a:gs>
                </a:gsLst>
                <a:lin ang="5400000" scaled="0"/>
              </a:gradFill>
              <a:ln w="9525" cap="flat" cmpd="sng" algn="ctr">
                <a:solidFill>
                  <a:schemeClr val="accent6">
                    <a:lumMod val="60000"/>
                    <a:shade val="95000"/>
                  </a:schemeClr>
                </a:solidFill>
                <a:round/>
              </a:ln>
              <a:effectLst/>
            </c:spPr>
            <c:extLst>
              <c:ext xmlns:c16="http://schemas.microsoft.com/office/drawing/2014/chart" uri="{C3380CC4-5D6E-409C-BE32-E72D297353CC}">
                <c16:uniqueId val="{00000007-0D41-477F-97CA-A84125556FEE}"/>
              </c:ext>
            </c:extLst>
          </c:dPt>
          <c:dPt>
            <c:idx val="4"/>
            <c:bubble3D val="0"/>
            <c:explosion val="0"/>
            <c:spPr>
              <a:gradFill rotWithShape="1">
                <a:gsLst>
                  <a:gs pos="0">
                    <a:schemeClr val="accent5">
                      <a:lumMod val="60000"/>
                      <a:lumMod val="110000"/>
                      <a:satMod val="105000"/>
                      <a:tint val="67000"/>
                    </a:schemeClr>
                  </a:gs>
                  <a:gs pos="50000">
                    <a:schemeClr val="accent5">
                      <a:lumMod val="60000"/>
                      <a:lumMod val="105000"/>
                      <a:satMod val="103000"/>
                      <a:tint val="73000"/>
                    </a:schemeClr>
                  </a:gs>
                  <a:gs pos="100000">
                    <a:schemeClr val="accent5">
                      <a:lumMod val="60000"/>
                      <a:lumMod val="105000"/>
                      <a:satMod val="109000"/>
                      <a:tint val="81000"/>
                    </a:schemeClr>
                  </a:gs>
                </a:gsLst>
                <a:lin ang="5400000" scaled="0"/>
              </a:gradFill>
              <a:ln w="9525" cap="flat" cmpd="sng" algn="ctr">
                <a:solidFill>
                  <a:schemeClr val="accent5">
                    <a:lumMod val="60000"/>
                    <a:shade val="95000"/>
                  </a:schemeClr>
                </a:solidFill>
                <a:round/>
              </a:ln>
              <a:effectLst/>
            </c:spPr>
            <c:extLst>
              <c:ext xmlns:c16="http://schemas.microsoft.com/office/drawing/2014/chart" uri="{C3380CC4-5D6E-409C-BE32-E72D297353CC}">
                <c16:uniqueId val="{00000009-0D41-477F-97CA-A84125556FEE}"/>
              </c:ext>
            </c:extLst>
          </c:dPt>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a:solidFill>
                    <a:schemeClr val="dk1">
                      <a:lumMod val="35000"/>
                      <a:lumOff val="65000"/>
                    </a:schemeClr>
                  </a:solidFill>
                </a:ln>
                <a:effectLst/>
              </c:spPr>
            </c:leaderLines>
            <c:extLst>
              <c:ext xmlns:c15="http://schemas.microsoft.com/office/drawing/2012/chart" uri="{CE6537A1-D6FC-4f65-9D91-7224C49458BB}"/>
            </c:extLst>
          </c:dLbls>
          <c:cat>
            <c:strRef>
              <c:f>Sheet3!$A$43:$A$48</c:f>
              <c:strCache>
                <c:ptCount val="5"/>
                <c:pt idx="0">
                  <c:v>0-1 Miles</c:v>
                </c:pt>
                <c:pt idx="1">
                  <c:v>1-2 Miles</c:v>
                </c:pt>
                <c:pt idx="2">
                  <c:v>2-5 Miles</c:v>
                </c:pt>
                <c:pt idx="3">
                  <c:v>5-10 Miles</c:v>
                </c:pt>
                <c:pt idx="4">
                  <c:v>more than 10 Miles</c:v>
                </c:pt>
              </c:strCache>
            </c:strRef>
          </c:cat>
          <c:val>
            <c:numRef>
              <c:f>Sheet3!$B$43:$B$48</c:f>
              <c:numCache>
                <c:formatCode>General</c:formatCode>
                <c:ptCount val="5"/>
                <c:pt idx="0">
                  <c:v>166</c:v>
                </c:pt>
                <c:pt idx="1">
                  <c:v>92</c:v>
                </c:pt>
                <c:pt idx="2">
                  <c:v>67</c:v>
                </c:pt>
                <c:pt idx="3">
                  <c:v>116</c:v>
                </c:pt>
                <c:pt idx="4">
                  <c:v>78</c:v>
                </c:pt>
              </c:numCache>
            </c:numRef>
          </c:val>
          <c:extLst>
            <c:ext xmlns:c16="http://schemas.microsoft.com/office/drawing/2014/chart" uri="{C3380CC4-5D6E-409C-BE32-E72D297353CC}">
              <c16:uniqueId val="{0000000A-0D41-477F-97CA-A84125556FEE}"/>
            </c:ext>
          </c:extLst>
        </c:ser>
        <c:ser>
          <c:idx val="1"/>
          <c:order val="1"/>
          <c:tx>
            <c:strRef>
              <c:f>Sheet3!$C$40:$C$42</c:f>
              <c:strCache>
                <c:ptCount val="1"/>
                <c:pt idx="0">
                  <c:v>Yes</c:v>
                </c:pt>
              </c:strCache>
            </c:strRef>
          </c:tx>
          <c:dPt>
            <c:idx val="0"/>
            <c:bubble3D val="0"/>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9525" cap="flat" cmpd="sng" algn="ctr">
                <a:solidFill>
                  <a:schemeClr val="accent6">
                    <a:shade val="95000"/>
                  </a:schemeClr>
                </a:solidFill>
                <a:round/>
              </a:ln>
              <a:effectLst/>
            </c:spPr>
          </c:dPt>
          <c:dPt>
            <c:idx val="1"/>
            <c:bubble3D val="0"/>
            <c:spPr>
              <a:gradFill rotWithShape="1">
                <a:gsLst>
                  <a:gs pos="0">
                    <a:schemeClr val="accent5">
                      <a:lumMod val="110000"/>
                      <a:satMod val="105000"/>
                      <a:tint val="67000"/>
                    </a:schemeClr>
                  </a:gs>
                  <a:gs pos="50000">
                    <a:schemeClr val="accent5">
                      <a:lumMod val="105000"/>
                      <a:satMod val="103000"/>
                      <a:tint val="73000"/>
                    </a:schemeClr>
                  </a:gs>
                  <a:gs pos="100000">
                    <a:schemeClr val="accent5">
                      <a:lumMod val="105000"/>
                      <a:satMod val="109000"/>
                      <a:tint val="81000"/>
                    </a:schemeClr>
                  </a:gs>
                </a:gsLst>
                <a:lin ang="5400000" scaled="0"/>
              </a:gradFill>
              <a:ln w="9525" cap="flat" cmpd="sng" algn="ctr">
                <a:solidFill>
                  <a:schemeClr val="accent5">
                    <a:shade val="95000"/>
                  </a:schemeClr>
                </a:solidFill>
                <a:round/>
              </a:ln>
              <a:effectLst/>
            </c:spPr>
          </c:dPt>
          <c:dPt>
            <c:idx val="2"/>
            <c:bubble3D val="0"/>
            <c:spPr>
              <a:gradFill rotWithShape="1">
                <a:gsLst>
                  <a:gs pos="0">
                    <a:schemeClr val="accent4">
                      <a:lumMod val="110000"/>
                      <a:satMod val="105000"/>
                      <a:tint val="67000"/>
                    </a:schemeClr>
                  </a:gs>
                  <a:gs pos="50000">
                    <a:schemeClr val="accent4">
                      <a:lumMod val="105000"/>
                      <a:satMod val="103000"/>
                      <a:tint val="73000"/>
                    </a:schemeClr>
                  </a:gs>
                  <a:gs pos="100000">
                    <a:schemeClr val="accent4">
                      <a:lumMod val="105000"/>
                      <a:satMod val="109000"/>
                      <a:tint val="81000"/>
                    </a:schemeClr>
                  </a:gs>
                </a:gsLst>
                <a:lin ang="5400000" scaled="0"/>
              </a:gradFill>
              <a:ln w="9525" cap="flat" cmpd="sng" algn="ctr">
                <a:solidFill>
                  <a:schemeClr val="accent4">
                    <a:shade val="95000"/>
                  </a:schemeClr>
                </a:solidFill>
                <a:round/>
              </a:ln>
              <a:effectLst/>
            </c:spPr>
          </c:dPt>
          <c:dPt>
            <c:idx val="3"/>
            <c:bubble3D val="0"/>
            <c:spPr>
              <a:gradFill rotWithShape="1">
                <a:gsLst>
                  <a:gs pos="0">
                    <a:schemeClr val="accent6">
                      <a:lumMod val="60000"/>
                      <a:lumMod val="110000"/>
                      <a:satMod val="105000"/>
                      <a:tint val="67000"/>
                    </a:schemeClr>
                  </a:gs>
                  <a:gs pos="50000">
                    <a:schemeClr val="accent6">
                      <a:lumMod val="60000"/>
                      <a:lumMod val="105000"/>
                      <a:satMod val="103000"/>
                      <a:tint val="73000"/>
                    </a:schemeClr>
                  </a:gs>
                  <a:gs pos="100000">
                    <a:schemeClr val="accent6">
                      <a:lumMod val="60000"/>
                      <a:lumMod val="105000"/>
                      <a:satMod val="109000"/>
                      <a:tint val="81000"/>
                    </a:schemeClr>
                  </a:gs>
                </a:gsLst>
                <a:lin ang="5400000" scaled="0"/>
              </a:gradFill>
              <a:ln w="9525" cap="flat" cmpd="sng" algn="ctr">
                <a:solidFill>
                  <a:schemeClr val="accent6">
                    <a:lumMod val="60000"/>
                    <a:shade val="95000"/>
                  </a:schemeClr>
                </a:solidFill>
                <a:round/>
              </a:ln>
              <a:effectLst/>
            </c:spPr>
          </c:dPt>
          <c:dPt>
            <c:idx val="4"/>
            <c:bubble3D val="0"/>
            <c:spPr>
              <a:gradFill rotWithShape="1">
                <a:gsLst>
                  <a:gs pos="0">
                    <a:schemeClr val="accent5">
                      <a:lumMod val="60000"/>
                      <a:lumMod val="110000"/>
                      <a:satMod val="105000"/>
                      <a:tint val="67000"/>
                    </a:schemeClr>
                  </a:gs>
                  <a:gs pos="50000">
                    <a:schemeClr val="accent5">
                      <a:lumMod val="60000"/>
                      <a:lumMod val="105000"/>
                      <a:satMod val="103000"/>
                      <a:tint val="73000"/>
                    </a:schemeClr>
                  </a:gs>
                  <a:gs pos="100000">
                    <a:schemeClr val="accent5">
                      <a:lumMod val="60000"/>
                      <a:lumMod val="105000"/>
                      <a:satMod val="109000"/>
                      <a:tint val="81000"/>
                    </a:schemeClr>
                  </a:gs>
                </a:gsLst>
                <a:lin ang="5400000" scaled="0"/>
              </a:gradFill>
              <a:ln w="9525" cap="flat" cmpd="sng" algn="ctr">
                <a:solidFill>
                  <a:schemeClr val="accent5">
                    <a:lumMod val="60000"/>
                    <a:shade val="95000"/>
                  </a:schemeClr>
                </a:solidFill>
                <a:round/>
              </a:ln>
              <a:effectLst/>
            </c:spPr>
          </c:dPt>
          <c:dLbls>
            <c:spPr>
              <a:noFill/>
              <a:ln>
                <a:noFill/>
              </a:ln>
              <a:effectLst/>
            </c:spPr>
            <c:txPr>
              <a:bodyPr rot="0" spcFirstLastPara="1" vertOverflow="ellipsis" vert="horz" wrap="square" anchor="ctr" anchorCtr="1"/>
              <a:lstStyle/>
              <a:p>
                <a:pPr>
                  <a:defRPr sz="12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a:solidFill>
                    <a:schemeClr val="dk1">
                      <a:lumMod val="35000"/>
                      <a:lumOff val="65000"/>
                    </a:schemeClr>
                  </a:solidFill>
                </a:ln>
                <a:effectLst/>
              </c:spPr>
            </c:leaderLines>
            <c:extLst>
              <c:ext xmlns:c15="http://schemas.microsoft.com/office/drawing/2012/chart" uri="{CE6537A1-D6FC-4f65-9D91-7224C49458BB}"/>
            </c:extLst>
          </c:dLbls>
          <c:cat>
            <c:strRef>
              <c:f>Sheet3!$A$43:$A$48</c:f>
              <c:strCache>
                <c:ptCount val="5"/>
                <c:pt idx="0">
                  <c:v>0-1 Miles</c:v>
                </c:pt>
                <c:pt idx="1">
                  <c:v>1-2 Miles</c:v>
                </c:pt>
                <c:pt idx="2">
                  <c:v>2-5 Miles</c:v>
                </c:pt>
                <c:pt idx="3">
                  <c:v>5-10 Miles</c:v>
                </c:pt>
                <c:pt idx="4">
                  <c:v>more than 10 Miles</c:v>
                </c:pt>
              </c:strCache>
            </c:strRef>
          </c:cat>
          <c:val>
            <c:numRef>
              <c:f>Sheet3!$C$43:$C$48</c:f>
              <c:numCache>
                <c:formatCode>General</c:formatCode>
                <c:ptCount val="5"/>
                <c:pt idx="0">
                  <c:v>200</c:v>
                </c:pt>
                <c:pt idx="1">
                  <c:v>77</c:v>
                </c:pt>
                <c:pt idx="2">
                  <c:v>95</c:v>
                </c:pt>
                <c:pt idx="3">
                  <c:v>76</c:v>
                </c:pt>
                <c:pt idx="4">
                  <c:v>33</c:v>
                </c:pt>
              </c:numCache>
            </c:numRef>
          </c:val>
          <c:extLst>
            <c:ext xmlns:c16="http://schemas.microsoft.com/office/drawing/2014/chart" uri="{C3380CC4-5D6E-409C-BE32-E72D297353CC}">
              <c16:uniqueId val="{00000015-F85E-4947-91A0-86AF3F51F6C7}"/>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b"/>
      <c:legendEntry>
        <c:idx val="2"/>
        <c:txPr>
          <a:bodyPr rot="0" spcFirstLastPara="1" vertOverflow="ellipsis" vert="horz" wrap="square" anchor="ctr" anchorCtr="1"/>
          <a:lstStyle/>
          <a:p>
            <a:pPr>
              <a:defRPr sz="1600" b="0" i="0" u="none" strike="noStrike" kern="1200" baseline="0">
                <a:solidFill>
                  <a:sysClr val="windowText" lastClr="000000"/>
                </a:solidFill>
                <a:latin typeface="+mn-lt"/>
                <a:ea typeface="+mn-ea"/>
                <a:cs typeface="+mn-cs"/>
              </a:defRPr>
            </a:pPr>
            <a:endParaRPr lang="en-US"/>
          </a:p>
        </c:txPr>
      </c:legendEntry>
      <c:layout>
        <c:manualLayout>
          <c:xMode val="edge"/>
          <c:yMode val="edge"/>
          <c:x val="0"/>
          <c:y val="0.11306922098787053"/>
          <c:w val="0.51561082574306938"/>
          <c:h val="0.87919471876832178"/>
        </c:manualLayout>
      </c:layout>
      <c:overlay val="0"/>
      <c:spPr>
        <a:noFill/>
        <a:ln>
          <a:noFill/>
        </a:ln>
        <a:effectLst/>
      </c:spPr>
      <c:txPr>
        <a:bodyPr rot="0" spcFirstLastPara="1" vertOverflow="ellipsis" vert="horz" wrap="square" anchor="ctr" anchorCtr="1"/>
        <a:lstStyle/>
        <a:p>
          <a:pPr>
            <a:defRPr sz="1400" b="0" i="0" u="none" strike="noStrike" kern="1200" baseline="0">
              <a:solidFill>
                <a:sysClr val="windowText" lastClr="000000"/>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blipFill>
      <a:blip xmlns:r="http://schemas.openxmlformats.org/officeDocument/2006/relationships" r:embed="rId4"/>
      <a:tile tx="0" ty="0" sx="100000" sy="100000" flip="none" algn="tl"/>
    </a:blipFill>
    <a:ln w="9525" cap="flat" cmpd="sng" algn="ctr">
      <a:solidFill>
        <a:schemeClr val="dk1">
          <a:lumMod val="15000"/>
          <a:lumOff val="85000"/>
        </a:schemeClr>
      </a:solidFill>
      <a:round/>
    </a:ln>
    <a:effectLst/>
  </c:spPr>
  <c:txPr>
    <a:bodyPr/>
    <a:lstStyle/>
    <a:p>
      <a:pPr>
        <a:defRPr sz="12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survey cleaned Dataset &amp; Dshboard.xlsx]Sheet3!PivotTable4</c:name>
    <c:fmtId val="32"/>
  </c:pivotSource>
  <c:chart>
    <c:title>
      <c:tx>
        <c:rich>
          <a:bodyPr rot="0" spcFirstLastPara="1" vertOverflow="ellipsis" vert="horz" wrap="square" anchor="ctr" anchorCtr="1"/>
          <a:lstStyle/>
          <a:p>
            <a:pPr>
              <a:defRPr sz="1680" b="0" i="0" u="none" strike="noStrike" kern="1200" spc="0" baseline="0">
                <a:solidFill>
                  <a:schemeClr val="tx1">
                    <a:lumMod val="65000"/>
                    <a:lumOff val="35000"/>
                  </a:schemeClr>
                </a:solidFill>
                <a:latin typeface="+mn-lt"/>
                <a:ea typeface="+mn-ea"/>
                <a:cs typeface="+mn-cs"/>
              </a:defRPr>
            </a:pPr>
            <a:r>
              <a:rPr lang="en-US" b="0">
                <a:solidFill>
                  <a:sysClr val="windowText" lastClr="000000"/>
                </a:solidFill>
              </a:rPr>
              <a:t>BIKE PURCHASED BASED ON HOUSE OWNED</a:t>
            </a:r>
          </a:p>
        </c:rich>
      </c:tx>
      <c:layout>
        <c:manualLayout>
          <c:xMode val="edge"/>
          <c:yMode val="edge"/>
          <c:x val="0.1666215083690504"/>
          <c:y val="3.8647336461412003E-2"/>
        </c:manualLayout>
      </c:layout>
      <c:overlay val="1"/>
      <c:spPr>
        <a:noFill/>
        <a:ln>
          <a:noFill/>
        </a:ln>
        <a:effectLst/>
      </c:spPr>
      <c:txPr>
        <a:bodyPr rot="0" spcFirstLastPara="1" vertOverflow="ellipsis" vert="horz" wrap="square" anchor="ctr" anchorCtr="1"/>
        <a:lstStyle/>
        <a:p>
          <a:pPr>
            <a:defRPr sz="168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6"/>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6"/>
          </a:solidFill>
          <a:ln>
            <a:noFill/>
          </a:ln>
          <a:effectLst/>
          <a:sp3d/>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4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solidFill>
            <a:schemeClr val="accent6"/>
          </a:solidFill>
          <a:ln>
            <a:noFill/>
          </a:ln>
          <a:effectLst/>
          <a:sp3d/>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4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3.677482906417142E-2"/>
          <c:y val="0.188248604319463"/>
          <c:w val="0.9264503418716572"/>
          <c:h val="0.65087522139554443"/>
        </c:manualLayout>
      </c:layout>
      <c:bar3DChart>
        <c:barDir val="bar"/>
        <c:grouping val="percentStacked"/>
        <c:varyColors val="0"/>
        <c:ser>
          <c:idx val="0"/>
          <c:order val="0"/>
          <c:tx>
            <c:strRef>
              <c:f>Sheet3!$H$70:$H$71</c:f>
              <c:strCache>
                <c:ptCount val="1"/>
                <c:pt idx="0">
                  <c:v>No</c:v>
                </c:pt>
              </c:strCache>
            </c:strRef>
          </c:tx>
          <c:spPr>
            <a:solidFill>
              <a:schemeClr val="accent6"/>
            </a:solidFill>
            <a:ln>
              <a:noFill/>
            </a:ln>
            <a:effectLst/>
            <a:sp3d/>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4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Sheet3!$G$72:$G$74</c:f>
              <c:strCache>
                <c:ptCount val="2"/>
                <c:pt idx="0">
                  <c:v>Female</c:v>
                </c:pt>
                <c:pt idx="1">
                  <c:v>Male</c:v>
                </c:pt>
              </c:strCache>
            </c:strRef>
          </c:cat>
          <c:val>
            <c:numRef>
              <c:f>Sheet3!$H$72:$H$74</c:f>
              <c:numCache>
                <c:formatCode>General</c:formatCode>
                <c:ptCount val="2"/>
                <c:pt idx="0">
                  <c:v>157</c:v>
                </c:pt>
                <c:pt idx="1">
                  <c:v>160</c:v>
                </c:pt>
              </c:numCache>
            </c:numRef>
          </c:val>
          <c:extLst>
            <c:ext xmlns:c16="http://schemas.microsoft.com/office/drawing/2014/chart" uri="{C3380CC4-5D6E-409C-BE32-E72D297353CC}">
              <c16:uniqueId val="{00000000-9539-4EE4-BBD5-C5FD7B8D949C}"/>
            </c:ext>
          </c:extLst>
        </c:ser>
        <c:ser>
          <c:idx val="1"/>
          <c:order val="1"/>
          <c:tx>
            <c:strRef>
              <c:f>Sheet3!$I$70:$I$71</c:f>
              <c:strCache>
                <c:ptCount val="1"/>
                <c:pt idx="0">
                  <c:v>Yes</c:v>
                </c:pt>
              </c:strCache>
            </c:strRef>
          </c:tx>
          <c:spPr>
            <a:solidFill>
              <a:schemeClr val="accent5"/>
            </a:solidFill>
            <a:ln>
              <a:noFill/>
            </a:ln>
            <a:effectLst/>
            <a:sp3d/>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4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1"/>
                <c15:leaderLines>
                  <c:spPr>
                    <a:ln w="9525" cap="flat" cmpd="sng" algn="ctr">
                      <a:solidFill>
                        <a:schemeClr val="tx1">
                          <a:lumMod val="35000"/>
                          <a:lumOff val="65000"/>
                        </a:schemeClr>
                      </a:solidFill>
                      <a:round/>
                    </a:ln>
                    <a:effectLst/>
                  </c:spPr>
                </c15:leaderLines>
              </c:ext>
            </c:extLst>
          </c:dLbls>
          <c:cat>
            <c:strRef>
              <c:f>Sheet3!$G$72:$G$74</c:f>
              <c:strCache>
                <c:ptCount val="2"/>
                <c:pt idx="0">
                  <c:v>Female</c:v>
                </c:pt>
                <c:pt idx="1">
                  <c:v>Male</c:v>
                </c:pt>
              </c:strCache>
            </c:strRef>
          </c:cat>
          <c:val>
            <c:numRef>
              <c:f>Sheet3!$I$72:$I$74</c:f>
              <c:numCache>
                <c:formatCode>General</c:formatCode>
                <c:ptCount val="2"/>
                <c:pt idx="0">
                  <c:v>332</c:v>
                </c:pt>
                <c:pt idx="1">
                  <c:v>351</c:v>
                </c:pt>
              </c:numCache>
            </c:numRef>
          </c:val>
          <c:extLst>
            <c:ext xmlns:c16="http://schemas.microsoft.com/office/drawing/2014/chart" uri="{C3380CC4-5D6E-409C-BE32-E72D297353CC}">
              <c16:uniqueId val="{00000001-90CE-4EE1-9B64-3A32B2201A4E}"/>
            </c:ext>
          </c:extLst>
        </c:ser>
        <c:dLbls>
          <c:showLegendKey val="0"/>
          <c:showVal val="0"/>
          <c:showCatName val="0"/>
          <c:showSerName val="0"/>
          <c:showPercent val="0"/>
          <c:showBubbleSize val="0"/>
        </c:dLbls>
        <c:gapWidth val="150"/>
        <c:shape val="box"/>
        <c:axId val="1685709872"/>
        <c:axId val="1558365152"/>
        <c:axId val="0"/>
      </c:bar3DChart>
      <c:catAx>
        <c:axId val="1685709872"/>
        <c:scaling>
          <c:orientation val="minMax"/>
        </c:scaling>
        <c:delete val="1"/>
        <c:axPos val="l"/>
        <c:numFmt formatCode="General" sourceLinked="1"/>
        <c:majorTickMark val="none"/>
        <c:minorTickMark val="none"/>
        <c:tickLblPos val="nextTo"/>
        <c:crossAx val="1558365152"/>
        <c:crosses val="autoZero"/>
        <c:auto val="1"/>
        <c:lblAlgn val="ctr"/>
        <c:lblOffset val="100"/>
        <c:noMultiLvlLbl val="0"/>
      </c:catAx>
      <c:valAx>
        <c:axId val="1558365152"/>
        <c:scaling>
          <c:orientation val="minMax"/>
        </c:scaling>
        <c:delete val="1"/>
        <c:axPos val="b"/>
        <c:numFmt formatCode="0%" sourceLinked="1"/>
        <c:majorTickMark val="none"/>
        <c:minorTickMark val="none"/>
        <c:tickLblPos val="nextTo"/>
        <c:crossAx val="1685709872"/>
        <c:crosses val="autoZero"/>
        <c:crossBetween val="between"/>
      </c:valAx>
      <c:spPr>
        <a:noFill/>
        <a:ln>
          <a:noFill/>
        </a:ln>
        <a:effectLst/>
      </c:spPr>
    </c:plotArea>
    <c:legend>
      <c:legendPos val="b"/>
      <c:layout>
        <c:manualLayout>
          <c:xMode val="edge"/>
          <c:yMode val="edge"/>
          <c:x val="0.34155678735094225"/>
          <c:y val="0.82742990590594834"/>
          <c:w val="0.31419021649416723"/>
          <c:h val="8.8050312562864233E-2"/>
        </c:manualLayout>
      </c:layout>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blipFill>
      <a:blip xmlns:r="http://schemas.openxmlformats.org/officeDocument/2006/relationships" r:embed="rId3"/>
      <a:tile tx="0" ty="0" sx="100000" sy="100000" flip="none" algn="tl"/>
    </a:blipFill>
    <a:ln w="9525" cap="flat" cmpd="sng" algn="ctr">
      <a:solidFill>
        <a:schemeClr val="tx1">
          <a:lumMod val="15000"/>
          <a:lumOff val="85000"/>
        </a:schemeClr>
      </a:solidFill>
      <a:round/>
    </a:ln>
    <a:effectLst/>
  </c:spPr>
  <c:txPr>
    <a:bodyPr/>
    <a:lstStyle/>
    <a:p>
      <a:pPr>
        <a:defRPr sz="14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[Bike sales survey cleaned Dataset &amp; Dshboard.xlsx]Sheet3!PivotTable7</c:name>
    <c:fmtId val="9"/>
  </c:pivotSource>
  <c:chart>
    <c:title>
      <c:tx>
        <c:rich>
          <a:bodyPr rot="0" spcFirstLastPara="1" vertOverflow="ellipsis" vert="horz" wrap="square" anchor="ctr" anchorCtr="1"/>
          <a:lstStyle/>
          <a:p>
            <a:pPr>
              <a:defRPr sz="1440" b="1" i="0" u="none" strike="noStrike" kern="1200" spc="0" baseline="0">
                <a:solidFill>
                  <a:schemeClr val="tx1">
                    <a:lumMod val="65000"/>
                    <a:lumOff val="35000"/>
                  </a:schemeClr>
                </a:solidFill>
                <a:latin typeface="+mn-lt"/>
                <a:ea typeface="+mn-ea"/>
                <a:cs typeface="+mn-cs"/>
              </a:defRPr>
            </a:pPr>
            <a:r>
              <a:rPr lang="en-US"/>
              <a:t>Chart Title</a:t>
            </a:r>
          </a:p>
        </c:rich>
      </c:tx>
      <c:overlay val="0"/>
      <c:spPr>
        <a:noFill/>
        <a:ln>
          <a:noFill/>
        </a:ln>
        <a:effectLst/>
      </c:spPr>
    </c:title>
    <c:autoTitleDeleted val="0"/>
    <c:pivotFmts>
      <c:pivotFmt>
        <c:idx val="0"/>
        <c:spPr>
          <a:solidFill>
            <a:schemeClr val="accent6"/>
          </a:solidFill>
          <a:ln w="28575" cap="rnd">
            <a:solidFill>
              <a:schemeClr val="accent6"/>
            </a:solidFill>
            <a:round/>
          </a:ln>
          <a:effectLst/>
        </c:spPr>
        <c:marker>
          <c:symbol val="none"/>
        </c:marker>
        <c:dLbl>
          <c:idx val="0"/>
          <c:spPr>
            <a:noFill/>
            <a:ln>
              <a:noFill/>
            </a:ln>
            <a:effectLst/>
          </c:spPr>
          <c:txPr>
            <a:bodyPr rot="0" spcFirstLastPara="1" vertOverflow="ellipsis" vert="horz" wrap="square" anchor="ctr" anchorCtr="1"/>
            <a:lstStyle/>
            <a:p>
              <a:pPr>
                <a:defRPr sz="12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solidFill>
          <a:ln w="28575" cap="rnd">
            <a:solidFill>
              <a:schemeClr val="accent6"/>
            </a:solidFill>
            <a:round/>
          </a:ln>
          <a:effectLst/>
        </c:spPr>
        <c:marker>
          <c:symbol val="none"/>
        </c:marker>
        <c:dLbl>
          <c:idx val="0"/>
          <c:spPr>
            <a:noFill/>
            <a:ln>
              <a:noFill/>
            </a:ln>
            <a:effectLst/>
          </c:spPr>
          <c:txPr>
            <a:bodyPr rot="0" spcFirstLastPara="1" vertOverflow="ellipsis" vert="horz" wrap="square" anchor="ctr" anchorCtr="1"/>
            <a:lstStyle/>
            <a:p>
              <a:pPr>
                <a:defRPr sz="12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6"/>
          </a:solidFill>
          <a:ln w="28575" cap="rnd">
            <a:solidFill>
              <a:schemeClr val="accent6"/>
            </a:solidFill>
            <a:round/>
          </a:ln>
          <a:effectLst/>
        </c:spPr>
        <c:marker>
          <c:symbol val="none"/>
        </c:marker>
        <c:dLbl>
          <c:idx val="0"/>
          <c:layout>
            <c:manualLayout>
              <c:x val="-5.4388888888888938E-2"/>
              <c:y val="3.5532589676290464E-2"/>
            </c:manualLayout>
          </c:layout>
          <c:spPr>
            <a:noFill/>
            <a:ln>
              <a:noFill/>
            </a:ln>
            <a:effectLst/>
          </c:spPr>
          <c:txPr>
            <a:bodyPr rot="0" spcFirstLastPara="1" vertOverflow="ellipsis" vert="horz" wrap="square" anchor="ctr" anchorCtr="1"/>
            <a:lstStyle/>
            <a:p>
              <a:pPr>
                <a:defRPr sz="1200" b="1"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6"/>
          </a:solidFill>
          <a:ln w="28575" cap="rnd">
            <a:solidFill>
              <a:schemeClr val="accent6"/>
            </a:solidFill>
            <a:round/>
          </a:ln>
          <a:effectLst/>
        </c:spPr>
        <c:marker>
          <c:symbol val="none"/>
        </c:marker>
        <c:dLbl>
          <c:idx val="0"/>
          <c:layout>
            <c:manualLayout>
              <c:x val="-8.5055555555555551E-2"/>
              <c:y val="3.5532589676290464E-2"/>
            </c:manualLayout>
          </c:layout>
          <c:spPr>
            <a:noFill/>
            <a:ln>
              <a:noFill/>
            </a:ln>
            <a:effectLst/>
          </c:spPr>
          <c:txPr>
            <a:bodyPr rot="0" spcFirstLastPara="1" vertOverflow="ellipsis" vert="horz" wrap="square" anchor="ctr" anchorCtr="1"/>
            <a:lstStyle/>
            <a:p>
              <a:pPr>
                <a:defRPr sz="1200" b="1"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6"/>
          </a:solidFill>
          <a:ln w="28575" cap="rnd">
            <a:solidFill>
              <a:schemeClr val="accent5"/>
            </a:solidFill>
            <a:round/>
          </a:ln>
          <a:effectLst/>
        </c:spPr>
        <c:marker>
          <c:symbol val="none"/>
        </c:marker>
        <c:dLbl>
          <c:idx val="0"/>
          <c:layout>
            <c:manualLayout>
              <c:x val="-3.4944444444444549E-2"/>
              <c:y val="8.1828885972586765E-2"/>
            </c:manualLayout>
          </c:layout>
          <c:spPr>
            <a:noFill/>
            <a:ln>
              <a:noFill/>
            </a:ln>
            <a:effectLst/>
          </c:spPr>
          <c:txPr>
            <a:bodyPr rot="0" spcFirstLastPara="1" vertOverflow="ellipsis" vert="horz" wrap="square" anchor="ctr" anchorCtr="1"/>
            <a:lstStyle/>
            <a:p>
              <a:pPr>
                <a:defRPr sz="1200" b="1"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6"/>
          </a:solidFill>
          <a:ln w="28575" cap="rnd">
            <a:solidFill>
              <a:schemeClr val="accent5"/>
            </a:solidFill>
            <a:round/>
          </a:ln>
          <a:effectLst/>
        </c:spPr>
        <c:marker>
          <c:symbol val="none"/>
        </c:marker>
        <c:dLbl>
          <c:idx val="0"/>
          <c:layout>
            <c:manualLayout>
              <c:x val="-5.45E-2"/>
              <c:y val="7.2569626713327506E-2"/>
            </c:manualLayout>
          </c:layout>
          <c:spPr>
            <a:noFill/>
            <a:ln>
              <a:noFill/>
            </a:ln>
            <a:effectLst/>
          </c:spPr>
          <c:txPr>
            <a:bodyPr rot="0" spcFirstLastPara="1" vertOverflow="ellipsis" vert="horz" wrap="square" anchor="ctr" anchorCtr="1"/>
            <a:lstStyle/>
            <a:p>
              <a:pPr>
                <a:defRPr sz="1200" b="1"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6"/>
          </a:solidFill>
          <a:ln w="28575" cap="rnd">
            <a:solidFill>
              <a:schemeClr val="accent6"/>
            </a:solidFill>
            <a:round/>
          </a:ln>
          <a:effectLst/>
        </c:spPr>
        <c:marker>
          <c:symbol val="none"/>
        </c:marker>
        <c:dLbl>
          <c:idx val="0"/>
          <c:spPr>
            <a:noFill/>
            <a:ln>
              <a:noFill/>
            </a:ln>
            <a:effectLst/>
          </c:spPr>
          <c:txPr>
            <a:bodyPr rot="0" spcFirstLastPara="1" vertOverflow="ellipsis" vert="horz" wrap="square" anchor="ctr" anchorCtr="1"/>
            <a:lstStyle/>
            <a:p>
              <a:pPr>
                <a:defRPr sz="12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6"/>
          </a:solidFill>
          <a:ln w="28575" cap="rnd">
            <a:solidFill>
              <a:schemeClr val="accent6"/>
            </a:solidFill>
            <a:round/>
          </a:ln>
          <a:effectLst/>
        </c:spPr>
        <c:marker>
          <c:symbol val="none"/>
        </c:marker>
        <c:dLbl>
          <c:idx val="0"/>
          <c:layout>
            <c:manualLayout>
              <c:x val="-8.5055555555555551E-2"/>
              <c:y val="3.5532589676290464E-2"/>
            </c:manualLayout>
          </c:layout>
          <c:spPr>
            <a:noFill/>
            <a:ln>
              <a:noFill/>
            </a:ln>
            <a:effectLst/>
          </c:spPr>
          <c:txPr>
            <a:bodyPr rot="0" spcFirstLastPara="1" vertOverflow="ellipsis" vert="horz" wrap="square" anchor="ctr" anchorCtr="1"/>
            <a:lstStyle/>
            <a:p>
              <a:pPr>
                <a:defRPr sz="1200" b="1"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6"/>
          </a:solidFill>
          <a:ln w="28575" cap="rnd">
            <a:solidFill>
              <a:schemeClr val="accent6"/>
            </a:solidFill>
            <a:round/>
          </a:ln>
          <a:effectLst/>
        </c:spPr>
        <c:marker>
          <c:symbol val="none"/>
        </c:marker>
        <c:dLbl>
          <c:idx val="0"/>
          <c:layout>
            <c:manualLayout>
              <c:x val="-5.4388888888888938E-2"/>
              <c:y val="3.5532589676290464E-2"/>
            </c:manualLayout>
          </c:layout>
          <c:spPr>
            <a:noFill/>
            <a:ln>
              <a:noFill/>
            </a:ln>
            <a:effectLst/>
          </c:spPr>
          <c:txPr>
            <a:bodyPr rot="0" spcFirstLastPara="1" vertOverflow="ellipsis" vert="horz" wrap="square" anchor="ctr" anchorCtr="1"/>
            <a:lstStyle/>
            <a:p>
              <a:pPr>
                <a:defRPr sz="1200" b="1"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6"/>
          </a:solidFill>
          <a:ln w="28575" cap="rnd">
            <a:solidFill>
              <a:schemeClr val="accent6"/>
            </a:solidFill>
            <a:round/>
          </a:ln>
          <a:effectLst/>
        </c:spPr>
        <c:marker>
          <c:symbol val="none"/>
        </c:marker>
        <c:dLbl>
          <c:idx val="0"/>
          <c:spPr>
            <a:noFill/>
            <a:ln>
              <a:noFill/>
            </a:ln>
            <a:effectLst/>
          </c:spPr>
          <c:txPr>
            <a:bodyPr rot="0" spcFirstLastPara="1" vertOverflow="ellipsis" vert="horz" wrap="square" anchor="ctr" anchorCtr="1"/>
            <a:lstStyle/>
            <a:p>
              <a:pPr>
                <a:defRPr sz="12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6"/>
          </a:solidFill>
          <a:ln w="28575" cap="rnd">
            <a:solidFill>
              <a:schemeClr val="accent5"/>
            </a:solidFill>
            <a:round/>
          </a:ln>
          <a:effectLst/>
        </c:spPr>
        <c:marker>
          <c:symbol val="none"/>
        </c:marker>
        <c:dLbl>
          <c:idx val="0"/>
          <c:layout>
            <c:manualLayout>
              <c:x val="-3.4944444444444549E-2"/>
              <c:y val="8.1828885972586765E-2"/>
            </c:manualLayout>
          </c:layout>
          <c:spPr>
            <a:noFill/>
            <a:ln>
              <a:noFill/>
            </a:ln>
            <a:effectLst/>
          </c:spPr>
          <c:txPr>
            <a:bodyPr rot="0" spcFirstLastPara="1" vertOverflow="ellipsis" vert="horz" wrap="square" anchor="ctr" anchorCtr="1"/>
            <a:lstStyle/>
            <a:p>
              <a:pPr>
                <a:defRPr sz="1200" b="1"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6"/>
          </a:solidFill>
          <a:ln w="28575" cap="rnd">
            <a:solidFill>
              <a:schemeClr val="accent5"/>
            </a:solidFill>
            <a:round/>
          </a:ln>
          <a:effectLst/>
        </c:spPr>
        <c:marker>
          <c:symbol val="none"/>
        </c:marker>
        <c:dLbl>
          <c:idx val="0"/>
          <c:layout>
            <c:manualLayout>
              <c:x val="-5.45E-2"/>
              <c:y val="7.2569626713327506E-2"/>
            </c:manualLayout>
          </c:layout>
          <c:spPr>
            <a:noFill/>
            <a:ln>
              <a:noFill/>
            </a:ln>
            <a:effectLst/>
          </c:spPr>
          <c:txPr>
            <a:bodyPr rot="0" spcFirstLastPara="1" vertOverflow="ellipsis" vert="horz" wrap="square" anchor="ctr" anchorCtr="1"/>
            <a:lstStyle/>
            <a:p>
              <a:pPr>
                <a:defRPr sz="1200" b="1"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2"/>
        <c:spPr>
          <a:ln w="28575" cap="rnd">
            <a:solidFill>
              <a:schemeClr val="accent6"/>
            </a:solidFill>
            <a:round/>
          </a:ln>
          <a:effectLst/>
        </c:spPr>
        <c:marker>
          <c:symbol val="none"/>
        </c:marker>
        <c:dLbl>
          <c:idx val="0"/>
          <c:spPr>
            <a:noFill/>
            <a:ln>
              <a:noFill/>
            </a:ln>
            <a:effectLst/>
          </c:spPr>
          <c:txPr>
            <a:bodyPr rot="0" spcFirstLastPara="1" vertOverflow="ellipsis" vert="horz" wrap="square" anchor="ctr" anchorCtr="1"/>
            <a:lstStyle/>
            <a:p>
              <a:pPr>
                <a:defRPr sz="12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3"/>
        <c:spPr>
          <a:ln w="28575" cap="rnd">
            <a:solidFill>
              <a:schemeClr val="accent6"/>
            </a:solidFill>
            <a:round/>
          </a:ln>
          <a:effectLst/>
        </c:spPr>
        <c:marker>
          <c:symbol val="none"/>
        </c:marker>
        <c:dLbl>
          <c:idx val="0"/>
          <c:layout>
            <c:manualLayout>
              <c:x val="-8.5055555555555551E-2"/>
              <c:y val="3.5532589676290464E-2"/>
            </c:manualLayout>
          </c:layout>
          <c:spPr>
            <a:noFill/>
            <a:ln>
              <a:noFill/>
            </a:ln>
            <a:effectLst/>
          </c:spPr>
          <c:txPr>
            <a:bodyPr rot="0" spcFirstLastPara="1" vertOverflow="ellipsis" vert="horz" wrap="square" anchor="ctr" anchorCtr="1"/>
            <a:lstStyle/>
            <a:p>
              <a:pPr>
                <a:defRPr sz="1200" b="1"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4"/>
        <c:spPr>
          <a:ln w="28575" cap="rnd">
            <a:solidFill>
              <a:schemeClr val="accent6"/>
            </a:solidFill>
            <a:round/>
          </a:ln>
          <a:effectLst/>
        </c:spPr>
        <c:marker>
          <c:symbol val="none"/>
        </c:marker>
        <c:dLbl>
          <c:idx val="0"/>
          <c:layout>
            <c:manualLayout>
              <c:x val="-5.4388888888888938E-2"/>
              <c:y val="3.5532589676290464E-2"/>
            </c:manualLayout>
          </c:layout>
          <c:spPr>
            <a:noFill/>
            <a:ln>
              <a:noFill/>
            </a:ln>
            <a:effectLst/>
          </c:spPr>
          <c:txPr>
            <a:bodyPr rot="0" spcFirstLastPara="1" vertOverflow="ellipsis" vert="horz" wrap="square" anchor="ctr" anchorCtr="1"/>
            <a:lstStyle/>
            <a:p>
              <a:pPr>
                <a:defRPr sz="1200" b="1"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5"/>
        <c:spPr>
          <a:ln w="28575" cap="rnd">
            <a:solidFill>
              <a:schemeClr val="accent6"/>
            </a:solidFill>
            <a:round/>
          </a:ln>
          <a:effectLst/>
        </c:spPr>
        <c:marker>
          <c:symbol val="none"/>
        </c:marker>
        <c:dLbl>
          <c:idx val="0"/>
          <c:spPr>
            <a:noFill/>
            <a:ln>
              <a:noFill/>
            </a:ln>
            <a:effectLst/>
          </c:spPr>
          <c:txPr>
            <a:bodyPr rot="0" spcFirstLastPara="1" vertOverflow="ellipsis" vert="horz" wrap="square" anchor="ctr" anchorCtr="1"/>
            <a:lstStyle/>
            <a:p>
              <a:pPr>
                <a:defRPr sz="12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6"/>
        <c:spPr>
          <a:ln w="28575" cap="rnd">
            <a:solidFill>
              <a:schemeClr val="accent5"/>
            </a:solidFill>
            <a:round/>
          </a:ln>
          <a:effectLst/>
        </c:spPr>
        <c:marker>
          <c:symbol val="none"/>
        </c:marker>
        <c:dLbl>
          <c:idx val="0"/>
          <c:layout>
            <c:manualLayout>
              <c:x val="-3.4944444444444549E-2"/>
              <c:y val="8.1828885972586765E-2"/>
            </c:manualLayout>
          </c:layout>
          <c:spPr>
            <a:noFill/>
            <a:ln>
              <a:noFill/>
            </a:ln>
            <a:effectLst/>
          </c:spPr>
          <c:txPr>
            <a:bodyPr rot="0" spcFirstLastPara="1" vertOverflow="ellipsis" vert="horz" wrap="square" anchor="ctr" anchorCtr="1"/>
            <a:lstStyle/>
            <a:p>
              <a:pPr>
                <a:defRPr sz="1200" b="1"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7"/>
        <c:spPr>
          <a:ln w="28575" cap="rnd">
            <a:solidFill>
              <a:schemeClr val="accent5"/>
            </a:solidFill>
            <a:round/>
          </a:ln>
          <a:effectLst/>
        </c:spPr>
        <c:marker>
          <c:symbol val="none"/>
        </c:marker>
        <c:dLbl>
          <c:idx val="0"/>
          <c:layout>
            <c:manualLayout>
              <c:x val="-5.45E-2"/>
              <c:y val="7.2569626713327506E-2"/>
            </c:manualLayout>
          </c:layout>
          <c:spPr>
            <a:noFill/>
            <a:ln>
              <a:noFill/>
            </a:ln>
            <a:effectLst/>
          </c:spPr>
          <c:txPr>
            <a:bodyPr rot="0" spcFirstLastPara="1" vertOverflow="ellipsis" vert="horz" wrap="square" anchor="ctr" anchorCtr="1"/>
            <a:lstStyle/>
            <a:p>
              <a:pPr>
                <a:defRPr sz="1200" b="1"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8"/>
        <c:spPr>
          <a:ln w="28575" cap="rnd">
            <a:solidFill>
              <a:schemeClr val="accent6"/>
            </a:solidFill>
            <a:round/>
          </a:ln>
          <a:effectLst/>
        </c:spPr>
        <c:marker>
          <c:symbol val="none"/>
        </c:marker>
        <c:dLbl>
          <c:idx val="0"/>
          <c:spPr>
            <a:noFill/>
            <a:ln>
              <a:noFill/>
            </a:ln>
            <a:effectLst/>
          </c:spPr>
          <c:txPr>
            <a:bodyPr rot="0" spcFirstLastPara="1" vertOverflow="ellipsis" vert="horz" wrap="square" anchor="ctr" anchorCtr="1"/>
            <a:lstStyle/>
            <a:p>
              <a:pPr>
                <a:defRPr sz="12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9"/>
        <c:dLbl>
          <c:idx val="0"/>
          <c:layout>
            <c:manualLayout>
              <c:x val="-8.5055555555555551E-2"/>
              <c:y val="3.5532589676290464E-2"/>
            </c:manualLayout>
          </c:layout>
          <c:spPr>
            <a:noFill/>
            <a:ln>
              <a:noFill/>
            </a:ln>
            <a:effectLst/>
          </c:spPr>
          <c:txPr>
            <a:bodyPr rot="0" spcFirstLastPara="1" vertOverflow="ellipsis" vert="horz" wrap="square" anchor="ctr" anchorCtr="1"/>
            <a:lstStyle/>
            <a:p>
              <a:pPr>
                <a:defRPr sz="1200" b="1"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0"/>
        <c:dLbl>
          <c:idx val="0"/>
          <c:layout>
            <c:manualLayout>
              <c:x val="-5.4388888888888938E-2"/>
              <c:y val="3.5532589676290464E-2"/>
            </c:manualLayout>
          </c:layout>
          <c:spPr>
            <a:noFill/>
            <a:ln>
              <a:noFill/>
            </a:ln>
            <a:effectLst/>
          </c:spPr>
          <c:txPr>
            <a:bodyPr rot="0" spcFirstLastPara="1" vertOverflow="ellipsis" vert="horz" wrap="square" anchor="ctr" anchorCtr="1"/>
            <a:lstStyle/>
            <a:p>
              <a:pPr>
                <a:defRPr sz="1200" b="1"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1"/>
        <c:spPr>
          <a:ln w="28575" cap="rnd">
            <a:solidFill>
              <a:schemeClr val="accent5"/>
            </a:solidFill>
            <a:round/>
          </a:ln>
          <a:effectLst/>
        </c:spPr>
        <c:marker>
          <c:symbol val="none"/>
        </c:marker>
        <c:dLbl>
          <c:idx val="0"/>
          <c:spPr>
            <a:noFill/>
            <a:ln>
              <a:noFill/>
            </a:ln>
            <a:effectLst/>
          </c:spPr>
          <c:txPr>
            <a:bodyPr rot="0" spcFirstLastPara="1" vertOverflow="ellipsis" vert="horz" wrap="square" anchor="ctr" anchorCtr="1"/>
            <a:lstStyle/>
            <a:p>
              <a:pPr>
                <a:defRPr sz="12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2"/>
        <c:dLbl>
          <c:idx val="0"/>
          <c:layout>
            <c:manualLayout>
              <c:x val="-3.4944444444444549E-2"/>
              <c:y val="8.1828885972586765E-2"/>
            </c:manualLayout>
          </c:layout>
          <c:spPr>
            <a:noFill/>
            <a:ln>
              <a:noFill/>
            </a:ln>
            <a:effectLst/>
          </c:spPr>
          <c:txPr>
            <a:bodyPr rot="0" spcFirstLastPara="1" vertOverflow="ellipsis" vert="horz" wrap="square" anchor="ctr" anchorCtr="1"/>
            <a:lstStyle/>
            <a:p>
              <a:pPr>
                <a:defRPr sz="1200" b="1"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3"/>
        <c:dLbl>
          <c:idx val="0"/>
          <c:layout>
            <c:manualLayout>
              <c:x val="-5.45E-2"/>
              <c:y val="7.2569626713327506E-2"/>
            </c:manualLayout>
          </c:layout>
          <c:spPr>
            <a:noFill/>
            <a:ln>
              <a:noFill/>
            </a:ln>
            <a:effectLst/>
          </c:spPr>
          <c:txPr>
            <a:bodyPr rot="0" spcFirstLastPara="1" vertOverflow="ellipsis" vert="horz" wrap="square" anchor="ctr" anchorCtr="1"/>
            <a:lstStyle/>
            <a:p>
              <a:pPr>
                <a:defRPr sz="1200" b="1"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Sheet3!$B$98:$B$99</c:f>
              <c:strCache>
                <c:ptCount val="1"/>
                <c:pt idx="0">
                  <c:v>No</c:v>
                </c:pt>
              </c:strCache>
            </c:strRef>
          </c:tx>
          <c:spPr>
            <a:ln w="28575" cap="rnd">
              <a:solidFill>
                <a:schemeClr val="accent6"/>
              </a:solidFill>
              <a:round/>
            </a:ln>
            <a:effectLst/>
          </c:spPr>
          <c:marker>
            <c:symbol val="none"/>
          </c:marker>
          <c:dLbls>
            <c:dLbl>
              <c:idx val="0"/>
              <c:layout>
                <c:manualLayout>
                  <c:x val="-8.5055555555555551E-2"/>
                  <c:y val="3.5532589676290464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C8B2-4D0D-BF63-3C00CD6615DC}"/>
                </c:ext>
              </c:extLst>
            </c:dLbl>
            <c:dLbl>
              <c:idx val="1"/>
              <c:layout>
                <c:manualLayout>
                  <c:x val="-5.4388888888888938E-2"/>
                  <c:y val="3.5532589676290464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C8B2-4D0D-BF63-3C00CD6615DC}"/>
                </c:ext>
              </c:extLst>
            </c:dLbl>
            <c:spPr>
              <a:noFill/>
              <a:ln>
                <a:noFill/>
              </a:ln>
              <a:effectLst/>
            </c:spPr>
            <c:txPr>
              <a:bodyPr rot="0" spcFirstLastPara="1" vertOverflow="ellipsis" vert="horz" wrap="square" anchor="ctr" anchorCtr="1"/>
              <a:lstStyle/>
              <a:p>
                <a:pPr>
                  <a:defRPr sz="12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errBars>
            <c:errDir val="y"/>
            <c:errBarType val="both"/>
            <c:errValType val="percentage"/>
            <c:noEndCap val="0"/>
            <c:val val="5"/>
          </c:errBars>
          <c:cat>
            <c:strRef>
              <c:f>Sheet3!$A$100:$A$105</c:f>
              <c:strCache>
                <c:ptCount val="5"/>
                <c:pt idx="0">
                  <c:v>Bachelors</c:v>
                </c:pt>
                <c:pt idx="1">
                  <c:v>Graduate Degree</c:v>
                </c:pt>
                <c:pt idx="2">
                  <c:v>High School</c:v>
                </c:pt>
                <c:pt idx="3">
                  <c:v>Partial College</c:v>
                </c:pt>
                <c:pt idx="4">
                  <c:v>Partial High School</c:v>
                </c:pt>
              </c:strCache>
            </c:strRef>
          </c:cat>
          <c:val>
            <c:numRef>
              <c:f>Sheet3!$B$100:$B$105</c:f>
              <c:numCache>
                <c:formatCode>General</c:formatCode>
                <c:ptCount val="5"/>
                <c:pt idx="0">
                  <c:v>137</c:v>
                </c:pt>
                <c:pt idx="1">
                  <c:v>80</c:v>
                </c:pt>
                <c:pt idx="2">
                  <c:v>100</c:v>
                </c:pt>
                <c:pt idx="3">
                  <c:v>146</c:v>
                </c:pt>
                <c:pt idx="4">
                  <c:v>56</c:v>
                </c:pt>
              </c:numCache>
            </c:numRef>
          </c:val>
          <c:smooth val="0"/>
          <c:extLst>
            <c:ext xmlns:c16="http://schemas.microsoft.com/office/drawing/2014/chart" uri="{C3380CC4-5D6E-409C-BE32-E72D297353CC}">
              <c16:uniqueId val="{00000009-C8B2-4D0D-BF63-3C00CD6615DC}"/>
            </c:ext>
          </c:extLst>
        </c:ser>
        <c:ser>
          <c:idx val="1"/>
          <c:order val="1"/>
          <c:tx>
            <c:strRef>
              <c:f>Sheet3!$C$98:$C$99</c:f>
              <c:strCache>
                <c:ptCount val="1"/>
                <c:pt idx="0">
                  <c:v>Yes</c:v>
                </c:pt>
              </c:strCache>
            </c:strRef>
          </c:tx>
          <c:spPr>
            <a:ln w="28575" cap="rnd">
              <a:solidFill>
                <a:schemeClr val="accent5"/>
              </a:solidFill>
              <a:round/>
            </a:ln>
            <a:effectLst/>
          </c:spPr>
          <c:marker>
            <c:symbol val="none"/>
          </c:marker>
          <c:dLbls>
            <c:dLbl>
              <c:idx val="2"/>
              <c:layout>
                <c:manualLayout>
                  <c:x val="-3.4944444444444549E-2"/>
                  <c:y val="8.182888597258676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C8B2-4D0D-BF63-3C00CD6615DC}"/>
                </c:ext>
              </c:extLst>
            </c:dLbl>
            <c:dLbl>
              <c:idx val="3"/>
              <c:layout>
                <c:manualLayout>
                  <c:x val="-5.45E-2"/>
                  <c:y val="7.2569626713327506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C8B2-4D0D-BF63-3C00CD6615DC}"/>
                </c:ext>
              </c:extLst>
            </c:dLbl>
            <c:spPr>
              <a:noFill/>
              <a:ln>
                <a:noFill/>
              </a:ln>
              <a:effectLst/>
            </c:spPr>
            <c:txPr>
              <a:bodyPr rot="0" spcFirstLastPara="1" vertOverflow="ellipsis" vert="horz" wrap="square" anchor="ctr" anchorCtr="1"/>
              <a:lstStyle/>
              <a:p>
                <a:pPr>
                  <a:defRPr sz="12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errBars>
            <c:errDir val="y"/>
            <c:errBarType val="both"/>
            <c:errValType val="percentage"/>
            <c:noEndCap val="0"/>
            <c:val val="5"/>
          </c:errBars>
          <c:cat>
            <c:strRef>
              <c:f>Sheet3!$A$100:$A$105</c:f>
              <c:strCache>
                <c:ptCount val="5"/>
                <c:pt idx="0">
                  <c:v>Bachelors</c:v>
                </c:pt>
                <c:pt idx="1">
                  <c:v>Graduate Degree</c:v>
                </c:pt>
                <c:pt idx="2">
                  <c:v>High School</c:v>
                </c:pt>
                <c:pt idx="3">
                  <c:v>Partial College</c:v>
                </c:pt>
                <c:pt idx="4">
                  <c:v>Partial High School</c:v>
                </c:pt>
              </c:strCache>
            </c:strRef>
          </c:cat>
          <c:val>
            <c:numRef>
              <c:f>Sheet3!$C$100:$C$105</c:f>
              <c:numCache>
                <c:formatCode>General</c:formatCode>
                <c:ptCount val="5"/>
                <c:pt idx="0">
                  <c:v>169</c:v>
                </c:pt>
                <c:pt idx="1">
                  <c:v>94</c:v>
                </c:pt>
                <c:pt idx="2">
                  <c:v>79</c:v>
                </c:pt>
                <c:pt idx="3">
                  <c:v>119</c:v>
                </c:pt>
                <c:pt idx="4">
                  <c:v>20</c:v>
                </c:pt>
              </c:numCache>
            </c:numRef>
          </c:val>
          <c:smooth val="0"/>
          <c:extLst>
            <c:ext xmlns:c16="http://schemas.microsoft.com/office/drawing/2014/chart" uri="{C3380CC4-5D6E-409C-BE32-E72D297353CC}">
              <c16:uniqueId val="{0000000D-C8B2-4D0D-BF63-3C00CD6615DC}"/>
            </c:ext>
          </c:extLst>
        </c:ser>
        <c:dLbls>
          <c:dLblPos val="t"/>
          <c:showLegendKey val="0"/>
          <c:showVal val="1"/>
          <c:showCatName val="0"/>
          <c:showSerName val="0"/>
          <c:showPercent val="0"/>
          <c:showBubbleSize val="0"/>
        </c:dLbls>
        <c:smooth val="0"/>
        <c:axId val="573784192"/>
        <c:axId val="1741572768"/>
      </c:lineChart>
      <c:catAx>
        <c:axId val="5737841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US"/>
          </a:p>
        </c:txPr>
        <c:crossAx val="1741572768"/>
        <c:crosses val="autoZero"/>
        <c:auto val="1"/>
        <c:lblAlgn val="ctr"/>
        <c:lblOffset val="100"/>
        <c:noMultiLvlLbl val="0"/>
      </c:catAx>
      <c:valAx>
        <c:axId val="1741572768"/>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crossAx val="573784192"/>
        <c:crosses val="autoZero"/>
        <c:crossBetween val="between"/>
      </c:valAx>
      <c:spPr>
        <a:blipFill>
          <a:blip xmlns:r="http://schemas.openxmlformats.org/officeDocument/2006/relationships" r:embed="rId1"/>
          <a:tile tx="0" ty="0" sx="100000" sy="100000" flip="none" algn="tl"/>
        </a:blipFill>
      </c:spPr>
    </c:plotArea>
    <c:legend>
      <c:legendPos val="t"/>
      <c:overlay val="0"/>
      <c:spPr>
        <a:noFill/>
        <a:ln>
          <a:noFill/>
        </a:ln>
        <a:effectLst/>
      </c:spPr>
      <c:txPr>
        <a:bodyPr rot="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blipFill>
      <a:blip xmlns:r="http://schemas.openxmlformats.org/officeDocument/2006/relationships" r:embed="rId1"/>
      <a:tile tx="0" ty="0" sx="100000" sy="100000" flip="none" algn="tl"/>
    </a:blipFill>
    <a:ln w="9525" cap="flat" cmpd="sng" algn="ctr">
      <a:solidFill>
        <a:schemeClr val="tx1">
          <a:lumMod val="15000"/>
          <a:lumOff val="85000"/>
        </a:schemeClr>
      </a:solidFill>
      <a:round/>
    </a:ln>
    <a:effectLst/>
  </c:spPr>
  <c:txPr>
    <a:bodyPr/>
    <a:lstStyle/>
    <a:p>
      <a:pPr>
        <a:defRPr sz="1200"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survey cleaned Dataset &amp; Dshboard.xlsx]Sheet3!PivotTable3</c:name>
    <c:fmtId val="0"/>
  </c:pivotSource>
  <c:chart>
    <c:autoTitleDeleted val="0"/>
    <c:pivotFmts>
      <c:pivotFmt>
        <c:idx val="0"/>
        <c:spPr>
          <a:solidFill>
            <a:schemeClr val="accent1"/>
          </a:solidFill>
          <a:ln>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lumMod val="95000"/>
                      <a:lumOff val="5000"/>
                    </a:schemeClr>
                  </a:solidFill>
                  <a:effectLst>
                    <a:outerShdw blurRad="50800" dist="50800" dir="5400000" sx="110000" sy="110000" algn="ctr" rotWithShape="0">
                      <a:schemeClr val="bg1">
                        <a:alpha val="99000"/>
                      </a:schemeClr>
                    </a:outerShdw>
                  </a:effectLst>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solidFill>
              <a:sysClr val="windowText" lastClr="000000"/>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lumMod val="95000"/>
                      <a:lumOff val="5000"/>
                    </a:schemeClr>
                  </a:solidFill>
                  <a:effectLst>
                    <a:outerShdw blurRad="50800" dist="50800" dir="5400000" sx="110000" sy="110000" algn="ctr" rotWithShape="0">
                      <a:schemeClr val="bg1">
                        <a:alpha val="99000"/>
                      </a:schemeClr>
                    </a:outerShdw>
                  </a:effectLst>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pivotFmt>
    </c:pivotFmts>
    <c:plotArea>
      <c:layout>
        <c:manualLayout>
          <c:layoutTarget val="inner"/>
          <c:xMode val="edge"/>
          <c:yMode val="edge"/>
          <c:x val="6.2563890040060785E-2"/>
          <c:y val="0.12417364307274741"/>
          <c:w val="0.82117121538024207"/>
          <c:h val="0.70525147847254088"/>
        </c:manualLayout>
      </c:layout>
      <c:barChart>
        <c:barDir val="col"/>
        <c:grouping val="clustered"/>
        <c:varyColors val="0"/>
        <c:ser>
          <c:idx val="0"/>
          <c:order val="0"/>
          <c:tx>
            <c:strRef>
              <c:f>Sheet3!$B$3:$B$4</c:f>
              <c:strCache>
                <c:ptCount val="1"/>
                <c:pt idx="0">
                  <c:v>No</c:v>
                </c:pt>
              </c:strCache>
            </c:strRef>
          </c:tx>
          <c:spPr>
            <a:solidFill>
              <a:schemeClr val="accent1"/>
            </a:solidFill>
            <a:ln>
              <a:solidFill>
                <a:schemeClr val="tx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lumMod val="95000"/>
                        <a:lumOff val="5000"/>
                      </a:schemeClr>
                    </a:solidFill>
                    <a:effectLst>
                      <a:outerShdw blurRad="50800" dist="50800" dir="5400000" sx="110000" sy="110000" algn="ctr" rotWithShape="0">
                        <a:schemeClr val="bg1">
                          <a:alpha val="99000"/>
                        </a:schemeClr>
                      </a:outerShdw>
                    </a:effectLst>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Sheet3!$A$5:$A$10</c:f>
              <c:strCache>
                <c:ptCount val="5"/>
                <c:pt idx="0">
                  <c:v>adults</c:v>
                </c:pt>
                <c:pt idx="1">
                  <c:v>mature adult </c:v>
                </c:pt>
                <c:pt idx="2">
                  <c:v>middle age</c:v>
                </c:pt>
                <c:pt idx="3">
                  <c:v>senior citizen</c:v>
                </c:pt>
                <c:pt idx="4">
                  <c:v>young adults</c:v>
                </c:pt>
              </c:strCache>
            </c:strRef>
          </c:cat>
          <c:val>
            <c:numRef>
              <c:f>Sheet3!$B$5:$B$10</c:f>
              <c:numCache>
                <c:formatCode>General</c:formatCode>
                <c:ptCount val="5"/>
                <c:pt idx="0">
                  <c:v>122</c:v>
                </c:pt>
                <c:pt idx="1">
                  <c:v>219</c:v>
                </c:pt>
                <c:pt idx="2">
                  <c:v>121</c:v>
                </c:pt>
                <c:pt idx="3">
                  <c:v>9</c:v>
                </c:pt>
                <c:pt idx="4">
                  <c:v>48</c:v>
                </c:pt>
              </c:numCache>
            </c:numRef>
          </c:val>
          <c:extLst>
            <c:ext xmlns:c16="http://schemas.microsoft.com/office/drawing/2014/chart" uri="{C3380CC4-5D6E-409C-BE32-E72D297353CC}">
              <c16:uniqueId val="{00000000-9DD2-4463-B652-A1155335BFA7}"/>
            </c:ext>
          </c:extLst>
        </c:ser>
        <c:ser>
          <c:idx val="1"/>
          <c:order val="1"/>
          <c:tx>
            <c:strRef>
              <c:f>Sheet3!$C$3:$C$4</c:f>
              <c:strCache>
                <c:ptCount val="1"/>
                <c:pt idx="0">
                  <c:v>Yes</c:v>
                </c:pt>
              </c:strCache>
            </c:strRef>
          </c:tx>
          <c:spPr>
            <a:solidFill>
              <a:schemeClr val="accent2"/>
            </a:solidFill>
            <a:ln>
              <a:solidFill>
                <a:sysClr val="windowText" lastClr="000000"/>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lumMod val="95000"/>
                        <a:lumOff val="5000"/>
                      </a:schemeClr>
                    </a:solidFill>
                    <a:effectLst>
                      <a:outerShdw blurRad="50800" dist="50800" dir="5400000" sx="110000" sy="110000" algn="ctr" rotWithShape="0">
                        <a:schemeClr val="bg1">
                          <a:alpha val="99000"/>
                        </a:schemeClr>
                      </a:outerShdw>
                    </a:effectLst>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Sheet3!$A$5:$A$10</c:f>
              <c:strCache>
                <c:ptCount val="5"/>
                <c:pt idx="0">
                  <c:v>adults</c:v>
                </c:pt>
                <c:pt idx="1">
                  <c:v>mature adult </c:v>
                </c:pt>
                <c:pt idx="2">
                  <c:v>middle age</c:v>
                </c:pt>
                <c:pt idx="3">
                  <c:v>senior citizen</c:v>
                </c:pt>
                <c:pt idx="4">
                  <c:v>young adults</c:v>
                </c:pt>
              </c:strCache>
            </c:strRef>
          </c:cat>
          <c:val>
            <c:numRef>
              <c:f>Sheet3!$C$5:$C$10</c:f>
              <c:numCache>
                <c:formatCode>General</c:formatCode>
                <c:ptCount val="5"/>
                <c:pt idx="0">
                  <c:v>179</c:v>
                </c:pt>
                <c:pt idx="1">
                  <c:v>208</c:v>
                </c:pt>
                <c:pt idx="2">
                  <c:v>53</c:v>
                </c:pt>
                <c:pt idx="3">
                  <c:v>6</c:v>
                </c:pt>
                <c:pt idx="4">
                  <c:v>35</c:v>
                </c:pt>
              </c:numCache>
            </c:numRef>
          </c:val>
          <c:extLst>
            <c:ext xmlns:c16="http://schemas.microsoft.com/office/drawing/2014/chart" uri="{C3380CC4-5D6E-409C-BE32-E72D297353CC}">
              <c16:uniqueId val="{00000000-35E5-43A6-92AA-F267AB2AC8F9}"/>
            </c:ext>
          </c:extLst>
        </c:ser>
        <c:dLbls>
          <c:showLegendKey val="0"/>
          <c:showVal val="0"/>
          <c:showCatName val="0"/>
          <c:showSerName val="0"/>
          <c:showPercent val="0"/>
          <c:showBubbleSize val="0"/>
        </c:dLbls>
        <c:gapWidth val="219"/>
        <c:overlap val="-27"/>
        <c:axId val="1789472624"/>
        <c:axId val="1789454864"/>
      </c:barChart>
      <c:catAx>
        <c:axId val="1789472624"/>
        <c:scaling>
          <c:orientation val="minMax"/>
        </c:scaling>
        <c:delete val="0"/>
        <c:axPos val="b"/>
        <c:numFmt formatCode="General" sourceLinked="1"/>
        <c:majorTickMark val="none"/>
        <c:minorTickMark val="none"/>
        <c:tickLblPos val="nextTo"/>
        <c:spPr>
          <a:noFill/>
          <a:ln w="9525" cap="flat" cmpd="sng" algn="ctr">
            <a:solidFill>
              <a:schemeClr val="accent1">
                <a:alpha val="0"/>
              </a:schemeClr>
            </a:solidFill>
            <a:round/>
          </a:ln>
          <a:effectLst/>
        </c:spPr>
        <c:txPr>
          <a:bodyPr rot="-60000000" spcFirstLastPara="1" vertOverflow="ellipsis" vert="horz" wrap="square" anchor="ctr" anchorCtr="1"/>
          <a:lstStyle/>
          <a:p>
            <a:pPr>
              <a:defRPr sz="900" b="0" i="0" u="none" strike="noStrike" kern="1200" baseline="0">
                <a:ln>
                  <a:noFill/>
                </a:ln>
                <a:solidFill>
                  <a:schemeClr val="tx1">
                    <a:lumMod val="95000"/>
                    <a:lumOff val="5000"/>
                  </a:schemeClr>
                </a:solidFill>
                <a:effectLst>
                  <a:outerShdw blurRad="50800" dist="50800" dir="5400000" sx="110000" sy="110000" algn="ctr" rotWithShape="0">
                    <a:schemeClr val="bg1">
                      <a:alpha val="99000"/>
                    </a:schemeClr>
                  </a:outerShdw>
                </a:effectLst>
                <a:latin typeface="+mn-lt"/>
                <a:ea typeface="+mn-ea"/>
                <a:cs typeface="+mn-cs"/>
              </a:defRPr>
            </a:pPr>
            <a:endParaRPr lang="en-US"/>
          </a:p>
        </c:txPr>
        <c:crossAx val="1789454864"/>
        <c:crosses val="autoZero"/>
        <c:auto val="1"/>
        <c:lblAlgn val="ctr"/>
        <c:lblOffset val="100"/>
        <c:noMultiLvlLbl val="0"/>
      </c:catAx>
      <c:valAx>
        <c:axId val="17894548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ln>
                  <a:noFill/>
                </a:ln>
                <a:solidFill>
                  <a:schemeClr val="tx1">
                    <a:lumMod val="95000"/>
                    <a:lumOff val="5000"/>
                  </a:schemeClr>
                </a:solidFill>
                <a:effectLst>
                  <a:outerShdw blurRad="50800" dist="50800" dir="5400000" sx="110000" sy="110000" algn="ctr" rotWithShape="0">
                    <a:schemeClr val="bg1">
                      <a:alpha val="99000"/>
                    </a:schemeClr>
                  </a:outerShdw>
                </a:effectLst>
                <a:latin typeface="+mn-lt"/>
                <a:ea typeface="+mn-ea"/>
                <a:cs typeface="+mn-cs"/>
              </a:defRPr>
            </a:pPr>
            <a:endParaRPr lang="en-US"/>
          </a:p>
        </c:txPr>
        <c:crossAx val="1789472624"/>
        <c:crosses val="autoZero"/>
        <c:crossBetween val="between"/>
      </c:valAx>
      <c:spPr>
        <a:noFill/>
        <a:ln w="3175" cap="rnd">
          <a:solidFill>
            <a:schemeClr val="tx1"/>
          </a:solidFill>
          <a:prstDash val="sysDot"/>
        </a:ln>
        <a:effectLst/>
      </c:spPr>
    </c:plotArea>
    <c:legend>
      <c:legendPos val="r"/>
      <c:layout>
        <c:manualLayout>
          <c:xMode val="edge"/>
          <c:yMode val="edge"/>
          <c:x val="0.56794154988752521"/>
          <c:y val="6.5494473271824546E-2"/>
          <c:w val="0.16551724137931034"/>
          <c:h val="0.21529430023286714"/>
        </c:manualLayout>
      </c:layout>
      <c:overlay val="0"/>
      <c:spPr>
        <a:noFill/>
        <a:ln>
          <a:noFill/>
        </a:ln>
        <a:effectLst/>
      </c:spPr>
      <c:txPr>
        <a:bodyPr rot="0" spcFirstLastPara="1" vertOverflow="ellipsis" vert="horz" wrap="square" anchor="ctr" anchorCtr="1"/>
        <a:lstStyle/>
        <a:p>
          <a:pPr>
            <a:defRPr sz="900" b="0" i="0" u="none" strike="noStrike" kern="1200" baseline="0">
              <a:ln>
                <a:noFill/>
              </a:ln>
              <a:solidFill>
                <a:schemeClr val="tx1">
                  <a:lumMod val="95000"/>
                  <a:lumOff val="5000"/>
                </a:schemeClr>
              </a:solidFill>
              <a:effectLst>
                <a:outerShdw blurRad="50800" dist="50800" dir="5400000" sx="110000" sy="110000" algn="ctr" rotWithShape="0">
                  <a:schemeClr val="bg1">
                    <a:alpha val="99000"/>
                  </a:schemeClr>
                </a:outerShdw>
              </a:effectLst>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accent1">
          <a:alpha val="95000"/>
        </a:schemeClr>
      </a:solidFill>
      <a:round/>
    </a:ln>
    <a:effectLst>
      <a:outerShdw blurRad="50800" dist="50800" dir="5400000" algn="ctr" rotWithShape="0">
        <a:schemeClr val="tx1"/>
      </a:outerShdw>
    </a:effectLst>
  </c:spPr>
  <c:txPr>
    <a:bodyPr rot="4080000"/>
    <a:lstStyle/>
    <a:p>
      <a:pPr>
        <a:defRPr>
          <a:ln>
            <a:noFill/>
          </a:ln>
          <a:solidFill>
            <a:schemeClr val="tx1">
              <a:lumMod val="95000"/>
              <a:lumOff val="5000"/>
            </a:schemeClr>
          </a:solidFill>
          <a:effectLst>
            <a:outerShdw blurRad="50800" dist="50800" dir="5400000" sx="110000" sy="110000" algn="ctr" rotWithShape="0">
              <a:schemeClr val="bg1">
                <a:alpha val="99000"/>
              </a:schemeClr>
            </a:outerShdw>
          </a:effectLst>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survey cleaned Dataset &amp; Dshboard.xlsx]Sheet3!PivotTable3</c:name>
    <c:fmtId val="1"/>
  </c:pivotSource>
  <c:chart>
    <c:autoTitleDeleted val="0"/>
    <c:pivotFmts>
      <c:pivotFmt>
        <c:idx val="0"/>
        <c:spPr>
          <a:ln w="22225" cap="rnd">
            <a:solidFill>
              <a:schemeClr val="accent1"/>
            </a:solidFill>
            <a:round/>
          </a:ln>
          <a:effectLst/>
        </c:spPr>
        <c:marker>
          <c:symbol val="diamond"/>
          <c:size val="6"/>
          <c:spPr>
            <a:solidFill>
              <a:schemeClr val="accent1"/>
            </a:solidFill>
            <a:ln w="9525">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ln w="22225" cap="rnd">
            <a:solidFill>
              <a:schemeClr val="accent1"/>
            </a:solidFill>
            <a:round/>
          </a:ln>
          <a:effectLst/>
        </c:spPr>
        <c:marker>
          <c:symbol val="square"/>
          <c:size val="6"/>
          <c:spPr>
            <a:solidFill>
              <a:schemeClr val="accent2"/>
            </a:solidFill>
            <a:ln w="9525">
              <a:solidFill>
                <a:schemeClr val="accen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ln w="22225" cap="rnd">
            <a:solidFill>
              <a:schemeClr val="accent2"/>
            </a:solidFill>
            <a:round/>
          </a:ln>
          <a:effectLst/>
        </c:spPr>
        <c:marker>
          <c:symbol val="square"/>
          <c:size val="6"/>
          <c:spPr>
            <a:solidFill>
              <a:schemeClr val="accent2"/>
            </a:solidFill>
            <a:ln w="9525">
              <a:solidFill>
                <a:schemeClr val="accent2"/>
              </a:solidFill>
              <a:round/>
            </a:ln>
            <a:effectLst/>
          </c:spPr>
        </c:marker>
        <c:dLbl>
          <c:idx val="0"/>
          <c:layout>
            <c:manualLayout>
              <c:x val="-0.05"/>
              <c:y val="1.851851851851843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ln w="22225" cap="rnd">
            <a:solidFill>
              <a:schemeClr val="accent1"/>
            </a:solidFill>
            <a:round/>
          </a:ln>
          <a:effectLst/>
        </c:spPr>
        <c:marker>
          <c:symbol val="diamond"/>
          <c:size val="6"/>
          <c:spPr>
            <a:solidFill>
              <a:schemeClr val="accent1"/>
            </a:solidFill>
            <a:ln w="9525">
              <a:solidFill>
                <a:schemeClr val="accent1"/>
              </a:solidFill>
              <a:round/>
            </a:ln>
            <a:effectLst/>
          </c:spPr>
        </c:marker>
        <c:dLbl>
          <c:idx val="0"/>
          <c:layout>
            <c:manualLayout>
              <c:x val="-3.0555555555555555E-2"/>
              <c:y val="-6.481481481481481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dLbl>
          <c:idx val="0"/>
          <c:layout>
            <c:manualLayout>
              <c:x val="-4.4444444444444446E-2"/>
              <c:y val="4.1215861421239732E-3"/>
            </c:manualLayout>
          </c:layout>
          <c:showLegendKey val="0"/>
          <c:showVal val="1"/>
          <c:showCatName val="0"/>
          <c:showSerName val="0"/>
          <c:showPercent val="0"/>
          <c:showBubbleSize val="0"/>
          <c:extLst>
            <c:ext xmlns:c15="http://schemas.microsoft.com/office/drawing/2012/chart" uri="{CE6537A1-D6FC-4f65-9D91-7224C49458BB}"/>
          </c:extLst>
        </c:dLbl>
      </c:pivotFmt>
      <c:pivotFmt>
        <c:idx val="5"/>
        <c:dLbl>
          <c:idx val="0"/>
          <c:layout>
            <c:manualLayout>
              <c:x val="-5.5555555555556572E-3"/>
              <c:y val="-5.7702205989735626E-2"/>
            </c:manualLayout>
          </c:layout>
          <c:showLegendKey val="0"/>
          <c:showVal val="1"/>
          <c:showCatName val="0"/>
          <c:showSerName val="0"/>
          <c:showPercent val="0"/>
          <c:showBubbleSize val="0"/>
          <c:extLst>
            <c:ext xmlns:c15="http://schemas.microsoft.com/office/drawing/2012/chart" uri="{CE6537A1-D6FC-4f65-9D91-7224C49458BB}"/>
          </c:extLst>
        </c:dLbl>
      </c:pivotFmt>
      <c:pivotFmt>
        <c:idx val="6"/>
        <c:dLbl>
          <c:idx val="0"/>
          <c:layout>
            <c:manualLayout>
              <c:x val="-3.3333333333333333E-2"/>
              <c:y val="-5.7702205989735626E-2"/>
            </c:manualLayout>
          </c:layou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9247594050743664E-2"/>
          <c:y val="5.6664843977836117E-2"/>
          <c:w val="0.86292147856517931"/>
          <c:h val="0.83814368952708207"/>
        </c:manualLayout>
      </c:layout>
      <c:lineChart>
        <c:grouping val="standard"/>
        <c:varyColors val="0"/>
        <c:ser>
          <c:idx val="0"/>
          <c:order val="0"/>
          <c:tx>
            <c:strRef>
              <c:f>Sheet3!$B$3:$B$4</c:f>
              <c:strCache>
                <c:ptCount val="1"/>
                <c:pt idx="0">
                  <c:v>No</c:v>
                </c:pt>
              </c:strCache>
            </c:strRef>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dPt>
            <c:idx val="3"/>
            <c:marker>
              <c:symbol val="diamond"/>
              <c:size val="6"/>
              <c:spPr>
                <a:solidFill>
                  <a:schemeClr val="accent1"/>
                </a:solidFill>
                <a:ln w="9525">
                  <a:solidFill>
                    <a:schemeClr val="accent1"/>
                  </a:solidFill>
                  <a:round/>
                </a:ln>
                <a:effectLst/>
              </c:spPr>
            </c:marker>
            <c:bubble3D val="0"/>
            <c:spPr>
              <a:ln w="22225" cap="rnd">
                <a:solidFill>
                  <a:schemeClr val="accent1"/>
                </a:solidFill>
                <a:round/>
              </a:ln>
              <a:effectLst/>
            </c:spPr>
            <c:extLst>
              <c:ext xmlns:c16="http://schemas.microsoft.com/office/drawing/2014/chart" uri="{C3380CC4-5D6E-409C-BE32-E72D297353CC}">
                <c16:uniqueId val="{00000003-6CD1-41A5-9938-05A5C902BCB7}"/>
              </c:ext>
            </c:extLst>
          </c:dPt>
          <c:dLbls>
            <c:dLbl>
              <c:idx val="3"/>
              <c:layout>
                <c:manualLayout>
                  <c:x val="-3.0555555555555555E-2"/>
                  <c:y val="-6.481481481481481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6CD1-41A5-9938-05A5C902BCB7}"/>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Sheet3!$A$5:$A$10</c:f>
              <c:strCache>
                <c:ptCount val="5"/>
                <c:pt idx="0">
                  <c:v>adults</c:v>
                </c:pt>
                <c:pt idx="1">
                  <c:v>mature adult </c:v>
                </c:pt>
                <c:pt idx="2">
                  <c:v>middle age</c:v>
                </c:pt>
                <c:pt idx="3">
                  <c:v>senior citizen</c:v>
                </c:pt>
                <c:pt idx="4">
                  <c:v>young adults</c:v>
                </c:pt>
              </c:strCache>
            </c:strRef>
          </c:cat>
          <c:val>
            <c:numRef>
              <c:f>Sheet3!$B$5:$B$10</c:f>
              <c:numCache>
                <c:formatCode>General</c:formatCode>
                <c:ptCount val="5"/>
                <c:pt idx="0">
                  <c:v>122</c:v>
                </c:pt>
                <c:pt idx="1">
                  <c:v>219</c:v>
                </c:pt>
                <c:pt idx="2">
                  <c:v>121</c:v>
                </c:pt>
                <c:pt idx="3">
                  <c:v>9</c:v>
                </c:pt>
                <c:pt idx="4">
                  <c:v>48</c:v>
                </c:pt>
              </c:numCache>
            </c:numRef>
          </c:val>
          <c:smooth val="0"/>
          <c:extLst>
            <c:ext xmlns:c16="http://schemas.microsoft.com/office/drawing/2014/chart" uri="{C3380CC4-5D6E-409C-BE32-E72D297353CC}">
              <c16:uniqueId val="{00000000-3343-45BE-813A-DD63D770CD98}"/>
            </c:ext>
          </c:extLst>
        </c:ser>
        <c:ser>
          <c:idx val="1"/>
          <c:order val="1"/>
          <c:tx>
            <c:strRef>
              <c:f>Sheet3!$C$3:$C$4</c:f>
              <c:strCache>
                <c:ptCount val="1"/>
                <c:pt idx="0">
                  <c:v>Yes</c:v>
                </c:pt>
              </c:strCache>
            </c:strRef>
          </c:tx>
          <c:spPr>
            <a:ln w="22225" cap="rnd">
              <a:solidFill>
                <a:schemeClr val="accent2"/>
              </a:solidFill>
              <a:round/>
            </a:ln>
            <a:effectLst/>
          </c:spPr>
          <c:marker>
            <c:symbol val="square"/>
            <c:size val="6"/>
            <c:spPr>
              <a:solidFill>
                <a:schemeClr val="accent2"/>
              </a:solidFill>
              <a:ln w="9525">
                <a:solidFill>
                  <a:schemeClr val="accent2"/>
                </a:solidFill>
                <a:round/>
              </a:ln>
              <a:effectLst/>
            </c:spPr>
          </c:marker>
          <c:dPt>
            <c:idx val="3"/>
            <c:marker>
              <c:symbol val="square"/>
              <c:size val="6"/>
              <c:spPr>
                <a:solidFill>
                  <a:schemeClr val="accent2"/>
                </a:solidFill>
                <a:ln w="9525">
                  <a:solidFill>
                    <a:schemeClr val="accent2"/>
                  </a:solidFill>
                  <a:round/>
                </a:ln>
                <a:effectLst/>
              </c:spPr>
            </c:marker>
            <c:bubble3D val="0"/>
            <c:spPr>
              <a:ln w="22225" cap="rnd">
                <a:solidFill>
                  <a:schemeClr val="accent2"/>
                </a:solidFill>
                <a:round/>
              </a:ln>
              <a:effectLst/>
            </c:spPr>
          </c:dPt>
          <c:dLbls>
            <c:dLbl>
              <c:idx val="3"/>
              <c:layout>
                <c:manualLayout>
                  <c:x val="-0.05"/>
                  <c:y val="1.8518518518518434E-2"/>
                </c:manualLayout>
              </c:layout>
              <c:showLegendKey val="0"/>
              <c:showVal val="1"/>
              <c:showCatName val="0"/>
              <c:showSerName val="0"/>
              <c:showPercent val="0"/>
              <c:showBubbleSize val="0"/>
              <c:extLst>
                <c:ext xmlns:c15="http://schemas.microsoft.com/office/drawing/2012/chart" uri="{CE6537A1-D6FC-4f65-9D91-7224C49458BB}"/>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Sheet3!$A$5:$A$10</c:f>
              <c:strCache>
                <c:ptCount val="5"/>
                <c:pt idx="0">
                  <c:v>adults</c:v>
                </c:pt>
                <c:pt idx="1">
                  <c:v>mature adult </c:v>
                </c:pt>
                <c:pt idx="2">
                  <c:v>middle age</c:v>
                </c:pt>
                <c:pt idx="3">
                  <c:v>senior citizen</c:v>
                </c:pt>
                <c:pt idx="4">
                  <c:v>young adults</c:v>
                </c:pt>
              </c:strCache>
            </c:strRef>
          </c:cat>
          <c:val>
            <c:numRef>
              <c:f>Sheet3!$C$5:$C$10</c:f>
              <c:numCache>
                <c:formatCode>General</c:formatCode>
                <c:ptCount val="5"/>
                <c:pt idx="0">
                  <c:v>179</c:v>
                </c:pt>
                <c:pt idx="1">
                  <c:v>208</c:v>
                </c:pt>
                <c:pt idx="2">
                  <c:v>53</c:v>
                </c:pt>
                <c:pt idx="3">
                  <c:v>6</c:v>
                </c:pt>
                <c:pt idx="4">
                  <c:v>35</c:v>
                </c:pt>
              </c:numCache>
            </c:numRef>
          </c:val>
          <c:smooth val="0"/>
          <c:extLst>
            <c:ext xmlns:c16="http://schemas.microsoft.com/office/drawing/2014/chart" uri="{C3380CC4-5D6E-409C-BE32-E72D297353CC}">
              <c16:uniqueId val="{00000004-3992-44CB-AC18-13B0AD87D945}"/>
            </c:ext>
          </c:extLst>
        </c:ser>
        <c:dLbls>
          <c:showLegendKey val="0"/>
          <c:showVal val="0"/>
          <c:showCatName val="0"/>
          <c:showSerName val="0"/>
          <c:showPercent val="0"/>
          <c:showBubbleSize val="0"/>
        </c:dLbls>
        <c:marker val="1"/>
        <c:smooth val="0"/>
        <c:axId val="1789480304"/>
        <c:axId val="1789478384"/>
      </c:lineChart>
      <c:catAx>
        <c:axId val="178948030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1789478384"/>
        <c:crosses val="autoZero"/>
        <c:auto val="1"/>
        <c:lblAlgn val="ctr"/>
        <c:lblOffset val="100"/>
        <c:noMultiLvlLbl val="0"/>
      </c:catAx>
      <c:valAx>
        <c:axId val="1789478384"/>
        <c:scaling>
          <c:orientation val="minMax"/>
        </c:scaling>
        <c:delete val="0"/>
        <c:axPos val="l"/>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94803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survey cleaned Dataset &amp; Dshboard.xlsx]Sheet3!PivotTable3</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1"/>
          <c:showSerName val="1"/>
          <c:showPercent val="1"/>
          <c:showBubbleSize val="0"/>
          <c:separator>
</c:separator>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50000"/>
            </a:schemeClr>
          </a:solidFill>
          <a:ln w="19050">
            <a:solidFill>
              <a:schemeClr val="lt1"/>
            </a:solidFill>
          </a:ln>
          <a:effectLst/>
        </c:spPr>
      </c:pivotFmt>
      <c:pivotFmt>
        <c:idx val="3"/>
        <c:spPr>
          <a:solidFill>
            <a:schemeClr val="accent5">
              <a:lumMod val="50000"/>
            </a:schemeClr>
          </a:solidFill>
          <a:ln w="19050">
            <a:solidFill>
              <a:schemeClr val="lt1"/>
            </a:solidFill>
          </a:ln>
          <a:effectLst/>
        </c:spPr>
      </c:pivotFmt>
      <c:pivotFmt>
        <c:idx val="4"/>
        <c:spPr>
          <a:solidFill>
            <a:srgbClr val="FF0000"/>
          </a:solidFill>
          <a:ln w="19050">
            <a:solidFill>
              <a:schemeClr val="lt1"/>
            </a:solidFill>
          </a:ln>
          <a:effectLst/>
        </c:spPr>
        <c:dLbl>
          <c:idx val="0"/>
          <c:layout>
            <c:manualLayout>
              <c:x val="-2.8395066144853293E-3"/>
              <c:y val="3.739834472243258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1"/>
          <c:showPercent val="1"/>
          <c:showBubbleSize val="0"/>
          <c:separator>
</c:separator>
          <c:extLst>
            <c:ext xmlns:c15="http://schemas.microsoft.com/office/drawing/2012/chart" uri="{CE6537A1-D6FC-4f65-9D91-7224C49458BB}"/>
          </c:extLst>
        </c:dLbl>
      </c:pivotFmt>
      <c:pivotFmt>
        <c:idx val="5"/>
        <c:spPr>
          <a:solidFill>
            <a:schemeClr val="accent6">
              <a:lumMod val="50000"/>
            </a:schemeClr>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601769705728738"/>
          <c:y val="0.17781064265930696"/>
          <c:w val="0.45942322689580672"/>
          <c:h val="0.67232604289194242"/>
        </c:manualLayout>
      </c:layout>
      <c:pieChart>
        <c:varyColors val="1"/>
        <c:ser>
          <c:idx val="0"/>
          <c:order val="0"/>
          <c:tx>
            <c:strRef>
              <c:f>Sheet3!$B$3:$B$4</c:f>
              <c:strCache>
                <c:ptCount val="1"/>
                <c:pt idx="0">
                  <c:v>No</c:v>
                </c:pt>
              </c:strCache>
            </c:strRef>
          </c:tx>
          <c:dPt>
            <c:idx val="0"/>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03-BB0F-4553-96C5-D1A84152DE4D}"/>
              </c:ext>
            </c:extLst>
          </c:dPt>
          <c:dPt>
            <c:idx val="1"/>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04-BB0F-4553-96C5-D1A84152DE4D}"/>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13-F5D1-4019-9DD9-BB8B18C5CF85}"/>
              </c:ext>
            </c:extLst>
          </c:dPt>
          <c:dPt>
            <c:idx val="3"/>
            <c:bubble3D val="0"/>
            <c:spPr>
              <a:solidFill>
                <a:srgbClr val="FF0000"/>
              </a:solidFill>
              <a:ln w="19050">
                <a:solidFill>
                  <a:schemeClr val="lt1"/>
                </a:solidFill>
              </a:ln>
              <a:effectLst/>
            </c:spPr>
            <c:extLst>
              <c:ext xmlns:c16="http://schemas.microsoft.com/office/drawing/2014/chart" uri="{C3380CC4-5D6E-409C-BE32-E72D297353CC}">
                <c16:uniqueId val="{00000005-BB0F-4553-96C5-D1A84152DE4D}"/>
              </c:ext>
            </c:extLst>
          </c:dPt>
          <c:dPt>
            <c:idx val="4"/>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07-BB0F-4553-96C5-D1A84152DE4D}"/>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6-BB0F-4553-96C5-D1A84152DE4D}"/>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1B-F5D1-4019-9DD9-BB8B18C5CF85}"/>
              </c:ext>
            </c:extLst>
          </c:dPt>
          <c:dLbls>
            <c:dLbl>
              <c:idx val="3"/>
              <c:layout>
                <c:manualLayout>
                  <c:x val="-2.8395066144853293E-3"/>
                  <c:y val="3.7398344722432586E-2"/>
                </c:manualLayout>
              </c:layout>
              <c:dLblPos val="bestFit"/>
              <c:showLegendKey val="0"/>
              <c:showVal val="0"/>
              <c:showCatName val="1"/>
              <c:showSerName val="1"/>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5-BB0F-4553-96C5-D1A84152DE4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1"/>
            <c:showSerName val="1"/>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Sheet3!$A$5:$A$10</c:f>
              <c:strCache>
                <c:ptCount val="5"/>
                <c:pt idx="0">
                  <c:v>adults</c:v>
                </c:pt>
                <c:pt idx="1">
                  <c:v>mature adult </c:v>
                </c:pt>
                <c:pt idx="2">
                  <c:v>middle age</c:v>
                </c:pt>
                <c:pt idx="3">
                  <c:v>senior citizen</c:v>
                </c:pt>
                <c:pt idx="4">
                  <c:v>young adults</c:v>
                </c:pt>
              </c:strCache>
            </c:strRef>
          </c:cat>
          <c:val>
            <c:numRef>
              <c:f>Sheet3!$B$5:$B$10</c:f>
              <c:numCache>
                <c:formatCode>General</c:formatCode>
                <c:ptCount val="5"/>
                <c:pt idx="0">
                  <c:v>122</c:v>
                </c:pt>
                <c:pt idx="1">
                  <c:v>219</c:v>
                </c:pt>
                <c:pt idx="2">
                  <c:v>121</c:v>
                </c:pt>
                <c:pt idx="3">
                  <c:v>9</c:v>
                </c:pt>
                <c:pt idx="4">
                  <c:v>48</c:v>
                </c:pt>
              </c:numCache>
            </c:numRef>
          </c:val>
          <c:extLst>
            <c:ext xmlns:c16="http://schemas.microsoft.com/office/drawing/2014/chart" uri="{C3380CC4-5D6E-409C-BE32-E72D297353CC}">
              <c16:uniqueId val="{00000000-BB0F-4553-96C5-D1A84152DE4D}"/>
            </c:ext>
          </c:extLst>
        </c:ser>
        <c:ser>
          <c:idx val="1"/>
          <c:order val="1"/>
          <c:tx>
            <c:strRef>
              <c:f>Sheet3!$C$3:$C$4</c:f>
              <c:strCache>
                <c:ptCount val="1"/>
                <c:pt idx="0">
                  <c:v>Yes</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Pt>
            <c:idx val="3"/>
            <c:bubble3D val="0"/>
            <c:spPr>
              <a:solidFill>
                <a:schemeClr val="accent4"/>
              </a:solidFill>
              <a:ln w="19050">
                <a:solidFill>
                  <a:schemeClr val="lt1"/>
                </a:solidFill>
              </a:ln>
              <a:effectLst/>
            </c:spPr>
          </c:dPt>
          <c:dPt>
            <c:idx val="4"/>
            <c:bubble3D val="0"/>
            <c:spPr>
              <a:solidFill>
                <a:schemeClr val="accent5"/>
              </a:solidFill>
              <a:ln w="19050">
                <a:solidFill>
                  <a:schemeClr val="lt1"/>
                </a:solidFill>
              </a:ln>
              <a:effectLst/>
            </c:spPr>
          </c:dPt>
          <c:cat>
            <c:strRef>
              <c:f>Sheet3!$A$5:$A$10</c:f>
              <c:strCache>
                <c:ptCount val="5"/>
                <c:pt idx="0">
                  <c:v>adults</c:v>
                </c:pt>
                <c:pt idx="1">
                  <c:v>mature adult </c:v>
                </c:pt>
                <c:pt idx="2">
                  <c:v>middle age</c:v>
                </c:pt>
                <c:pt idx="3">
                  <c:v>senior citizen</c:v>
                </c:pt>
                <c:pt idx="4">
                  <c:v>young adults</c:v>
                </c:pt>
              </c:strCache>
            </c:strRef>
          </c:cat>
          <c:val>
            <c:numRef>
              <c:f>Sheet3!$C$5:$C$10</c:f>
              <c:numCache>
                <c:formatCode>General</c:formatCode>
                <c:ptCount val="5"/>
                <c:pt idx="0">
                  <c:v>179</c:v>
                </c:pt>
                <c:pt idx="1">
                  <c:v>208</c:v>
                </c:pt>
                <c:pt idx="2">
                  <c:v>53</c:v>
                </c:pt>
                <c:pt idx="3">
                  <c:v>6</c:v>
                </c:pt>
                <c:pt idx="4">
                  <c:v>35</c:v>
                </c:pt>
              </c:numCache>
            </c:numRef>
          </c:val>
          <c:extLst>
            <c:ext xmlns:c16="http://schemas.microsoft.com/office/drawing/2014/chart" uri="{C3380CC4-5D6E-409C-BE32-E72D297353CC}">
              <c16:uniqueId val="{00000018-3BA0-4AA1-87F8-97A8C65AD51C}"/>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survey cleaned Dataset &amp; Dshboard.xlsx]Sheet3!PivotTable1</c:name>
    <c:fmtId val="7"/>
  </c:pivotSource>
  <c:chart>
    <c:autoTitleDeleted val="0"/>
    <c:pivotFmts>
      <c:pivotFmt>
        <c:idx val="0"/>
        <c:spPr>
          <a:ln w="22225" cap="rnd" cmpd="sng" algn="ctr">
            <a:solidFill>
              <a:schemeClr val="accent6"/>
            </a:solidFill>
            <a:round/>
          </a:ln>
          <a:effectLst/>
        </c:spPr>
        <c:marker>
          <c:symbol val="circle"/>
          <c:size val="4"/>
          <c:spPr>
            <a:solidFill>
              <a:schemeClr val="accent6"/>
            </a:solidFill>
            <a:ln w="9525" cap="flat" cmpd="sng" algn="ctr">
              <a:solidFill>
                <a:schemeClr val="accent6"/>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2225" cap="rnd" cmpd="sng" algn="ctr">
            <a:solidFill>
              <a:schemeClr val="accent6"/>
            </a:solidFill>
            <a:round/>
          </a:ln>
          <a:effectLst/>
        </c:spPr>
        <c:marker>
          <c:symbol val="circle"/>
          <c:size val="4"/>
          <c:spPr>
            <a:solidFill>
              <a:schemeClr val="accent5"/>
            </a:solidFill>
            <a:ln w="9525" cap="flat" cmpd="sng" algn="ctr">
              <a:solidFill>
                <a:schemeClr val="accent5"/>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dLbl>
          <c:idx val="0"/>
          <c:showLegendKey val="0"/>
          <c:showVal val="0"/>
          <c:showCatName val="0"/>
          <c:showSerName val="0"/>
          <c:showPercent val="0"/>
          <c:showBubbleSize val="0"/>
          <c:extLst>
            <c:ext xmlns:c15="http://schemas.microsoft.com/office/drawing/2012/chart" uri="{CE6537A1-D6FC-4f65-9D91-7224C49458BB}"/>
          </c:extLst>
        </c:dLbl>
      </c:pivotFmt>
      <c:pivotFmt>
        <c:idx val="10"/>
        <c:dLbl>
          <c:idx val="0"/>
          <c:showLegendKey val="0"/>
          <c:showVal val="0"/>
          <c:showCatName val="0"/>
          <c:showSerName val="0"/>
          <c:showPercent val="0"/>
          <c:showBubbleSize val="0"/>
          <c:extLst>
            <c:ext xmlns:c15="http://schemas.microsoft.com/office/drawing/2012/chart" uri="{CE6537A1-D6FC-4f65-9D91-7224C49458BB}"/>
          </c:extLst>
        </c:dLbl>
      </c:pivotFmt>
      <c:pivotFmt>
        <c:idx val="11"/>
        <c:dLbl>
          <c:idx val="0"/>
          <c:showLegendKey val="0"/>
          <c:showVal val="0"/>
          <c:showCatName val="0"/>
          <c:showSerName val="0"/>
          <c:showPercent val="0"/>
          <c:showBubbleSize val="0"/>
          <c:extLst>
            <c:ext xmlns:c15="http://schemas.microsoft.com/office/drawing/2012/chart" uri="{CE6537A1-D6FC-4f65-9D91-7224C49458BB}"/>
          </c:extLst>
        </c:dLbl>
      </c:pivotFmt>
      <c:pivotFmt>
        <c:idx val="12"/>
        <c:dLbl>
          <c:idx val="0"/>
          <c:showLegendKey val="0"/>
          <c:showVal val="0"/>
          <c:showCatName val="0"/>
          <c:showSerName val="0"/>
          <c:showPercent val="0"/>
          <c:showBubbleSize val="0"/>
          <c:extLst>
            <c:ext xmlns:c15="http://schemas.microsoft.com/office/drawing/2012/chart" uri="{CE6537A1-D6FC-4f65-9D91-7224C49458BB}"/>
          </c:extLst>
        </c:dLbl>
      </c:pivotFmt>
      <c:pivotFmt>
        <c:idx val="13"/>
        <c:dLbl>
          <c:idx val="0"/>
          <c:showLegendKey val="0"/>
          <c:showVal val="0"/>
          <c:showCatName val="0"/>
          <c:showSerName val="0"/>
          <c:showPercent val="0"/>
          <c:showBubbleSize val="0"/>
          <c:extLst>
            <c:ext xmlns:c15="http://schemas.microsoft.com/office/drawing/2012/chart" uri="{CE6537A1-D6FC-4f65-9D91-7224C49458BB}"/>
          </c:extLst>
        </c:dLbl>
      </c:pivotFmt>
      <c:pivotFmt>
        <c:idx val="14"/>
        <c:dLbl>
          <c:idx val="0"/>
          <c:showLegendKey val="0"/>
          <c:showVal val="0"/>
          <c:showCatName val="0"/>
          <c:showSerName val="0"/>
          <c:showPercent val="0"/>
          <c:showBubbleSize val="0"/>
          <c:extLst>
            <c:ext xmlns:c15="http://schemas.microsoft.com/office/drawing/2012/chart" uri="{CE6537A1-D6FC-4f65-9D91-7224C49458BB}"/>
          </c:extLst>
        </c:dLbl>
      </c:pivotFmt>
      <c:pivotFmt>
        <c:idx val="15"/>
        <c:dLbl>
          <c:idx val="0"/>
          <c:showLegendKey val="0"/>
          <c:showVal val="0"/>
          <c:showCatName val="0"/>
          <c:showSerName val="0"/>
          <c:showPercent val="0"/>
          <c:showBubbleSize val="0"/>
          <c:extLst>
            <c:ext xmlns:c15="http://schemas.microsoft.com/office/drawing/2012/chart" uri="{CE6537A1-D6FC-4f65-9D91-7224C49458BB}"/>
          </c:extLst>
        </c:dLbl>
      </c:pivotFmt>
      <c:pivotFmt>
        <c:idx val="16"/>
        <c:dLbl>
          <c:idx val="0"/>
          <c:showLegendKey val="0"/>
          <c:showVal val="0"/>
          <c:showCatName val="0"/>
          <c:showSerName val="0"/>
          <c:showPercent val="0"/>
          <c:showBubbleSize val="0"/>
          <c:extLst>
            <c:ext xmlns:c15="http://schemas.microsoft.com/office/drawing/2012/chart" uri="{CE6537A1-D6FC-4f65-9D91-7224C49458BB}"/>
          </c:extLst>
        </c:dLbl>
      </c:pivotFmt>
      <c:pivotFmt>
        <c:idx val="17"/>
        <c:dLbl>
          <c:idx val="0"/>
          <c:showLegendKey val="0"/>
          <c:showVal val="0"/>
          <c:showCatName val="0"/>
          <c:showSerName val="0"/>
          <c:showPercent val="0"/>
          <c:showBubbleSize val="0"/>
          <c:extLst>
            <c:ext xmlns:c15="http://schemas.microsoft.com/office/drawing/2012/chart" uri="{CE6537A1-D6FC-4f65-9D91-7224C49458BB}"/>
          </c:extLst>
        </c:dLbl>
      </c:pivotFmt>
      <c:pivotFmt>
        <c:idx val="18"/>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22225" cap="rnd" cmpd="sng" algn="ctr">
            <a:solidFill>
              <a:schemeClr val="accent6"/>
            </a:solidFill>
            <a:round/>
          </a:ln>
          <a:effectLst/>
        </c:spPr>
        <c:marker>
          <c:spPr>
            <a:solidFill>
              <a:schemeClr val="accent6"/>
            </a:solidFill>
            <a:ln w="9525" cap="flat" cmpd="sng" algn="ctr">
              <a:solidFill>
                <a:schemeClr val="accent6"/>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Sheet3!$B$40:$B$42</c:f>
              <c:strCache>
                <c:ptCount val="1"/>
                <c:pt idx="0">
                  <c:v>No</c:v>
                </c:pt>
              </c:strCache>
            </c:strRef>
          </c:tx>
          <c:spPr>
            <a:ln w="22225" cap="rnd" cmpd="sng" algn="ctr">
              <a:solidFill>
                <a:schemeClr val="accent6"/>
              </a:solidFill>
              <a:round/>
            </a:ln>
            <a:effectLst/>
          </c:spPr>
          <c:marker>
            <c:symbol val="circle"/>
            <c:size val="4"/>
            <c:spPr>
              <a:solidFill>
                <a:schemeClr val="accent6"/>
              </a:solidFill>
              <a:ln w="9525" cap="flat" cmpd="sng" algn="ctr">
                <a:solidFill>
                  <a:schemeClr val="accent6"/>
                </a:solidFill>
                <a:round/>
              </a:ln>
              <a:effectLst/>
            </c:spPr>
          </c:marker>
          <c:cat>
            <c:strRef>
              <c:f>Sheet3!$A$43:$A$48</c:f>
              <c:strCache>
                <c:ptCount val="5"/>
                <c:pt idx="0">
                  <c:v>0-1 Miles</c:v>
                </c:pt>
                <c:pt idx="1">
                  <c:v>1-2 Miles</c:v>
                </c:pt>
                <c:pt idx="2">
                  <c:v>2-5 Miles</c:v>
                </c:pt>
                <c:pt idx="3">
                  <c:v>5-10 Miles</c:v>
                </c:pt>
                <c:pt idx="4">
                  <c:v>more than 10 Miles</c:v>
                </c:pt>
              </c:strCache>
            </c:strRef>
          </c:cat>
          <c:val>
            <c:numRef>
              <c:f>Sheet3!$B$43:$B$48</c:f>
              <c:numCache>
                <c:formatCode>General</c:formatCode>
                <c:ptCount val="5"/>
                <c:pt idx="0">
                  <c:v>166</c:v>
                </c:pt>
                <c:pt idx="1">
                  <c:v>92</c:v>
                </c:pt>
                <c:pt idx="2">
                  <c:v>67</c:v>
                </c:pt>
                <c:pt idx="3">
                  <c:v>116</c:v>
                </c:pt>
                <c:pt idx="4">
                  <c:v>78</c:v>
                </c:pt>
              </c:numCache>
            </c:numRef>
          </c:val>
          <c:smooth val="0"/>
          <c:extLst>
            <c:ext xmlns:c16="http://schemas.microsoft.com/office/drawing/2014/chart" uri="{C3380CC4-5D6E-409C-BE32-E72D297353CC}">
              <c16:uniqueId val="{00000000-4C80-4492-ADEC-634D8B3A184D}"/>
            </c:ext>
          </c:extLst>
        </c:ser>
        <c:ser>
          <c:idx val="1"/>
          <c:order val="1"/>
          <c:tx>
            <c:strRef>
              <c:f>Sheet3!$C$40:$C$42</c:f>
              <c:strCache>
                <c:ptCount val="1"/>
                <c:pt idx="0">
                  <c:v>Yes</c:v>
                </c:pt>
              </c:strCache>
            </c:strRef>
          </c:tx>
          <c:spPr>
            <a:ln w="22225" cap="rnd" cmpd="sng" algn="ctr">
              <a:solidFill>
                <a:schemeClr val="accent5"/>
              </a:solidFill>
              <a:round/>
            </a:ln>
            <a:effectLst/>
          </c:spPr>
          <c:marker>
            <c:symbol val="circle"/>
            <c:size val="4"/>
            <c:spPr>
              <a:solidFill>
                <a:schemeClr val="accent5"/>
              </a:solidFill>
              <a:ln w="9525" cap="flat" cmpd="sng" algn="ctr">
                <a:solidFill>
                  <a:schemeClr val="accent5"/>
                </a:solidFill>
                <a:round/>
              </a:ln>
              <a:effectLst/>
            </c:spPr>
          </c:marker>
          <c:cat>
            <c:strRef>
              <c:f>Sheet3!$A$43:$A$48</c:f>
              <c:strCache>
                <c:ptCount val="5"/>
                <c:pt idx="0">
                  <c:v>0-1 Miles</c:v>
                </c:pt>
                <c:pt idx="1">
                  <c:v>1-2 Miles</c:v>
                </c:pt>
                <c:pt idx="2">
                  <c:v>2-5 Miles</c:v>
                </c:pt>
                <c:pt idx="3">
                  <c:v>5-10 Miles</c:v>
                </c:pt>
                <c:pt idx="4">
                  <c:v>more than 10 Miles</c:v>
                </c:pt>
              </c:strCache>
            </c:strRef>
          </c:cat>
          <c:val>
            <c:numRef>
              <c:f>Sheet3!$C$43:$C$48</c:f>
              <c:numCache>
                <c:formatCode>General</c:formatCode>
                <c:ptCount val="5"/>
                <c:pt idx="0">
                  <c:v>200</c:v>
                </c:pt>
                <c:pt idx="1">
                  <c:v>77</c:v>
                </c:pt>
                <c:pt idx="2">
                  <c:v>95</c:v>
                </c:pt>
                <c:pt idx="3">
                  <c:v>76</c:v>
                </c:pt>
                <c:pt idx="4">
                  <c:v>33</c:v>
                </c:pt>
              </c:numCache>
            </c:numRef>
          </c:val>
          <c:smooth val="0"/>
          <c:extLst>
            <c:ext xmlns:c16="http://schemas.microsoft.com/office/drawing/2014/chart" uri="{C3380CC4-5D6E-409C-BE32-E72D297353CC}">
              <c16:uniqueId val="{00000000-57B1-4417-ACAD-7C98F541DEFB}"/>
            </c:ext>
          </c:extLst>
        </c:ser>
        <c:dLbls>
          <c:showLegendKey val="0"/>
          <c:showVal val="0"/>
          <c:showCatName val="0"/>
          <c:showSerName val="0"/>
          <c:showPercent val="0"/>
          <c:showBubbleSize val="0"/>
        </c:dLbls>
        <c:dropLines>
          <c:spPr>
            <a:ln w="9525" cap="flat" cmpd="sng" algn="ctr">
              <a:solidFill>
                <a:schemeClr val="dk1">
                  <a:lumMod val="35000"/>
                  <a:lumOff val="65000"/>
                  <a:alpha val="33000"/>
                </a:schemeClr>
              </a:solidFill>
              <a:round/>
            </a:ln>
            <a:effectLst/>
          </c:spPr>
        </c:dropLines>
        <c:marker val="1"/>
        <c:smooth val="0"/>
        <c:axId val="1421743775"/>
        <c:axId val="1421719775"/>
      </c:lineChart>
      <c:catAx>
        <c:axId val="1421743775"/>
        <c:scaling>
          <c:orientation val="minMax"/>
        </c:scaling>
        <c:delete val="0"/>
        <c:axPos val="b"/>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spc="20" baseline="0">
                <a:solidFill>
                  <a:schemeClr val="dk1">
                    <a:lumMod val="65000"/>
                    <a:lumOff val="35000"/>
                  </a:schemeClr>
                </a:solidFill>
                <a:latin typeface="+mn-lt"/>
                <a:ea typeface="+mn-ea"/>
                <a:cs typeface="+mn-cs"/>
              </a:defRPr>
            </a:pPr>
            <a:endParaRPr lang="en-US"/>
          </a:p>
        </c:txPr>
        <c:crossAx val="1421719775"/>
        <c:crosses val="autoZero"/>
        <c:auto val="1"/>
        <c:lblAlgn val="ctr"/>
        <c:lblOffset val="100"/>
        <c:noMultiLvlLbl val="0"/>
      </c:catAx>
      <c:valAx>
        <c:axId val="1421719775"/>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dk1">
                    <a:lumMod val="65000"/>
                    <a:lumOff val="35000"/>
                  </a:schemeClr>
                </a:solidFill>
                <a:latin typeface="+mn-lt"/>
                <a:ea typeface="+mn-ea"/>
                <a:cs typeface="+mn-cs"/>
              </a:defRPr>
            </a:pPr>
            <a:endParaRPr lang="en-US"/>
          </a:p>
        </c:txPr>
        <c:crossAx val="1421743775"/>
        <c:crosses val="autoZero"/>
        <c:crossBetween val="between"/>
      </c:valAx>
      <c:spPr>
        <a:gradFill>
          <a:gsLst>
            <a:gs pos="100000">
              <a:schemeClr val="lt1">
                <a:lumMod val="95000"/>
              </a:schemeClr>
            </a:gs>
            <a:gs pos="0">
              <a:schemeClr val="lt1"/>
            </a:gs>
          </a:gsLst>
          <a:lin ang="5400000" scaled="0"/>
        </a:grad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survey cleaned Dataset &amp; Dshboard.xlsx]Sheet3!PivotTable2</c:name>
    <c:fmtId val="0"/>
  </c:pivotSource>
  <c:chart>
    <c:autoTitleDeleted val="0"/>
    <c:pivotFmts>
      <c:pivotFmt>
        <c:idx val="0"/>
        <c:spPr>
          <a:pattFill prst="ltDnDiag">
            <a:fgClr>
              <a:schemeClr val="accent6"/>
            </a:fgClr>
            <a:bgClr>
              <a:schemeClr val="accent6">
                <a:lumMod val="20000"/>
                <a:lumOff val="80000"/>
              </a:schemeClr>
            </a:bgClr>
          </a:pattFill>
          <a:ln>
            <a:solidFill>
              <a:schemeClr val="accent6"/>
            </a:solidFill>
          </a:ln>
          <a:effectLst/>
          <a:sp3d>
            <a:contourClr>
              <a:schemeClr val="accent6"/>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pattFill prst="ltDnDiag">
            <a:fgClr>
              <a:schemeClr val="accent6"/>
            </a:fgClr>
            <a:bgClr>
              <a:schemeClr val="accent6">
                <a:lumMod val="20000"/>
                <a:lumOff val="80000"/>
              </a:schemeClr>
            </a:bgClr>
          </a:pattFill>
          <a:ln>
            <a:solidFill>
              <a:schemeClr val="accent6"/>
            </a:solidFill>
          </a:ln>
          <a:effectLst/>
          <a:sp3d>
            <a:contourClr>
              <a:schemeClr val="accent6"/>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pattFill prst="ltDnDiag">
            <a:fgClr>
              <a:schemeClr val="accent6"/>
            </a:fgClr>
            <a:bgClr>
              <a:schemeClr val="accent6">
                <a:lumMod val="20000"/>
                <a:lumOff val="80000"/>
              </a:schemeClr>
            </a:bgClr>
          </a:pattFill>
          <a:ln>
            <a:solidFill>
              <a:schemeClr val="accent6"/>
            </a:solidFill>
          </a:ln>
          <a:effectLst/>
          <a:sp3d>
            <a:contourClr>
              <a:schemeClr val="accent6"/>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pattFill prst="ltDnDiag">
            <a:fgClr>
              <a:schemeClr val="accent6"/>
            </a:fgClr>
            <a:bgClr>
              <a:schemeClr val="accent6">
                <a:lumMod val="20000"/>
                <a:lumOff val="80000"/>
              </a:schemeClr>
            </a:bgClr>
          </a:pattFill>
          <a:ln>
            <a:solidFill>
              <a:schemeClr val="accent6"/>
            </a:solidFill>
          </a:ln>
          <a:effectLst/>
          <a:sp3d>
            <a:contourClr>
              <a:schemeClr val="accent6"/>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pattFill prst="ltDnDiag">
            <a:fgClr>
              <a:schemeClr val="accent6"/>
            </a:fgClr>
            <a:bgClr>
              <a:schemeClr val="accent6">
                <a:lumMod val="20000"/>
                <a:lumOff val="80000"/>
              </a:schemeClr>
            </a:bgClr>
          </a:pattFill>
          <a:ln>
            <a:solidFill>
              <a:schemeClr val="accent6"/>
            </a:solidFill>
          </a:ln>
          <a:effectLst/>
          <a:sp3d>
            <a:contourClr>
              <a:schemeClr val="accent6"/>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pattFill prst="ltDnDiag">
            <a:fgClr>
              <a:schemeClr val="accent6"/>
            </a:fgClr>
            <a:bgClr>
              <a:schemeClr val="accent6">
                <a:lumMod val="20000"/>
                <a:lumOff val="80000"/>
              </a:schemeClr>
            </a:bgClr>
          </a:pattFill>
          <a:ln>
            <a:solidFill>
              <a:schemeClr val="accent6"/>
            </a:solidFill>
          </a:ln>
          <a:effectLst/>
          <a:sp3d>
            <a:contourClr>
              <a:schemeClr val="accent6"/>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pattFill prst="ltDnDiag">
            <a:fgClr>
              <a:schemeClr val="accent6"/>
            </a:fgClr>
            <a:bgClr>
              <a:schemeClr val="accent6">
                <a:lumMod val="20000"/>
                <a:lumOff val="80000"/>
              </a:schemeClr>
            </a:bgClr>
          </a:pattFill>
          <a:ln>
            <a:solidFill>
              <a:schemeClr val="accent6"/>
            </a:solidFill>
          </a:ln>
          <a:effectLst/>
          <a:sp3d>
            <a:contourClr>
              <a:schemeClr val="accent6"/>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pattFill prst="ltDnDiag">
            <a:fgClr>
              <a:schemeClr val="accent6"/>
            </a:fgClr>
            <a:bgClr>
              <a:schemeClr val="accent6">
                <a:lumMod val="20000"/>
                <a:lumOff val="80000"/>
              </a:schemeClr>
            </a:bgClr>
          </a:pattFill>
          <a:ln>
            <a:solidFill>
              <a:schemeClr val="accent6"/>
            </a:solidFill>
          </a:ln>
          <a:effectLst/>
          <a:sp3d>
            <a:contourClr>
              <a:schemeClr val="accent6"/>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pattFill prst="ltDnDiag">
            <a:fgClr>
              <a:schemeClr val="accent6"/>
            </a:fgClr>
            <a:bgClr>
              <a:schemeClr val="accent6">
                <a:lumMod val="20000"/>
                <a:lumOff val="80000"/>
              </a:schemeClr>
            </a:bgClr>
          </a:pattFill>
          <a:ln>
            <a:solidFill>
              <a:schemeClr val="accent6"/>
            </a:solidFill>
          </a:ln>
          <a:effectLst/>
          <a:sp3d>
            <a:contourClr>
              <a:schemeClr val="accent6"/>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pattFill prst="ltDnDiag">
            <a:fgClr>
              <a:schemeClr val="accent6"/>
            </a:fgClr>
            <a:bgClr>
              <a:schemeClr val="accent6">
                <a:lumMod val="20000"/>
                <a:lumOff val="80000"/>
              </a:schemeClr>
            </a:bgClr>
          </a:pattFill>
          <a:ln>
            <a:solidFill>
              <a:schemeClr val="accent6"/>
            </a:solidFill>
          </a:ln>
          <a:effectLst/>
          <a:sp3d>
            <a:contourClr>
              <a:schemeClr val="accent6"/>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pattFill prst="ltDnDiag">
            <a:fgClr>
              <a:schemeClr val="accent6"/>
            </a:fgClr>
            <a:bgClr>
              <a:schemeClr val="accent6">
                <a:lumMod val="20000"/>
                <a:lumOff val="80000"/>
              </a:schemeClr>
            </a:bgClr>
          </a:pattFill>
          <a:ln>
            <a:solidFill>
              <a:schemeClr val="accent6"/>
            </a:solidFill>
          </a:ln>
          <a:effectLst/>
          <a:sp3d>
            <a:contourClr>
              <a:schemeClr val="accent6"/>
            </a:contourClr>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
        <c:spPr>
          <a:pattFill prst="ltDnDiag">
            <a:fgClr>
              <a:schemeClr val="accent6"/>
            </a:fgClr>
            <a:bgClr>
              <a:schemeClr val="accent6">
                <a:lumMod val="20000"/>
                <a:lumOff val="80000"/>
              </a:schemeClr>
            </a:bgClr>
          </a:pattFill>
          <a:ln>
            <a:solidFill>
              <a:schemeClr val="accent6"/>
            </a:solidFill>
          </a:ln>
          <a:effectLst/>
          <a:sp3d>
            <a:contourClr>
              <a:schemeClr val="accent6"/>
            </a:contourClr>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s>
    <c:view3D>
      <c:rotX val="10"/>
      <c:rotY val="0"/>
      <c:depthPercent val="100"/>
      <c:rAngAx val="0"/>
    </c:view3D>
    <c:floor>
      <c:thickness val="0"/>
      <c:spPr>
        <a:solidFill>
          <a:schemeClr val="lt1"/>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Sheet3!$B$52:$B$53</c:f>
              <c:strCache>
                <c:ptCount val="1"/>
                <c:pt idx="0">
                  <c:v>Europe</c:v>
                </c:pt>
              </c:strCache>
            </c:strRef>
          </c:tx>
          <c:spPr>
            <a:pattFill prst="ltDnDiag">
              <a:fgClr>
                <a:schemeClr val="accent6"/>
              </a:fgClr>
              <a:bgClr>
                <a:schemeClr val="accent6">
                  <a:lumMod val="20000"/>
                  <a:lumOff val="80000"/>
                </a:schemeClr>
              </a:bgClr>
            </a:pattFill>
            <a:ln>
              <a:solidFill>
                <a:schemeClr val="accent6"/>
              </a:solidFill>
            </a:ln>
            <a:effectLst/>
            <a:sp3d>
              <a:contourClr>
                <a:schemeClr val="accent6"/>
              </a:contourClr>
            </a:sp3d>
          </c:spPr>
          <c:invertIfNegative val="0"/>
          <c:cat>
            <c:strRef>
              <c:f>Sheet3!$A$54:$A$56</c:f>
              <c:strCache>
                <c:ptCount val="2"/>
                <c:pt idx="0">
                  <c:v>Married</c:v>
                </c:pt>
                <c:pt idx="1">
                  <c:v>Single</c:v>
                </c:pt>
              </c:strCache>
            </c:strRef>
          </c:cat>
          <c:val>
            <c:numRef>
              <c:f>Sheet3!$B$54:$B$56</c:f>
              <c:numCache>
                <c:formatCode>General</c:formatCode>
                <c:ptCount val="2"/>
                <c:pt idx="0">
                  <c:v>146</c:v>
                </c:pt>
                <c:pt idx="1">
                  <c:v>154</c:v>
                </c:pt>
              </c:numCache>
            </c:numRef>
          </c:val>
          <c:extLst>
            <c:ext xmlns:c16="http://schemas.microsoft.com/office/drawing/2014/chart" uri="{C3380CC4-5D6E-409C-BE32-E72D297353CC}">
              <c16:uniqueId val="{00000000-D9A2-4418-A2DE-70DC826B9DD6}"/>
            </c:ext>
          </c:extLst>
        </c:ser>
        <c:ser>
          <c:idx val="1"/>
          <c:order val="1"/>
          <c:tx>
            <c:strRef>
              <c:f>Sheet3!$C$52:$C$53</c:f>
              <c:strCache>
                <c:ptCount val="1"/>
                <c:pt idx="0">
                  <c:v>North America</c:v>
                </c:pt>
              </c:strCache>
            </c:strRef>
          </c:tx>
          <c:spPr>
            <a:pattFill prst="ltDnDiag">
              <a:fgClr>
                <a:schemeClr val="accent6"/>
              </a:fgClr>
              <a:bgClr>
                <a:schemeClr val="accent6">
                  <a:lumMod val="20000"/>
                  <a:lumOff val="80000"/>
                </a:schemeClr>
              </a:bgClr>
            </a:pattFill>
            <a:ln>
              <a:solidFill>
                <a:schemeClr val="accent6"/>
              </a:solidFill>
            </a:ln>
            <a:effectLst/>
            <a:sp3d>
              <a:contourClr>
                <a:schemeClr val="accent6"/>
              </a:contourClr>
            </a:sp3d>
          </c:spPr>
          <c:invertIfNegative val="0"/>
          <c:cat>
            <c:strRef>
              <c:f>Sheet3!$A$54:$A$56</c:f>
              <c:strCache>
                <c:ptCount val="2"/>
                <c:pt idx="0">
                  <c:v>Married</c:v>
                </c:pt>
                <c:pt idx="1">
                  <c:v>Single</c:v>
                </c:pt>
              </c:strCache>
            </c:strRef>
          </c:cat>
          <c:val>
            <c:numRef>
              <c:f>Sheet3!$C$54:$C$56</c:f>
              <c:numCache>
                <c:formatCode>General</c:formatCode>
                <c:ptCount val="2"/>
                <c:pt idx="0">
                  <c:v>297</c:v>
                </c:pt>
                <c:pt idx="1">
                  <c:v>211</c:v>
                </c:pt>
              </c:numCache>
            </c:numRef>
          </c:val>
          <c:extLst>
            <c:ext xmlns:c16="http://schemas.microsoft.com/office/drawing/2014/chart" uri="{C3380CC4-5D6E-409C-BE32-E72D297353CC}">
              <c16:uniqueId val="{00000002-1FF7-425F-B52D-10C1904F4912}"/>
            </c:ext>
          </c:extLst>
        </c:ser>
        <c:ser>
          <c:idx val="2"/>
          <c:order val="2"/>
          <c:tx>
            <c:strRef>
              <c:f>Sheet3!$D$52:$D$53</c:f>
              <c:strCache>
                <c:ptCount val="1"/>
                <c:pt idx="0">
                  <c:v>Pacific</c:v>
                </c:pt>
              </c:strCache>
            </c:strRef>
          </c:tx>
          <c:spPr>
            <a:pattFill prst="ltDnDiag">
              <a:fgClr>
                <a:schemeClr val="accent4"/>
              </a:fgClr>
              <a:bgClr>
                <a:schemeClr val="accent4">
                  <a:lumMod val="20000"/>
                  <a:lumOff val="80000"/>
                </a:schemeClr>
              </a:bgClr>
            </a:pattFill>
            <a:ln>
              <a:solidFill>
                <a:schemeClr val="accent4"/>
              </a:solidFill>
            </a:ln>
            <a:effectLst/>
            <a:sp3d>
              <a:contourClr>
                <a:schemeClr val="accent4"/>
              </a:contourClr>
            </a:sp3d>
          </c:spPr>
          <c:invertIfNegative val="0"/>
          <c:cat>
            <c:strRef>
              <c:f>Sheet3!$A$54:$A$56</c:f>
              <c:strCache>
                <c:ptCount val="2"/>
                <c:pt idx="0">
                  <c:v>Married</c:v>
                </c:pt>
                <c:pt idx="1">
                  <c:v>Single</c:v>
                </c:pt>
              </c:strCache>
            </c:strRef>
          </c:cat>
          <c:val>
            <c:numRef>
              <c:f>Sheet3!$D$54:$D$56</c:f>
              <c:numCache>
                <c:formatCode>General</c:formatCode>
                <c:ptCount val="2"/>
                <c:pt idx="0">
                  <c:v>95</c:v>
                </c:pt>
                <c:pt idx="1">
                  <c:v>97</c:v>
                </c:pt>
              </c:numCache>
            </c:numRef>
          </c:val>
          <c:extLst>
            <c:ext xmlns:c16="http://schemas.microsoft.com/office/drawing/2014/chart" uri="{C3380CC4-5D6E-409C-BE32-E72D297353CC}">
              <c16:uniqueId val="{00000005-1FF7-425F-B52D-10C1904F4912}"/>
            </c:ext>
          </c:extLst>
        </c:ser>
        <c:dLbls>
          <c:showLegendKey val="0"/>
          <c:showVal val="0"/>
          <c:showCatName val="0"/>
          <c:showSerName val="0"/>
          <c:showPercent val="0"/>
          <c:showBubbleSize val="0"/>
        </c:dLbls>
        <c:gapWidth val="160"/>
        <c:gapDepth val="0"/>
        <c:shape val="box"/>
        <c:axId val="320835007"/>
        <c:axId val="320847487"/>
        <c:axId val="0"/>
      </c:bar3DChart>
      <c:catAx>
        <c:axId val="320835007"/>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0847487"/>
        <c:crosses val="autoZero"/>
        <c:auto val="1"/>
        <c:lblAlgn val="ctr"/>
        <c:lblOffset val="100"/>
        <c:noMultiLvlLbl val="0"/>
      </c:catAx>
      <c:valAx>
        <c:axId val="32084748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083500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[Bike sales survey cleaned Dataset &amp; Dshboard.xlsx]Sheet3!PivotTable3</c:name>
    <c:fmtId val="5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1"/>
          <c:showSerName val="1"/>
          <c:showPercent val="1"/>
          <c:showBubbleSize val="0"/>
          <c:separator>
</c:separator>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50000"/>
            </a:schemeClr>
          </a:solidFill>
          <a:ln w="19050">
            <a:solidFill>
              <a:schemeClr val="lt1"/>
            </a:solidFill>
          </a:ln>
          <a:effectLst/>
        </c:spPr>
      </c:pivotFmt>
      <c:pivotFmt>
        <c:idx val="3"/>
        <c:spPr>
          <a:solidFill>
            <a:schemeClr val="accent5">
              <a:lumMod val="50000"/>
            </a:schemeClr>
          </a:solidFill>
          <a:ln w="19050">
            <a:solidFill>
              <a:schemeClr val="lt1"/>
            </a:solidFill>
          </a:ln>
          <a:effectLst/>
        </c:spPr>
      </c:pivotFmt>
      <c:pivotFmt>
        <c:idx val="4"/>
        <c:spPr>
          <a:solidFill>
            <a:srgbClr val="FF0000"/>
          </a:solidFill>
          <a:ln w="19050">
            <a:solidFill>
              <a:schemeClr val="lt1"/>
            </a:solidFill>
          </a:ln>
          <a:effectLst/>
        </c:spPr>
        <c:dLbl>
          <c:idx val="0"/>
          <c:layout>
            <c:manualLayout>
              <c:x val="-2.8395066144853293E-3"/>
              <c:y val="3.739834472243258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1"/>
          <c:showPercent val="1"/>
          <c:showBubbleSize val="0"/>
          <c:separator>
</c:separator>
          <c:extLst>
            <c:ext xmlns:c15="http://schemas.microsoft.com/office/drawing/2012/chart" uri="{CE6537A1-D6FC-4f65-9D91-7224C49458BB}"/>
          </c:extLst>
        </c:dLbl>
      </c:pivotFmt>
      <c:pivotFmt>
        <c:idx val="5"/>
        <c:spPr>
          <a:solidFill>
            <a:schemeClr val="accent1"/>
          </a:solidFill>
          <a:ln w="19050">
            <a:solidFill>
              <a:schemeClr val="lt1"/>
            </a:solidFill>
          </a:ln>
          <a:effectLst/>
        </c:spPr>
        <c:dLbl>
          <c:idx val="0"/>
          <c:layout>
            <c:manualLayout>
              <c:x val="6.5308652133162601E-2"/>
              <c:y val="-8.3107432716517035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1"/>
          <c:showPercent val="1"/>
          <c:showBubbleSize val="0"/>
          <c:separator>
</c:separator>
          <c:extLst>
            <c:ext xmlns:c15="http://schemas.microsoft.com/office/drawing/2012/chart" uri="{CE6537A1-D6FC-4f65-9D91-7224C49458BB}"/>
          </c:extLst>
        </c:dLbl>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1"/>
          <c:showSerName val="1"/>
          <c:showPercent val="1"/>
          <c:showBubbleSize val="0"/>
          <c:separator>
</c:separator>
          <c:extLst>
            <c:ext xmlns:c15="http://schemas.microsoft.com/office/drawing/2012/chart" uri="{CE6537A1-D6FC-4f65-9D91-7224C49458BB}"/>
          </c:extLst>
        </c:dLbl>
      </c:pivotFmt>
      <c:pivotFmt>
        <c:idx val="22"/>
        <c:spPr>
          <a:solidFill>
            <a:schemeClr val="accent6">
              <a:lumMod val="50000"/>
            </a:schemeClr>
          </a:solidFill>
          <a:ln w="19050">
            <a:solidFill>
              <a:schemeClr val="lt1"/>
            </a:solidFill>
          </a:ln>
          <a:effectLst/>
        </c:spPr>
      </c:pivotFmt>
      <c:pivotFmt>
        <c:idx val="23"/>
        <c:spPr>
          <a:solidFill>
            <a:schemeClr val="accent5">
              <a:lumMod val="50000"/>
            </a:schemeClr>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rgbClr val="FF0000"/>
          </a:solidFill>
          <a:ln w="19050">
            <a:solidFill>
              <a:schemeClr val="lt1"/>
            </a:solidFill>
          </a:ln>
          <a:effectLst/>
        </c:spPr>
        <c:dLbl>
          <c:idx val="0"/>
          <c:layout>
            <c:manualLayout>
              <c:x val="-2.8395066144853293E-3"/>
              <c:y val="3.739834472243258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1"/>
          <c:showPercent val="1"/>
          <c:showBubbleSize val="0"/>
          <c:separator>
</c:separator>
          <c:extLst>
            <c:ext xmlns:c15="http://schemas.microsoft.com/office/drawing/2012/chart" uri="{CE6537A1-D6FC-4f65-9D91-7224C49458BB}"/>
          </c:extLst>
        </c:dLbl>
      </c:pivotFmt>
      <c:pivotFmt>
        <c:idx val="26"/>
        <c:spPr>
          <a:solidFill>
            <a:schemeClr val="accent1"/>
          </a:solidFill>
          <a:ln w="19050">
            <a:solidFill>
              <a:schemeClr val="lt1"/>
            </a:solidFill>
          </a:ln>
          <a:effectLst/>
        </c:spPr>
        <c:dLbl>
          <c:idx val="0"/>
          <c:layout>
            <c:manualLayout>
              <c:x val="6.5308652133162601E-2"/>
              <c:y val="-8.3107432716517035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1"/>
          <c:showPercent val="1"/>
          <c:showBubbleSize val="0"/>
          <c:separator>
</c:separator>
          <c:extLst>
            <c:ext xmlns:c15="http://schemas.microsoft.com/office/drawing/2012/chart" uri="{CE6537A1-D6FC-4f65-9D91-7224C49458BB}"/>
          </c:extLst>
        </c:dLbl>
      </c:pivotFmt>
      <c:pivotFmt>
        <c:idx val="2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w="19050">
            <a:solidFill>
              <a:schemeClr val="lt1"/>
            </a:solidFill>
          </a:ln>
          <a:effectLst/>
        </c:spPr>
      </c:pivotFmt>
      <c:pivotFmt>
        <c:idx val="29"/>
        <c:spPr>
          <a:solidFill>
            <a:schemeClr val="accent1"/>
          </a:solidFill>
          <a:ln w="19050">
            <a:solidFill>
              <a:schemeClr val="lt1"/>
            </a:solidFill>
          </a:ln>
          <a:effectLst/>
        </c:spPr>
      </c:pivotFmt>
      <c:pivotFmt>
        <c:idx val="30"/>
        <c:spPr>
          <a:solidFill>
            <a:schemeClr val="accent1"/>
          </a:solidFill>
          <a:ln w="19050">
            <a:solidFill>
              <a:schemeClr val="lt1"/>
            </a:solidFill>
          </a:ln>
          <a:effectLst/>
        </c:spPr>
      </c:pivotFmt>
      <c:pivotFmt>
        <c:idx val="31"/>
        <c:spPr>
          <a:solidFill>
            <a:schemeClr val="accent1"/>
          </a:solidFill>
          <a:ln w="19050">
            <a:solidFill>
              <a:schemeClr val="lt1"/>
            </a:solidFill>
          </a:ln>
          <a:effectLst/>
        </c:spPr>
      </c:pivotFmt>
      <c:pivotFmt>
        <c:idx val="32"/>
        <c:spPr>
          <a:solidFill>
            <a:schemeClr val="accent1"/>
          </a:solidFill>
          <a:ln w="19050">
            <a:solidFill>
              <a:schemeClr val="lt1"/>
            </a:solidFill>
          </a:ln>
          <a:effectLst/>
        </c:spPr>
      </c:pivotFmt>
      <c:pivotFmt>
        <c:idx val="3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1"/>
          <c:showSerName val="1"/>
          <c:showPercent val="1"/>
          <c:showBubbleSize val="0"/>
          <c:separator>
</c:separator>
          <c:extLst>
            <c:ext xmlns:c15="http://schemas.microsoft.com/office/drawing/2012/chart" uri="{CE6537A1-D6FC-4f65-9D91-7224C49458BB}"/>
          </c:extLst>
        </c:dLbl>
      </c:pivotFmt>
      <c:pivotFmt>
        <c:idx val="34"/>
        <c:spPr>
          <a:solidFill>
            <a:schemeClr val="accent6">
              <a:lumMod val="50000"/>
            </a:schemeClr>
          </a:solidFill>
          <a:ln w="19050">
            <a:solidFill>
              <a:schemeClr val="lt1"/>
            </a:solidFill>
          </a:ln>
          <a:effectLst/>
        </c:spPr>
      </c:pivotFmt>
      <c:pivotFmt>
        <c:idx val="35"/>
        <c:spPr>
          <a:solidFill>
            <a:schemeClr val="accent5">
              <a:lumMod val="50000"/>
            </a:schemeClr>
          </a:solidFill>
          <a:ln w="19050">
            <a:solidFill>
              <a:schemeClr val="lt1"/>
            </a:solidFill>
          </a:ln>
          <a:effectLst/>
        </c:spPr>
      </c:pivotFmt>
      <c:pivotFmt>
        <c:idx val="36"/>
        <c:spPr>
          <a:solidFill>
            <a:schemeClr val="accent1"/>
          </a:solidFill>
          <a:ln w="19050">
            <a:solidFill>
              <a:schemeClr val="lt1"/>
            </a:solidFill>
          </a:ln>
          <a:effectLst/>
        </c:spPr>
      </c:pivotFmt>
      <c:pivotFmt>
        <c:idx val="37"/>
        <c:spPr>
          <a:solidFill>
            <a:srgbClr val="FF0000"/>
          </a:solidFill>
          <a:ln w="19050">
            <a:solidFill>
              <a:schemeClr val="lt1"/>
            </a:solidFill>
          </a:ln>
          <a:effectLst/>
        </c:spPr>
        <c:dLbl>
          <c:idx val="0"/>
          <c:layout>
            <c:manualLayout>
              <c:x val="-2.8395066144853293E-3"/>
              <c:y val="3.739834472243258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1"/>
          <c:showPercent val="1"/>
          <c:showBubbleSize val="0"/>
          <c:separator>
</c:separator>
          <c:extLst>
            <c:ext xmlns:c15="http://schemas.microsoft.com/office/drawing/2012/chart" uri="{CE6537A1-D6FC-4f65-9D91-7224C49458BB}"/>
          </c:extLst>
        </c:dLbl>
      </c:pivotFmt>
      <c:pivotFmt>
        <c:idx val="38"/>
        <c:spPr>
          <a:solidFill>
            <a:schemeClr val="accent6">
              <a:lumMod val="50000"/>
            </a:schemeClr>
          </a:solidFill>
          <a:ln w="19050">
            <a:solidFill>
              <a:schemeClr val="lt1"/>
            </a:solidFill>
          </a:ln>
          <a:effectLst/>
        </c:spPr>
      </c:pivotFmt>
      <c:pivotFmt>
        <c:idx val="3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0"/>
        <c:spPr>
          <a:solidFill>
            <a:schemeClr val="accent1"/>
          </a:solidFill>
          <a:ln w="19050">
            <a:solidFill>
              <a:schemeClr val="lt1"/>
            </a:solidFill>
          </a:ln>
          <a:effectLst/>
        </c:spPr>
      </c:pivotFmt>
      <c:pivotFmt>
        <c:idx val="41"/>
        <c:spPr>
          <a:solidFill>
            <a:schemeClr val="accent1"/>
          </a:solidFill>
          <a:ln w="19050">
            <a:solidFill>
              <a:schemeClr val="lt1"/>
            </a:solidFill>
          </a:ln>
          <a:effectLst/>
        </c:spPr>
      </c:pivotFmt>
      <c:pivotFmt>
        <c:idx val="42"/>
        <c:spPr>
          <a:solidFill>
            <a:schemeClr val="accent1"/>
          </a:solidFill>
          <a:ln w="19050">
            <a:solidFill>
              <a:schemeClr val="lt1"/>
            </a:solidFill>
          </a:ln>
          <a:effectLst/>
        </c:spPr>
      </c:pivotFmt>
      <c:pivotFmt>
        <c:idx val="43"/>
        <c:spPr>
          <a:solidFill>
            <a:schemeClr val="accent1"/>
          </a:solidFill>
          <a:ln w="19050">
            <a:solidFill>
              <a:schemeClr val="lt1"/>
            </a:solidFill>
          </a:ln>
          <a:effectLst/>
        </c:spPr>
      </c:pivotFmt>
      <c:pivotFmt>
        <c:idx val="44"/>
        <c:spPr>
          <a:solidFill>
            <a:schemeClr val="accent1"/>
          </a:solidFill>
          <a:ln w="19050">
            <a:solidFill>
              <a:schemeClr val="lt1"/>
            </a:solidFill>
          </a:ln>
          <a:effectLst/>
        </c:spPr>
      </c:pivotFmt>
    </c:pivotFmts>
    <c:plotArea>
      <c:layout>
        <c:manualLayout>
          <c:layoutTarget val="inner"/>
          <c:xMode val="edge"/>
          <c:yMode val="edge"/>
          <c:x val="0.15601769705728738"/>
          <c:y val="0.17781064265930696"/>
          <c:w val="0.45942322689580672"/>
          <c:h val="0.67232604289194242"/>
        </c:manualLayout>
      </c:layout>
      <c:pieChart>
        <c:varyColors val="1"/>
        <c:ser>
          <c:idx val="0"/>
          <c:order val="0"/>
          <c:tx>
            <c:strRef>
              <c:f>Sheet3!$B$3:$B$4</c:f>
              <c:strCache>
                <c:ptCount val="1"/>
                <c:pt idx="0">
                  <c:v>No</c:v>
                </c:pt>
              </c:strCache>
            </c:strRef>
          </c:tx>
          <c:dPt>
            <c:idx val="0"/>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01-B835-4397-AD89-7938A6364B9C}"/>
              </c:ext>
            </c:extLst>
          </c:dPt>
          <c:dPt>
            <c:idx val="1"/>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03-B835-4397-AD89-7938A6364B9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B835-4397-AD89-7938A6364B9C}"/>
              </c:ext>
            </c:extLst>
          </c:dPt>
          <c:dPt>
            <c:idx val="3"/>
            <c:bubble3D val="0"/>
            <c:spPr>
              <a:solidFill>
                <a:srgbClr val="FF0000"/>
              </a:solidFill>
              <a:ln w="19050">
                <a:solidFill>
                  <a:schemeClr val="lt1"/>
                </a:solidFill>
              </a:ln>
              <a:effectLst/>
            </c:spPr>
            <c:extLst>
              <c:ext xmlns:c16="http://schemas.microsoft.com/office/drawing/2014/chart" uri="{C3380CC4-5D6E-409C-BE32-E72D297353CC}">
                <c16:uniqueId val="{00000007-B835-4397-AD89-7938A6364B9C}"/>
              </c:ext>
            </c:extLst>
          </c:dPt>
          <c:dPt>
            <c:idx val="4"/>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09-B835-4397-AD89-7938A6364B9C}"/>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B835-4397-AD89-7938A6364B9C}"/>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B835-4397-AD89-7938A6364B9C}"/>
              </c:ext>
            </c:extLst>
          </c:dPt>
          <c:dLbls>
            <c:dLbl>
              <c:idx val="3"/>
              <c:layout>
                <c:manualLayout>
                  <c:x val="-2.8395066144853293E-3"/>
                  <c:y val="3.7398344722432586E-2"/>
                </c:manualLayout>
              </c:layout>
              <c:dLblPos val="bestFit"/>
              <c:showLegendKey val="0"/>
              <c:showVal val="0"/>
              <c:showCatName val="1"/>
              <c:showSerName val="1"/>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7-B835-4397-AD89-7938A6364B9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1"/>
            <c:showSerName val="1"/>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Sheet3!$A$5:$A$10</c:f>
              <c:strCache>
                <c:ptCount val="5"/>
                <c:pt idx="0">
                  <c:v>adults</c:v>
                </c:pt>
                <c:pt idx="1">
                  <c:v>mature adult </c:v>
                </c:pt>
                <c:pt idx="2">
                  <c:v>middle age</c:v>
                </c:pt>
                <c:pt idx="3">
                  <c:v>senior citizen</c:v>
                </c:pt>
                <c:pt idx="4">
                  <c:v>young adults</c:v>
                </c:pt>
              </c:strCache>
            </c:strRef>
          </c:cat>
          <c:val>
            <c:numRef>
              <c:f>Sheet3!$B$5:$B$10</c:f>
              <c:numCache>
                <c:formatCode>General</c:formatCode>
                <c:ptCount val="5"/>
                <c:pt idx="0">
                  <c:v>122</c:v>
                </c:pt>
                <c:pt idx="1">
                  <c:v>219</c:v>
                </c:pt>
                <c:pt idx="2">
                  <c:v>121</c:v>
                </c:pt>
                <c:pt idx="3">
                  <c:v>9</c:v>
                </c:pt>
                <c:pt idx="4">
                  <c:v>48</c:v>
                </c:pt>
              </c:numCache>
            </c:numRef>
          </c:val>
          <c:extLst>
            <c:ext xmlns:c16="http://schemas.microsoft.com/office/drawing/2014/chart" uri="{C3380CC4-5D6E-409C-BE32-E72D297353CC}">
              <c16:uniqueId val="{0000000E-B835-4397-AD89-7938A6364B9C}"/>
            </c:ext>
          </c:extLst>
        </c:ser>
        <c:ser>
          <c:idx val="1"/>
          <c:order val="1"/>
          <c:tx>
            <c:strRef>
              <c:f>Sheet3!$C$3:$C$4</c:f>
              <c:strCache>
                <c:ptCount val="1"/>
                <c:pt idx="0">
                  <c:v>Yes</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Pt>
            <c:idx val="3"/>
            <c:bubble3D val="0"/>
            <c:spPr>
              <a:solidFill>
                <a:schemeClr val="accent4"/>
              </a:solidFill>
              <a:ln w="19050">
                <a:solidFill>
                  <a:schemeClr val="lt1"/>
                </a:solidFill>
              </a:ln>
              <a:effectLst/>
            </c:spPr>
          </c:dPt>
          <c:dPt>
            <c:idx val="4"/>
            <c:bubble3D val="0"/>
            <c:spPr>
              <a:solidFill>
                <a:schemeClr val="accent5"/>
              </a:solidFill>
              <a:ln w="19050">
                <a:solidFill>
                  <a:schemeClr val="lt1"/>
                </a:solidFill>
              </a:ln>
              <a:effectLst/>
            </c:spPr>
          </c:dPt>
          <c:cat>
            <c:strRef>
              <c:f>Sheet3!$A$5:$A$10</c:f>
              <c:strCache>
                <c:ptCount val="5"/>
                <c:pt idx="0">
                  <c:v>adults</c:v>
                </c:pt>
                <c:pt idx="1">
                  <c:v>mature adult </c:v>
                </c:pt>
                <c:pt idx="2">
                  <c:v>middle age</c:v>
                </c:pt>
                <c:pt idx="3">
                  <c:v>senior citizen</c:v>
                </c:pt>
                <c:pt idx="4">
                  <c:v>young adults</c:v>
                </c:pt>
              </c:strCache>
            </c:strRef>
          </c:cat>
          <c:val>
            <c:numRef>
              <c:f>Sheet3!$C$5:$C$10</c:f>
              <c:numCache>
                <c:formatCode>General</c:formatCode>
                <c:ptCount val="5"/>
                <c:pt idx="0">
                  <c:v>179</c:v>
                </c:pt>
                <c:pt idx="1">
                  <c:v>208</c:v>
                </c:pt>
                <c:pt idx="2">
                  <c:v>53</c:v>
                </c:pt>
                <c:pt idx="3">
                  <c:v>6</c:v>
                </c:pt>
                <c:pt idx="4">
                  <c:v>35</c:v>
                </c:pt>
              </c:numCache>
            </c:numRef>
          </c:val>
          <c:extLst>
            <c:ext xmlns:c16="http://schemas.microsoft.com/office/drawing/2014/chart" uri="{C3380CC4-5D6E-409C-BE32-E72D297353CC}">
              <c16:uniqueId val="{00000018-247B-4CC5-98CD-20D32ECBD3A9}"/>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survey cleaned Dataset &amp; Dshboard.xlsx]Sheet3!PivotTable4</c:name>
    <c:fmtId val="1"/>
  </c:pivotSource>
  <c:chart>
    <c:autoTitleDeleted val="0"/>
    <c:pivotFmts>
      <c:pivotFmt>
        <c:idx val="0"/>
        <c:spPr>
          <a:solidFill>
            <a:schemeClr val="accent6"/>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6"/>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6"/>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percentStacked"/>
        <c:varyColors val="0"/>
        <c:ser>
          <c:idx val="0"/>
          <c:order val="0"/>
          <c:tx>
            <c:strRef>
              <c:f>Sheet3!$H$70:$H$71</c:f>
              <c:strCache>
                <c:ptCount val="1"/>
                <c:pt idx="0">
                  <c:v>No</c:v>
                </c:pt>
              </c:strCache>
            </c:strRef>
          </c:tx>
          <c:spPr>
            <a:solidFill>
              <a:schemeClr val="accent6"/>
            </a:solidFill>
            <a:ln>
              <a:noFill/>
            </a:ln>
            <a:effectLst/>
            <a:sp3d/>
          </c:spPr>
          <c:invertIfNegative val="0"/>
          <c:cat>
            <c:strRef>
              <c:f>Sheet3!$G$72:$G$74</c:f>
              <c:strCache>
                <c:ptCount val="2"/>
                <c:pt idx="0">
                  <c:v>Female</c:v>
                </c:pt>
                <c:pt idx="1">
                  <c:v>Male</c:v>
                </c:pt>
              </c:strCache>
            </c:strRef>
          </c:cat>
          <c:val>
            <c:numRef>
              <c:f>Sheet3!$H$72:$H$74</c:f>
              <c:numCache>
                <c:formatCode>General</c:formatCode>
                <c:ptCount val="2"/>
                <c:pt idx="0">
                  <c:v>157</c:v>
                </c:pt>
                <c:pt idx="1">
                  <c:v>160</c:v>
                </c:pt>
              </c:numCache>
            </c:numRef>
          </c:val>
          <c:extLst>
            <c:ext xmlns:c16="http://schemas.microsoft.com/office/drawing/2014/chart" uri="{C3380CC4-5D6E-409C-BE32-E72D297353CC}">
              <c16:uniqueId val="{00000002-330B-491F-AB42-495BC184F8F7}"/>
            </c:ext>
          </c:extLst>
        </c:ser>
        <c:ser>
          <c:idx val="1"/>
          <c:order val="1"/>
          <c:tx>
            <c:strRef>
              <c:f>Sheet3!$I$70:$I$71</c:f>
              <c:strCache>
                <c:ptCount val="1"/>
                <c:pt idx="0">
                  <c:v>Yes</c:v>
                </c:pt>
              </c:strCache>
            </c:strRef>
          </c:tx>
          <c:spPr>
            <a:solidFill>
              <a:schemeClr val="accent5"/>
            </a:solidFill>
            <a:ln>
              <a:noFill/>
            </a:ln>
            <a:effectLst/>
            <a:sp3d/>
          </c:spPr>
          <c:invertIfNegative val="0"/>
          <c:cat>
            <c:strRef>
              <c:f>Sheet3!$G$72:$G$74</c:f>
              <c:strCache>
                <c:ptCount val="2"/>
                <c:pt idx="0">
                  <c:v>Female</c:v>
                </c:pt>
                <c:pt idx="1">
                  <c:v>Male</c:v>
                </c:pt>
              </c:strCache>
            </c:strRef>
          </c:cat>
          <c:val>
            <c:numRef>
              <c:f>Sheet3!$I$72:$I$74</c:f>
              <c:numCache>
                <c:formatCode>General</c:formatCode>
                <c:ptCount val="2"/>
                <c:pt idx="0">
                  <c:v>332</c:v>
                </c:pt>
                <c:pt idx="1">
                  <c:v>351</c:v>
                </c:pt>
              </c:numCache>
            </c:numRef>
          </c:val>
          <c:extLst>
            <c:ext xmlns:c16="http://schemas.microsoft.com/office/drawing/2014/chart" uri="{C3380CC4-5D6E-409C-BE32-E72D297353CC}">
              <c16:uniqueId val="{00000000-83D8-4750-9898-7188F03951B5}"/>
            </c:ext>
          </c:extLst>
        </c:ser>
        <c:dLbls>
          <c:showLegendKey val="0"/>
          <c:showVal val="0"/>
          <c:showCatName val="0"/>
          <c:showSerName val="0"/>
          <c:showPercent val="0"/>
          <c:showBubbleSize val="0"/>
        </c:dLbls>
        <c:gapWidth val="150"/>
        <c:shape val="box"/>
        <c:axId val="688046815"/>
        <c:axId val="688047295"/>
        <c:axId val="0"/>
      </c:bar3DChart>
      <c:catAx>
        <c:axId val="688046815"/>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8047295"/>
        <c:crosses val="autoZero"/>
        <c:auto val="1"/>
        <c:lblAlgn val="ctr"/>
        <c:lblOffset val="100"/>
        <c:noMultiLvlLbl val="0"/>
      </c:catAx>
      <c:valAx>
        <c:axId val="688047295"/>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804681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[Bike sales survey cleaned Dataset &amp; Dshboard.xlsx]Sheet3!PivotTable1</c:name>
    <c:fmtId val="26"/>
  </c:pivotSource>
  <c:chart>
    <c:title>
      <c:overlay val="0"/>
      <c:spPr>
        <a:noFill/>
        <a:ln>
          <a:noFill/>
        </a:ln>
        <a:effectLst/>
      </c:spPr>
      <c:txPr>
        <a:bodyPr rot="0" spcFirstLastPara="1" vertOverflow="ellipsis" vert="horz" wrap="square" anchor="ctr" anchorCtr="1"/>
        <a:lstStyle/>
        <a:p>
          <a:pPr>
            <a:defRPr sz="1400" b="0" i="0" u="none" strike="noStrike" kern="1200" cap="none" spc="20" baseline="0">
              <a:solidFill>
                <a:schemeClr val="dk1">
                  <a:lumMod val="50000"/>
                  <a:lumOff val="50000"/>
                </a:schemeClr>
              </a:solidFill>
              <a:latin typeface="+mn-lt"/>
              <a:ea typeface="+mn-ea"/>
              <a:cs typeface="+mn-cs"/>
            </a:defRPr>
          </a:pPr>
          <a:endParaRPr lang="en-US"/>
        </a:p>
      </c:txPr>
    </c:title>
    <c:autoTitleDeleted val="0"/>
    <c:pivotFmts>
      <c:pivotFmt>
        <c:idx val="0"/>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22225" cap="rnd" cmpd="sng" algn="ctr">
            <a:solidFill>
              <a:schemeClr val="accent6"/>
            </a:solidFill>
            <a:round/>
          </a:ln>
          <a:effectLst/>
        </c:spPr>
        <c:marker>
          <c:symbol val="circle"/>
          <c:size val="4"/>
          <c:spPr>
            <a:solidFill>
              <a:schemeClr val="accent6"/>
            </a:solidFill>
            <a:ln w="9525" cap="flat" cmpd="sng" algn="ctr">
              <a:solidFill>
                <a:schemeClr val="accent6"/>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22225" cap="rnd" cmpd="sng" algn="ctr">
            <a:solidFill>
              <a:schemeClr val="accent6"/>
            </a:solidFill>
            <a:round/>
          </a:ln>
          <a:effectLst/>
        </c:spPr>
        <c:marker>
          <c:symbol val="circle"/>
          <c:size val="4"/>
          <c:spPr>
            <a:solidFill>
              <a:schemeClr val="accent5"/>
            </a:solidFill>
            <a:ln w="9525" cap="flat" cmpd="sng" algn="ctr">
              <a:solidFill>
                <a:schemeClr val="accent5"/>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dLbl>
          <c:idx val="0"/>
          <c:showLegendKey val="0"/>
          <c:showVal val="0"/>
          <c:showCatName val="0"/>
          <c:showSerName val="0"/>
          <c:showPercent val="0"/>
          <c:showBubbleSize val="0"/>
          <c:extLst>
            <c:ext xmlns:c15="http://schemas.microsoft.com/office/drawing/2012/chart" uri="{CE6537A1-D6FC-4f65-9D91-7224C49458BB}"/>
          </c:extLst>
        </c:dLbl>
      </c:pivotFmt>
      <c:pivotFmt>
        <c:idx val="10"/>
        <c:dLbl>
          <c:idx val="0"/>
          <c:showLegendKey val="0"/>
          <c:showVal val="0"/>
          <c:showCatName val="0"/>
          <c:showSerName val="0"/>
          <c:showPercent val="0"/>
          <c:showBubbleSize val="0"/>
          <c:extLst>
            <c:ext xmlns:c15="http://schemas.microsoft.com/office/drawing/2012/chart" uri="{CE6537A1-D6FC-4f65-9D91-7224C49458BB}"/>
          </c:extLst>
        </c:dLbl>
      </c:pivotFmt>
      <c:pivotFmt>
        <c:idx val="11"/>
        <c:dLbl>
          <c:idx val="0"/>
          <c:showLegendKey val="0"/>
          <c:showVal val="0"/>
          <c:showCatName val="0"/>
          <c:showSerName val="0"/>
          <c:showPercent val="0"/>
          <c:showBubbleSize val="0"/>
          <c:extLst>
            <c:ext xmlns:c15="http://schemas.microsoft.com/office/drawing/2012/chart" uri="{CE6537A1-D6FC-4f65-9D91-7224C49458BB}"/>
          </c:extLst>
        </c:dLbl>
      </c:pivotFmt>
      <c:pivotFmt>
        <c:idx val="12"/>
        <c:dLbl>
          <c:idx val="0"/>
          <c:showLegendKey val="0"/>
          <c:showVal val="0"/>
          <c:showCatName val="0"/>
          <c:showSerName val="0"/>
          <c:showPercent val="0"/>
          <c:showBubbleSize val="0"/>
          <c:extLst>
            <c:ext xmlns:c15="http://schemas.microsoft.com/office/drawing/2012/chart" uri="{CE6537A1-D6FC-4f65-9D91-7224C49458BB}"/>
          </c:extLst>
        </c:dLbl>
      </c:pivotFmt>
      <c:pivotFmt>
        <c:idx val="13"/>
        <c:dLbl>
          <c:idx val="0"/>
          <c:showLegendKey val="0"/>
          <c:showVal val="0"/>
          <c:showCatName val="0"/>
          <c:showSerName val="0"/>
          <c:showPercent val="0"/>
          <c:showBubbleSize val="0"/>
          <c:extLst>
            <c:ext xmlns:c15="http://schemas.microsoft.com/office/drawing/2012/chart" uri="{CE6537A1-D6FC-4f65-9D91-7224C49458BB}"/>
          </c:extLst>
        </c:dLbl>
      </c:pivotFmt>
      <c:pivotFmt>
        <c:idx val="14"/>
        <c:dLbl>
          <c:idx val="0"/>
          <c:showLegendKey val="0"/>
          <c:showVal val="0"/>
          <c:showCatName val="0"/>
          <c:showSerName val="0"/>
          <c:showPercent val="0"/>
          <c:showBubbleSize val="0"/>
          <c:extLst>
            <c:ext xmlns:c15="http://schemas.microsoft.com/office/drawing/2012/chart" uri="{CE6537A1-D6FC-4f65-9D91-7224C49458BB}"/>
          </c:extLst>
        </c:dLbl>
      </c:pivotFmt>
      <c:pivotFmt>
        <c:idx val="15"/>
        <c:dLbl>
          <c:idx val="0"/>
          <c:showLegendKey val="0"/>
          <c:showVal val="0"/>
          <c:showCatName val="0"/>
          <c:showSerName val="0"/>
          <c:showPercent val="0"/>
          <c:showBubbleSize val="0"/>
          <c:extLst>
            <c:ext xmlns:c15="http://schemas.microsoft.com/office/drawing/2012/chart" uri="{CE6537A1-D6FC-4f65-9D91-7224C49458BB}"/>
          </c:extLst>
        </c:dLbl>
      </c:pivotFmt>
      <c:pivotFmt>
        <c:idx val="16"/>
        <c:dLbl>
          <c:idx val="0"/>
          <c:showLegendKey val="0"/>
          <c:showVal val="0"/>
          <c:showCatName val="0"/>
          <c:showSerName val="0"/>
          <c:showPercent val="0"/>
          <c:showBubbleSize val="0"/>
          <c:extLst>
            <c:ext xmlns:c15="http://schemas.microsoft.com/office/drawing/2012/chart" uri="{CE6537A1-D6FC-4f65-9D91-7224C49458BB}"/>
          </c:extLst>
        </c:dLbl>
      </c:pivotFmt>
      <c:pivotFmt>
        <c:idx val="17"/>
        <c:dLbl>
          <c:idx val="0"/>
          <c:showLegendKey val="0"/>
          <c:showVal val="0"/>
          <c:showCatName val="0"/>
          <c:showSerName val="0"/>
          <c:showPercent val="0"/>
          <c:showBubbleSize val="0"/>
          <c:extLst>
            <c:ext xmlns:c15="http://schemas.microsoft.com/office/drawing/2012/chart" uri="{CE6537A1-D6FC-4f65-9D91-7224C49458BB}"/>
          </c:extLst>
        </c:dLbl>
      </c:pivotFmt>
      <c:pivotFmt>
        <c:idx val="18"/>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22225" cap="rnd" cmpd="sng" algn="ctr">
            <a:solidFill>
              <a:schemeClr val="accent6"/>
            </a:solidFill>
            <a:round/>
          </a:ln>
          <a:effectLst/>
        </c:spPr>
        <c:marker>
          <c:spPr>
            <a:solidFill>
              <a:schemeClr val="accent6"/>
            </a:solidFill>
            <a:ln w="9525" cap="flat" cmpd="sng" algn="ctr">
              <a:solidFill>
                <a:schemeClr val="accent6"/>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22225" cap="rnd" cmpd="sng" algn="ctr">
            <a:solidFill>
              <a:schemeClr val="accent6"/>
            </a:solidFill>
            <a:round/>
          </a:ln>
          <a:effectLst/>
        </c:spPr>
        <c:marker>
          <c:symbol val="circle"/>
          <c:size val="4"/>
          <c:spPr>
            <a:solidFill>
              <a:schemeClr val="accent6"/>
            </a:solidFill>
            <a:ln w="9525" cap="flat" cmpd="sng" algn="ctr">
              <a:solidFill>
                <a:schemeClr val="accent6"/>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22225" cap="rnd" cmpd="sng" algn="ctr">
            <a:solidFill>
              <a:schemeClr val="accent6"/>
            </a:solidFill>
            <a:round/>
          </a:ln>
          <a:effectLst/>
        </c:spPr>
        <c:marker>
          <c:symbol val="circle"/>
          <c:size val="4"/>
          <c:spPr>
            <a:solidFill>
              <a:schemeClr val="accent5"/>
            </a:solidFill>
            <a:ln w="9525" cap="flat" cmpd="sng" algn="ctr">
              <a:solidFill>
                <a:schemeClr val="accent5"/>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9525" cap="flat" cmpd="sng" algn="ctr">
            <a:solidFill>
              <a:schemeClr val="accent6">
                <a:shade val="9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9525" cap="flat" cmpd="sng" algn="ctr">
            <a:solidFill>
              <a:schemeClr val="accent6">
                <a:shade val="9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9525" cap="flat" cmpd="sng" algn="ctr">
            <a:solidFill>
              <a:schemeClr val="accent6">
                <a:shade val="95000"/>
              </a:schemeClr>
            </a:solidFill>
            <a:round/>
          </a:ln>
          <a:effectLst/>
        </c:spPr>
      </c:pivotFmt>
      <c:pivotFmt>
        <c:idx val="24"/>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9525" cap="flat" cmpd="sng" algn="ctr">
            <a:solidFill>
              <a:schemeClr val="accent6">
                <a:shade val="95000"/>
              </a:schemeClr>
            </a:solidFill>
            <a:round/>
          </a:ln>
          <a:effectLst/>
        </c:spPr>
      </c:pivotFmt>
      <c:pivotFmt>
        <c:idx val="25"/>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9525" cap="flat" cmpd="sng" algn="ctr">
            <a:solidFill>
              <a:schemeClr val="accent6">
                <a:shade val="95000"/>
              </a:schemeClr>
            </a:solidFill>
            <a:round/>
          </a:ln>
          <a:effectLst/>
        </c:spPr>
      </c:pivotFmt>
      <c:pivotFmt>
        <c:idx val="26"/>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9525" cap="flat" cmpd="sng" algn="ctr">
            <a:solidFill>
              <a:schemeClr val="accent6">
                <a:shade val="95000"/>
              </a:schemeClr>
            </a:solidFill>
            <a:round/>
          </a:ln>
          <a:effectLst/>
        </c:spPr>
      </c:pivotFmt>
      <c:pivotFmt>
        <c:idx val="27"/>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9525" cap="flat" cmpd="sng" algn="ctr">
            <a:solidFill>
              <a:schemeClr val="accent6">
                <a:shade val="95000"/>
              </a:schemeClr>
            </a:solidFill>
            <a:round/>
          </a:ln>
          <a:effectLst/>
        </c:spPr>
      </c:pivotFmt>
      <c:pivotFmt>
        <c:idx val="28"/>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9525" cap="flat" cmpd="sng" algn="ctr">
            <a:solidFill>
              <a:schemeClr val="accent6">
                <a:shade val="95000"/>
              </a:schemeClr>
            </a:solidFill>
            <a:round/>
          </a:ln>
          <a:effectLst/>
        </c:spPr>
      </c:pivotFmt>
      <c:pivotFmt>
        <c:idx val="29"/>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9525" cap="flat" cmpd="sng" algn="ctr">
            <a:solidFill>
              <a:schemeClr val="accent6">
                <a:shade val="95000"/>
              </a:schemeClr>
            </a:solidFill>
            <a:round/>
          </a:ln>
          <a:effectLst/>
        </c:spPr>
      </c:pivotFmt>
      <c:pivotFmt>
        <c:idx val="30"/>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9525" cap="flat" cmpd="sng" algn="ctr">
            <a:solidFill>
              <a:schemeClr val="accent6">
                <a:shade val="95000"/>
              </a:schemeClr>
            </a:solidFill>
            <a:round/>
          </a:ln>
          <a:effectLst/>
        </c:spPr>
      </c:pivotFmt>
      <c:pivotFmt>
        <c:idx val="31"/>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9525" cap="flat" cmpd="sng" algn="ctr">
            <a:solidFill>
              <a:schemeClr val="accent6">
                <a:shade val="95000"/>
              </a:schemeClr>
            </a:solidFill>
            <a:round/>
          </a:ln>
          <a:effectLst/>
        </c:spPr>
      </c:pivotFmt>
      <c:pivotFmt>
        <c:idx val="32"/>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9525" cap="flat" cmpd="sng" algn="ctr">
            <a:solidFill>
              <a:schemeClr val="accent6">
                <a:shade val="95000"/>
              </a:schemeClr>
            </a:solidFill>
            <a:round/>
          </a:ln>
          <a:effectLst/>
        </c:spPr>
      </c:pivotFmt>
    </c:pivotFmts>
    <c:plotArea>
      <c:layout/>
      <c:pieChart>
        <c:varyColors val="1"/>
        <c:ser>
          <c:idx val="0"/>
          <c:order val="0"/>
          <c:tx>
            <c:strRef>
              <c:f>Sheet3!$B$40:$B$42</c:f>
              <c:strCache>
                <c:ptCount val="1"/>
                <c:pt idx="0">
                  <c:v>No</c:v>
                </c:pt>
              </c:strCache>
            </c:strRef>
          </c:tx>
          <c:dPt>
            <c:idx val="0"/>
            <c:bubble3D val="0"/>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9525" cap="flat" cmpd="sng" algn="ctr">
                <a:solidFill>
                  <a:schemeClr val="accent6">
                    <a:shade val="95000"/>
                  </a:schemeClr>
                </a:solidFill>
                <a:round/>
              </a:ln>
              <a:effectLst/>
            </c:spPr>
            <c:extLst>
              <c:ext xmlns:c16="http://schemas.microsoft.com/office/drawing/2014/chart" uri="{C3380CC4-5D6E-409C-BE32-E72D297353CC}">
                <c16:uniqueId val="{00000001-BA37-4B61-A1D4-A148751A6C8C}"/>
              </c:ext>
            </c:extLst>
          </c:dPt>
          <c:dPt>
            <c:idx val="1"/>
            <c:bubble3D val="0"/>
            <c:spPr>
              <a:gradFill rotWithShape="1">
                <a:gsLst>
                  <a:gs pos="0">
                    <a:schemeClr val="accent5">
                      <a:lumMod val="110000"/>
                      <a:satMod val="105000"/>
                      <a:tint val="67000"/>
                    </a:schemeClr>
                  </a:gs>
                  <a:gs pos="50000">
                    <a:schemeClr val="accent5">
                      <a:lumMod val="105000"/>
                      <a:satMod val="103000"/>
                      <a:tint val="73000"/>
                    </a:schemeClr>
                  </a:gs>
                  <a:gs pos="100000">
                    <a:schemeClr val="accent5">
                      <a:lumMod val="105000"/>
                      <a:satMod val="109000"/>
                      <a:tint val="81000"/>
                    </a:schemeClr>
                  </a:gs>
                </a:gsLst>
                <a:lin ang="5400000" scaled="0"/>
              </a:gradFill>
              <a:ln w="9525" cap="flat" cmpd="sng" algn="ctr">
                <a:solidFill>
                  <a:schemeClr val="accent5">
                    <a:shade val="95000"/>
                  </a:schemeClr>
                </a:solidFill>
                <a:round/>
              </a:ln>
              <a:effectLst/>
            </c:spPr>
            <c:extLst>
              <c:ext xmlns:c16="http://schemas.microsoft.com/office/drawing/2014/chart" uri="{C3380CC4-5D6E-409C-BE32-E72D297353CC}">
                <c16:uniqueId val="{00000003-BA37-4B61-A1D4-A148751A6C8C}"/>
              </c:ext>
            </c:extLst>
          </c:dPt>
          <c:dPt>
            <c:idx val="2"/>
            <c:bubble3D val="0"/>
            <c:spPr>
              <a:gradFill rotWithShape="1">
                <a:gsLst>
                  <a:gs pos="0">
                    <a:schemeClr val="accent4">
                      <a:lumMod val="110000"/>
                      <a:satMod val="105000"/>
                      <a:tint val="67000"/>
                    </a:schemeClr>
                  </a:gs>
                  <a:gs pos="50000">
                    <a:schemeClr val="accent4">
                      <a:lumMod val="105000"/>
                      <a:satMod val="103000"/>
                      <a:tint val="73000"/>
                    </a:schemeClr>
                  </a:gs>
                  <a:gs pos="100000">
                    <a:schemeClr val="accent4">
                      <a:lumMod val="105000"/>
                      <a:satMod val="109000"/>
                      <a:tint val="81000"/>
                    </a:schemeClr>
                  </a:gs>
                </a:gsLst>
                <a:lin ang="5400000" scaled="0"/>
              </a:gradFill>
              <a:ln w="9525" cap="flat" cmpd="sng" algn="ctr">
                <a:solidFill>
                  <a:schemeClr val="accent4">
                    <a:shade val="95000"/>
                  </a:schemeClr>
                </a:solidFill>
                <a:round/>
              </a:ln>
              <a:effectLst/>
            </c:spPr>
            <c:extLst>
              <c:ext xmlns:c16="http://schemas.microsoft.com/office/drawing/2014/chart" uri="{C3380CC4-5D6E-409C-BE32-E72D297353CC}">
                <c16:uniqueId val="{00000005-BA37-4B61-A1D4-A148751A6C8C}"/>
              </c:ext>
            </c:extLst>
          </c:dPt>
          <c:dPt>
            <c:idx val="3"/>
            <c:bubble3D val="0"/>
            <c:spPr>
              <a:gradFill rotWithShape="1">
                <a:gsLst>
                  <a:gs pos="0">
                    <a:schemeClr val="accent6">
                      <a:lumMod val="60000"/>
                      <a:lumMod val="110000"/>
                      <a:satMod val="105000"/>
                      <a:tint val="67000"/>
                    </a:schemeClr>
                  </a:gs>
                  <a:gs pos="50000">
                    <a:schemeClr val="accent6">
                      <a:lumMod val="60000"/>
                      <a:lumMod val="105000"/>
                      <a:satMod val="103000"/>
                      <a:tint val="73000"/>
                    </a:schemeClr>
                  </a:gs>
                  <a:gs pos="100000">
                    <a:schemeClr val="accent6">
                      <a:lumMod val="60000"/>
                      <a:lumMod val="105000"/>
                      <a:satMod val="109000"/>
                      <a:tint val="81000"/>
                    </a:schemeClr>
                  </a:gs>
                </a:gsLst>
                <a:lin ang="5400000" scaled="0"/>
              </a:gradFill>
              <a:ln w="9525" cap="flat" cmpd="sng" algn="ctr">
                <a:solidFill>
                  <a:schemeClr val="accent6">
                    <a:lumMod val="60000"/>
                    <a:shade val="95000"/>
                  </a:schemeClr>
                </a:solidFill>
                <a:round/>
              </a:ln>
              <a:effectLst/>
            </c:spPr>
            <c:extLst>
              <c:ext xmlns:c16="http://schemas.microsoft.com/office/drawing/2014/chart" uri="{C3380CC4-5D6E-409C-BE32-E72D297353CC}">
                <c16:uniqueId val="{00000007-BA37-4B61-A1D4-A148751A6C8C}"/>
              </c:ext>
            </c:extLst>
          </c:dPt>
          <c:dPt>
            <c:idx val="4"/>
            <c:bubble3D val="0"/>
            <c:spPr>
              <a:gradFill rotWithShape="1">
                <a:gsLst>
                  <a:gs pos="0">
                    <a:schemeClr val="accent5">
                      <a:lumMod val="60000"/>
                      <a:lumMod val="110000"/>
                      <a:satMod val="105000"/>
                      <a:tint val="67000"/>
                    </a:schemeClr>
                  </a:gs>
                  <a:gs pos="50000">
                    <a:schemeClr val="accent5">
                      <a:lumMod val="60000"/>
                      <a:lumMod val="105000"/>
                      <a:satMod val="103000"/>
                      <a:tint val="73000"/>
                    </a:schemeClr>
                  </a:gs>
                  <a:gs pos="100000">
                    <a:schemeClr val="accent5">
                      <a:lumMod val="60000"/>
                      <a:lumMod val="105000"/>
                      <a:satMod val="109000"/>
                      <a:tint val="81000"/>
                    </a:schemeClr>
                  </a:gs>
                </a:gsLst>
                <a:lin ang="5400000" scaled="0"/>
              </a:gradFill>
              <a:ln w="9525" cap="flat" cmpd="sng" algn="ctr">
                <a:solidFill>
                  <a:schemeClr val="accent5">
                    <a:lumMod val="60000"/>
                    <a:shade val="95000"/>
                  </a:schemeClr>
                </a:solidFill>
                <a:round/>
              </a:ln>
              <a:effectLst/>
            </c:spPr>
            <c:extLst>
              <c:ext xmlns:c16="http://schemas.microsoft.com/office/drawing/2014/chart" uri="{C3380CC4-5D6E-409C-BE32-E72D297353CC}">
                <c16:uniqueId val="{00000009-BA37-4B61-A1D4-A148751A6C8C}"/>
              </c:ext>
            </c:extLst>
          </c:dPt>
          <c:cat>
            <c:strRef>
              <c:f>Sheet3!$A$43:$A$48</c:f>
              <c:strCache>
                <c:ptCount val="5"/>
                <c:pt idx="0">
                  <c:v>0-1 Miles</c:v>
                </c:pt>
                <c:pt idx="1">
                  <c:v>1-2 Miles</c:v>
                </c:pt>
                <c:pt idx="2">
                  <c:v>2-5 Miles</c:v>
                </c:pt>
                <c:pt idx="3">
                  <c:v>5-10 Miles</c:v>
                </c:pt>
                <c:pt idx="4">
                  <c:v>more than 10 Miles</c:v>
                </c:pt>
              </c:strCache>
            </c:strRef>
          </c:cat>
          <c:val>
            <c:numRef>
              <c:f>Sheet3!$B$43:$B$48</c:f>
              <c:numCache>
                <c:formatCode>General</c:formatCode>
                <c:ptCount val="5"/>
                <c:pt idx="0">
                  <c:v>166</c:v>
                </c:pt>
                <c:pt idx="1">
                  <c:v>92</c:v>
                </c:pt>
                <c:pt idx="2">
                  <c:v>67</c:v>
                </c:pt>
                <c:pt idx="3">
                  <c:v>116</c:v>
                </c:pt>
                <c:pt idx="4">
                  <c:v>78</c:v>
                </c:pt>
              </c:numCache>
            </c:numRef>
          </c:val>
          <c:extLst>
            <c:ext xmlns:c16="http://schemas.microsoft.com/office/drawing/2014/chart" uri="{C3380CC4-5D6E-409C-BE32-E72D297353CC}">
              <c16:uniqueId val="{00000000-1504-4C5C-BA50-8F374516F52A}"/>
            </c:ext>
          </c:extLst>
        </c:ser>
        <c:ser>
          <c:idx val="1"/>
          <c:order val="1"/>
          <c:tx>
            <c:strRef>
              <c:f>Sheet3!$C$40:$C$42</c:f>
              <c:strCache>
                <c:ptCount val="1"/>
                <c:pt idx="0">
                  <c:v>Yes</c:v>
                </c:pt>
              </c:strCache>
            </c:strRef>
          </c:tx>
          <c:dPt>
            <c:idx val="0"/>
            <c:bubble3D val="0"/>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9525" cap="flat" cmpd="sng" algn="ctr">
                <a:solidFill>
                  <a:schemeClr val="accent6">
                    <a:shade val="95000"/>
                  </a:schemeClr>
                </a:solidFill>
                <a:round/>
              </a:ln>
              <a:effectLst/>
            </c:spPr>
          </c:dPt>
          <c:dPt>
            <c:idx val="1"/>
            <c:bubble3D val="0"/>
            <c:spPr>
              <a:gradFill rotWithShape="1">
                <a:gsLst>
                  <a:gs pos="0">
                    <a:schemeClr val="accent5">
                      <a:lumMod val="110000"/>
                      <a:satMod val="105000"/>
                      <a:tint val="67000"/>
                    </a:schemeClr>
                  </a:gs>
                  <a:gs pos="50000">
                    <a:schemeClr val="accent5">
                      <a:lumMod val="105000"/>
                      <a:satMod val="103000"/>
                      <a:tint val="73000"/>
                    </a:schemeClr>
                  </a:gs>
                  <a:gs pos="100000">
                    <a:schemeClr val="accent5">
                      <a:lumMod val="105000"/>
                      <a:satMod val="109000"/>
                      <a:tint val="81000"/>
                    </a:schemeClr>
                  </a:gs>
                </a:gsLst>
                <a:lin ang="5400000" scaled="0"/>
              </a:gradFill>
              <a:ln w="9525" cap="flat" cmpd="sng" algn="ctr">
                <a:solidFill>
                  <a:schemeClr val="accent5">
                    <a:shade val="95000"/>
                  </a:schemeClr>
                </a:solidFill>
                <a:round/>
              </a:ln>
              <a:effectLst/>
            </c:spPr>
          </c:dPt>
          <c:dPt>
            <c:idx val="2"/>
            <c:bubble3D val="0"/>
            <c:spPr>
              <a:gradFill rotWithShape="1">
                <a:gsLst>
                  <a:gs pos="0">
                    <a:schemeClr val="accent4">
                      <a:lumMod val="110000"/>
                      <a:satMod val="105000"/>
                      <a:tint val="67000"/>
                    </a:schemeClr>
                  </a:gs>
                  <a:gs pos="50000">
                    <a:schemeClr val="accent4">
                      <a:lumMod val="105000"/>
                      <a:satMod val="103000"/>
                      <a:tint val="73000"/>
                    </a:schemeClr>
                  </a:gs>
                  <a:gs pos="100000">
                    <a:schemeClr val="accent4">
                      <a:lumMod val="105000"/>
                      <a:satMod val="109000"/>
                      <a:tint val="81000"/>
                    </a:schemeClr>
                  </a:gs>
                </a:gsLst>
                <a:lin ang="5400000" scaled="0"/>
              </a:gradFill>
              <a:ln w="9525" cap="flat" cmpd="sng" algn="ctr">
                <a:solidFill>
                  <a:schemeClr val="accent4">
                    <a:shade val="95000"/>
                  </a:schemeClr>
                </a:solidFill>
                <a:round/>
              </a:ln>
              <a:effectLst/>
            </c:spPr>
          </c:dPt>
          <c:dPt>
            <c:idx val="3"/>
            <c:bubble3D val="0"/>
            <c:spPr>
              <a:gradFill rotWithShape="1">
                <a:gsLst>
                  <a:gs pos="0">
                    <a:schemeClr val="accent6">
                      <a:lumMod val="60000"/>
                      <a:lumMod val="110000"/>
                      <a:satMod val="105000"/>
                      <a:tint val="67000"/>
                    </a:schemeClr>
                  </a:gs>
                  <a:gs pos="50000">
                    <a:schemeClr val="accent6">
                      <a:lumMod val="60000"/>
                      <a:lumMod val="105000"/>
                      <a:satMod val="103000"/>
                      <a:tint val="73000"/>
                    </a:schemeClr>
                  </a:gs>
                  <a:gs pos="100000">
                    <a:schemeClr val="accent6">
                      <a:lumMod val="60000"/>
                      <a:lumMod val="105000"/>
                      <a:satMod val="109000"/>
                      <a:tint val="81000"/>
                    </a:schemeClr>
                  </a:gs>
                </a:gsLst>
                <a:lin ang="5400000" scaled="0"/>
              </a:gradFill>
              <a:ln w="9525" cap="flat" cmpd="sng" algn="ctr">
                <a:solidFill>
                  <a:schemeClr val="accent6">
                    <a:lumMod val="60000"/>
                    <a:shade val="95000"/>
                  </a:schemeClr>
                </a:solidFill>
                <a:round/>
              </a:ln>
              <a:effectLst/>
            </c:spPr>
          </c:dPt>
          <c:dPt>
            <c:idx val="4"/>
            <c:bubble3D val="0"/>
            <c:spPr>
              <a:gradFill rotWithShape="1">
                <a:gsLst>
                  <a:gs pos="0">
                    <a:schemeClr val="accent5">
                      <a:lumMod val="60000"/>
                      <a:lumMod val="110000"/>
                      <a:satMod val="105000"/>
                      <a:tint val="67000"/>
                    </a:schemeClr>
                  </a:gs>
                  <a:gs pos="50000">
                    <a:schemeClr val="accent5">
                      <a:lumMod val="60000"/>
                      <a:lumMod val="105000"/>
                      <a:satMod val="103000"/>
                      <a:tint val="73000"/>
                    </a:schemeClr>
                  </a:gs>
                  <a:gs pos="100000">
                    <a:schemeClr val="accent5">
                      <a:lumMod val="60000"/>
                      <a:lumMod val="105000"/>
                      <a:satMod val="109000"/>
                      <a:tint val="81000"/>
                    </a:schemeClr>
                  </a:gs>
                </a:gsLst>
                <a:lin ang="5400000" scaled="0"/>
              </a:gradFill>
              <a:ln w="9525" cap="flat" cmpd="sng" algn="ctr">
                <a:solidFill>
                  <a:schemeClr val="accent5">
                    <a:lumMod val="60000"/>
                    <a:shade val="95000"/>
                  </a:schemeClr>
                </a:solidFill>
                <a:round/>
              </a:ln>
              <a:effectLst/>
            </c:spPr>
          </c:dPt>
          <c:cat>
            <c:strRef>
              <c:f>Sheet3!$A$43:$A$48</c:f>
              <c:strCache>
                <c:ptCount val="5"/>
                <c:pt idx="0">
                  <c:v>0-1 Miles</c:v>
                </c:pt>
                <c:pt idx="1">
                  <c:v>1-2 Miles</c:v>
                </c:pt>
                <c:pt idx="2">
                  <c:v>2-5 Miles</c:v>
                </c:pt>
                <c:pt idx="3">
                  <c:v>5-10 Miles</c:v>
                </c:pt>
                <c:pt idx="4">
                  <c:v>more than 10 Miles</c:v>
                </c:pt>
              </c:strCache>
            </c:strRef>
          </c:cat>
          <c:val>
            <c:numRef>
              <c:f>Sheet3!$C$43:$C$48</c:f>
              <c:numCache>
                <c:formatCode>General</c:formatCode>
                <c:ptCount val="5"/>
                <c:pt idx="0">
                  <c:v>200</c:v>
                </c:pt>
                <c:pt idx="1">
                  <c:v>77</c:v>
                </c:pt>
                <c:pt idx="2">
                  <c:v>95</c:v>
                </c:pt>
                <c:pt idx="3">
                  <c:v>76</c:v>
                </c:pt>
                <c:pt idx="4">
                  <c:v>33</c:v>
                </c:pt>
              </c:numCache>
            </c:numRef>
          </c:val>
          <c:extLst>
            <c:ext xmlns:c16="http://schemas.microsoft.com/office/drawing/2014/chart" uri="{C3380CC4-5D6E-409C-BE32-E72D297353CC}">
              <c16:uniqueId val="{00000014-53C0-4D43-80BA-BC3770A634EF}"/>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survey cleaned Dataset &amp; Dshboard.xlsx]Sheet3!PivotTable4</c:name>
    <c:fmtId val="2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BIKE</a:t>
            </a:r>
            <a:r>
              <a:rPr lang="en-US" baseline="0"/>
              <a:t> PURCHASED BASED ON HOUSE OWNED</a:t>
            </a:r>
            <a:endParaRPr lang="en-US"/>
          </a:p>
        </c:rich>
      </c:tx>
      <c:overlay val="1"/>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percentStacked"/>
        <c:varyColors val="0"/>
        <c:ser>
          <c:idx val="0"/>
          <c:order val="0"/>
          <c:tx>
            <c:strRef>
              <c:f>Sheet3!$H$70:$H$71</c:f>
              <c:strCache>
                <c:ptCount val="1"/>
                <c:pt idx="0">
                  <c:v>No</c:v>
                </c:pt>
              </c:strCache>
            </c:strRef>
          </c:tx>
          <c:spPr>
            <a:solidFill>
              <a:schemeClr val="accent1"/>
            </a:solidFill>
            <a:ln>
              <a:noFill/>
            </a:ln>
            <a:effectLst/>
            <a:sp3d/>
          </c:spPr>
          <c:invertIfNegative val="0"/>
          <c:cat>
            <c:strRef>
              <c:f>Sheet3!$G$72:$G$74</c:f>
              <c:strCache>
                <c:ptCount val="2"/>
                <c:pt idx="0">
                  <c:v>Female</c:v>
                </c:pt>
                <c:pt idx="1">
                  <c:v>Male</c:v>
                </c:pt>
              </c:strCache>
            </c:strRef>
          </c:cat>
          <c:val>
            <c:numRef>
              <c:f>Sheet3!$H$72:$H$74</c:f>
              <c:numCache>
                <c:formatCode>General</c:formatCode>
                <c:ptCount val="2"/>
                <c:pt idx="0">
                  <c:v>157</c:v>
                </c:pt>
                <c:pt idx="1">
                  <c:v>160</c:v>
                </c:pt>
              </c:numCache>
            </c:numRef>
          </c:val>
          <c:extLst>
            <c:ext xmlns:c16="http://schemas.microsoft.com/office/drawing/2014/chart" uri="{C3380CC4-5D6E-409C-BE32-E72D297353CC}">
              <c16:uniqueId val="{00000000-8B78-411A-8245-1DC6720A9D5B}"/>
            </c:ext>
          </c:extLst>
        </c:ser>
        <c:ser>
          <c:idx val="1"/>
          <c:order val="1"/>
          <c:tx>
            <c:strRef>
              <c:f>Sheet3!$I$70:$I$71</c:f>
              <c:strCache>
                <c:ptCount val="1"/>
                <c:pt idx="0">
                  <c:v>Yes</c:v>
                </c:pt>
              </c:strCache>
            </c:strRef>
          </c:tx>
          <c:spPr>
            <a:solidFill>
              <a:schemeClr val="accent2"/>
            </a:solidFill>
            <a:ln>
              <a:noFill/>
            </a:ln>
            <a:effectLst/>
            <a:sp3d/>
          </c:spPr>
          <c:invertIfNegative val="0"/>
          <c:cat>
            <c:strRef>
              <c:f>Sheet3!$G$72:$G$74</c:f>
              <c:strCache>
                <c:ptCount val="2"/>
                <c:pt idx="0">
                  <c:v>Female</c:v>
                </c:pt>
                <c:pt idx="1">
                  <c:v>Male</c:v>
                </c:pt>
              </c:strCache>
            </c:strRef>
          </c:cat>
          <c:val>
            <c:numRef>
              <c:f>Sheet3!$I$72:$I$74</c:f>
              <c:numCache>
                <c:formatCode>General</c:formatCode>
                <c:ptCount val="2"/>
                <c:pt idx="0">
                  <c:v>332</c:v>
                </c:pt>
                <c:pt idx="1">
                  <c:v>351</c:v>
                </c:pt>
              </c:numCache>
            </c:numRef>
          </c:val>
          <c:extLst>
            <c:ext xmlns:c16="http://schemas.microsoft.com/office/drawing/2014/chart" uri="{C3380CC4-5D6E-409C-BE32-E72D297353CC}">
              <c16:uniqueId val="{00000000-E71C-4246-85E3-F710C1A55D0B}"/>
            </c:ext>
          </c:extLst>
        </c:ser>
        <c:dLbls>
          <c:showLegendKey val="0"/>
          <c:showVal val="0"/>
          <c:showCatName val="0"/>
          <c:showSerName val="0"/>
          <c:showPercent val="0"/>
          <c:showBubbleSize val="0"/>
        </c:dLbls>
        <c:gapWidth val="150"/>
        <c:shape val="box"/>
        <c:axId val="1685709872"/>
        <c:axId val="1558365152"/>
        <c:axId val="0"/>
      </c:bar3DChart>
      <c:catAx>
        <c:axId val="168570987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8365152"/>
        <c:crosses val="autoZero"/>
        <c:auto val="1"/>
        <c:lblAlgn val="ctr"/>
        <c:lblOffset val="100"/>
        <c:noMultiLvlLbl val="0"/>
      </c:catAx>
      <c:valAx>
        <c:axId val="1558365152"/>
        <c:scaling>
          <c:orientation val="minMax"/>
        </c:scaling>
        <c:delete val="0"/>
        <c:axPos val="b"/>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8570987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0"/>
    <c:pivotFmts>
      <c:pivotFmt>
        <c:idx val="0"/>
        <c:spPr>
          <a:solidFill>
            <a:schemeClr val="accent6"/>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6"/>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6"/>
          </a:solidFill>
          <a:ln w="28575" cap="rnd">
            <a:solidFill>
              <a:schemeClr val="accent6"/>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ysClr val="windowText" lastClr="000000"/>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6"/>
          </a:solidFill>
          <a:ln w="28575" cap="rnd">
            <a:solidFill>
              <a:schemeClr val="accent6"/>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ysClr val="windowText" lastClr="000000"/>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6"/>
          </a:solidFill>
          <a:ln w="28575" cap="rnd">
            <a:solidFill>
              <a:schemeClr val="accent6"/>
            </a:solidFill>
            <a:round/>
          </a:ln>
          <a:effectLst/>
        </c:spPr>
        <c:marker>
          <c:symbol val="circle"/>
          <c:size val="5"/>
          <c:spPr>
            <a:solidFill>
              <a:schemeClr val="accent6"/>
            </a:solidFill>
            <a:ln w="9525">
              <a:solidFill>
                <a:schemeClr val="accent6"/>
              </a:solidFill>
            </a:ln>
            <a:effectLst/>
          </c:spPr>
        </c:marker>
        <c:dLbl>
          <c:idx val="0"/>
          <c:layout>
            <c:manualLayout>
              <c:x val="-6.1678196362794403E-2"/>
              <c:y val="2.4883374831425067E-2"/>
            </c:manualLayout>
          </c:layout>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ysClr val="windowText" lastClr="000000"/>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6"/>
          </a:solidFill>
          <a:ln w="28575" cap="rnd">
            <a:solidFill>
              <a:schemeClr val="accent6"/>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ysClr val="windowText" lastClr="000000"/>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6"/>
          </a:solidFill>
          <a:ln w="28575" cap="rnd">
            <a:solidFill>
              <a:schemeClr val="accent6"/>
            </a:solidFill>
            <a:round/>
          </a:ln>
          <a:effectLst/>
        </c:spPr>
        <c:marker>
          <c:symbol val="circle"/>
          <c:size val="5"/>
          <c:spPr>
            <a:solidFill>
              <a:schemeClr val="accent6"/>
            </a:solidFill>
            <a:ln w="9525">
              <a:solidFill>
                <a:schemeClr val="accent6"/>
              </a:solidFill>
            </a:ln>
            <a:effectLst/>
          </c:spPr>
        </c:marker>
        <c:dLbl>
          <c:idx val="0"/>
          <c:layout>
            <c:manualLayout>
              <c:x val="-6.1678196362794403E-2"/>
              <c:y val="2.4883374831425067E-2"/>
            </c:manualLayout>
          </c:layout>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ysClr val="windowText" lastClr="000000"/>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6"/>
          </a:solidFill>
          <a:ln w="28575" cap="rnd">
            <a:solidFill>
              <a:schemeClr val="accent6"/>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ysClr val="windowText" lastClr="000000"/>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0"/>
        <c:spPr>
          <a:ln w="28575" cap="rnd">
            <a:solidFill>
              <a:schemeClr val="accent6"/>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ysClr val="windowText" lastClr="000000"/>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1"/>
        <c:spPr>
          <a:ln w="28575" cap="rnd">
            <a:solidFill>
              <a:schemeClr val="accent6"/>
            </a:solidFill>
            <a:round/>
          </a:ln>
          <a:effectLst/>
        </c:spPr>
        <c:marker>
          <c:symbol val="circle"/>
          <c:size val="5"/>
          <c:spPr>
            <a:solidFill>
              <a:schemeClr val="accent6"/>
            </a:solidFill>
            <a:ln w="9525">
              <a:solidFill>
                <a:schemeClr val="accent6"/>
              </a:solidFill>
            </a:ln>
            <a:effectLst/>
          </c:spPr>
        </c:marker>
        <c:dLbl>
          <c:idx val="0"/>
          <c:layout>
            <c:manualLayout>
              <c:x val="-6.1678196362794403E-2"/>
              <c:y val="2.4883374831425067E-2"/>
            </c:manualLayout>
          </c:layout>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ysClr val="windowText" lastClr="000000"/>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2"/>
        <c:spPr>
          <a:ln w="28575" cap="rnd">
            <a:solidFill>
              <a:schemeClr val="accent6"/>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ysClr val="windowText" lastClr="000000"/>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4440144215309096E-3"/>
          <c:y val="6.8093294447988673E-2"/>
          <c:w val="0.98890345047210904"/>
          <c:h val="0.55343480054356775"/>
        </c:manualLayout>
      </c:layout>
      <c:lineChart>
        <c:grouping val="stacked"/>
        <c:varyColors val="0"/>
        <c:ser>
          <c:idx val="0"/>
          <c:order val="0"/>
          <c:tx>
            <c:v>No</c:v>
          </c:tx>
          <c:spPr>
            <a:ln w="28575" cap="rnd">
              <a:solidFill>
                <a:schemeClr val="accent6"/>
              </a:solidFill>
              <a:round/>
            </a:ln>
            <a:effectLst/>
          </c:spPr>
          <c:marker>
            <c:symbol val="circle"/>
            <c:size val="5"/>
            <c:spPr>
              <a:solidFill>
                <a:schemeClr val="accent6"/>
              </a:solidFill>
              <a:ln w="9525">
                <a:solidFill>
                  <a:schemeClr val="accent6"/>
                </a:solidFill>
              </a:ln>
              <a:effectLst/>
            </c:spPr>
          </c:marker>
          <c:dPt>
            <c:idx val="4"/>
            <c:marker>
              <c:symbol val="circle"/>
              <c:size val="5"/>
              <c:spPr>
                <a:solidFill>
                  <a:schemeClr val="accent6"/>
                </a:solidFill>
                <a:ln w="9525">
                  <a:solidFill>
                    <a:schemeClr val="accent6"/>
                  </a:solidFill>
                </a:ln>
                <a:effectLst/>
              </c:spPr>
            </c:marker>
            <c:bubble3D val="0"/>
            <c:spPr>
              <a:ln w="28575" cap="rnd">
                <a:solidFill>
                  <a:schemeClr val="accent6"/>
                </a:solidFill>
                <a:round/>
              </a:ln>
              <a:effectLst/>
            </c:spPr>
            <c:extLst>
              <c:ext xmlns:c16="http://schemas.microsoft.com/office/drawing/2014/chart" uri="{C3380CC4-5D6E-409C-BE32-E72D297353CC}">
                <c16:uniqueId val="{00000000-1EE4-4710-9E00-3770C2DF1EEA}"/>
              </c:ext>
            </c:extLst>
          </c:dPt>
          <c:dLbls>
            <c:dLbl>
              <c:idx val="4"/>
              <c:layout>
                <c:manualLayout>
                  <c:x val="-6.1678196362794403E-2"/>
                  <c:y val="2.4883374831425067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1EE4-4710-9E00-3770C2DF1EEA}"/>
                </c:ext>
              </c:extLst>
            </c:dLbl>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ysClr val="windowText" lastClr="000000"/>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5"/>
              <c:pt idx="0">
                <c:v>Bachelors</c:v>
              </c:pt>
              <c:pt idx="1">
                <c:v>Graduate Degree</c:v>
              </c:pt>
              <c:pt idx="2">
                <c:v>High School</c:v>
              </c:pt>
              <c:pt idx="3">
                <c:v>Partial College</c:v>
              </c:pt>
              <c:pt idx="4">
                <c:v>Partial High School</c:v>
              </c:pt>
            </c:strLit>
          </c:cat>
          <c:val>
            <c:numLit>
              <c:formatCode>General</c:formatCode>
              <c:ptCount val="5"/>
              <c:pt idx="0">
                <c:v>137</c:v>
              </c:pt>
              <c:pt idx="1">
                <c:v>80</c:v>
              </c:pt>
              <c:pt idx="2">
                <c:v>100</c:v>
              </c:pt>
              <c:pt idx="3">
                <c:v>146</c:v>
              </c:pt>
              <c:pt idx="4">
                <c:v>56</c:v>
              </c:pt>
            </c:numLit>
          </c:val>
          <c:smooth val="0"/>
          <c:extLst>
            <c:ext xmlns:c16="http://schemas.microsoft.com/office/drawing/2014/chart" uri="{C3380CC4-5D6E-409C-BE32-E72D297353CC}">
              <c16:uniqueId val="{00000001-1EE4-4710-9E00-3770C2DF1EEA}"/>
            </c:ext>
          </c:extLst>
        </c:ser>
        <c:ser>
          <c:idx val="1"/>
          <c:order val="1"/>
          <c:tx>
            <c:v>Yes</c:v>
          </c:tx>
          <c:spPr>
            <a:ln w="28575" cap="rnd">
              <a:solidFill>
                <a:schemeClr val="accent5"/>
              </a:solidFill>
              <a:round/>
            </a:ln>
            <a:effectLst/>
          </c:spPr>
          <c:marker>
            <c:symbol val="circle"/>
            <c:size val="5"/>
            <c:spPr>
              <a:solidFill>
                <a:schemeClr val="accent5"/>
              </a:solidFill>
              <a:ln w="9525">
                <a:solidFill>
                  <a:schemeClr val="accent5"/>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ysClr val="windowText" lastClr="000000"/>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5"/>
              <c:pt idx="0">
                <c:v>Bachelors</c:v>
              </c:pt>
              <c:pt idx="1">
                <c:v>Graduate Degree</c:v>
              </c:pt>
              <c:pt idx="2">
                <c:v>High School</c:v>
              </c:pt>
              <c:pt idx="3">
                <c:v>Partial College</c:v>
              </c:pt>
              <c:pt idx="4">
                <c:v>Partial High School</c:v>
              </c:pt>
            </c:strLit>
          </c:cat>
          <c:val>
            <c:numLit>
              <c:formatCode>General</c:formatCode>
              <c:ptCount val="5"/>
              <c:pt idx="0">
                <c:v>169</c:v>
              </c:pt>
              <c:pt idx="1">
                <c:v>94</c:v>
              </c:pt>
              <c:pt idx="2">
                <c:v>79</c:v>
              </c:pt>
              <c:pt idx="3">
                <c:v>119</c:v>
              </c:pt>
              <c:pt idx="4">
                <c:v>20</c:v>
              </c:pt>
            </c:numLit>
          </c:val>
          <c:smooth val="0"/>
          <c:extLst>
            <c:ext xmlns:c16="http://schemas.microsoft.com/office/drawing/2014/chart" uri="{C3380CC4-5D6E-409C-BE32-E72D297353CC}">
              <c16:uniqueId val="{00000002-1EE4-4710-9E00-3770C2DF1EEA}"/>
            </c:ext>
          </c:extLst>
        </c:ser>
        <c:dLbls>
          <c:dLblPos val="t"/>
          <c:showLegendKey val="0"/>
          <c:showVal val="1"/>
          <c:showCatName val="0"/>
          <c:showSerName val="0"/>
          <c:showPercent val="0"/>
          <c:showBubbleSize val="0"/>
        </c:dLbls>
        <c:marker val="1"/>
        <c:smooth val="0"/>
        <c:axId val="2032733184"/>
        <c:axId val="1558263872"/>
      </c:lineChart>
      <c:catAx>
        <c:axId val="2032733184"/>
        <c:scaling>
          <c:orientation val="minMax"/>
        </c:scaling>
        <c:delete val="0"/>
        <c:axPos val="b"/>
        <c:title>
          <c:tx>
            <c:rich>
              <a:bodyPr rot="0" spcFirstLastPara="1" vertOverflow="ellipsis" vert="horz" wrap="square" anchor="ctr" anchorCtr="1"/>
              <a:lstStyle/>
              <a:p>
                <a:pPr>
                  <a:defRPr sz="1400" b="0" i="0" u="none" strike="noStrike" kern="1200" baseline="0">
                    <a:solidFill>
                      <a:sysClr val="windowText" lastClr="000000"/>
                    </a:solidFill>
                    <a:latin typeface="+mn-lt"/>
                    <a:ea typeface="+mn-ea"/>
                    <a:cs typeface="+mn-cs"/>
                  </a:defRPr>
                </a:pPr>
                <a:r>
                  <a:rPr lang="en-US"/>
                  <a:t>BASED ON EDU. LEVEL</a:t>
                </a:r>
              </a:p>
            </c:rich>
          </c:tx>
          <c:layout>
            <c:manualLayout>
              <c:xMode val="edge"/>
              <c:yMode val="edge"/>
              <c:x val="0.26913275389955893"/>
              <c:y val="1.1329123584648279E-2"/>
            </c:manualLayout>
          </c:layout>
          <c:overlay val="0"/>
          <c:spPr>
            <a:noFill/>
            <a:ln>
              <a:noFill/>
            </a:ln>
            <a:effectLst/>
          </c:spPr>
          <c:txPr>
            <a:bodyPr rot="0" spcFirstLastPara="1" vertOverflow="ellipsis" vert="horz" wrap="square" anchor="ctr" anchorCtr="1"/>
            <a:lstStyle/>
            <a:p>
              <a:pPr>
                <a:defRPr sz="1400" b="0" i="0" u="none" strike="noStrike" kern="1200" baseline="0">
                  <a:solidFill>
                    <a:sysClr val="windowText" lastClr="000000"/>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ysClr val="windowText" lastClr="000000"/>
                </a:solidFill>
                <a:latin typeface="+mn-lt"/>
                <a:ea typeface="+mn-ea"/>
                <a:cs typeface="+mn-cs"/>
              </a:defRPr>
            </a:pPr>
            <a:endParaRPr lang="en-US"/>
          </a:p>
        </c:txPr>
        <c:crossAx val="1558263872"/>
        <c:crosses val="autoZero"/>
        <c:auto val="1"/>
        <c:lblAlgn val="ctr"/>
        <c:lblOffset val="100"/>
        <c:noMultiLvlLbl val="0"/>
      </c:catAx>
      <c:valAx>
        <c:axId val="1558263872"/>
        <c:scaling>
          <c:orientation val="minMax"/>
        </c:scaling>
        <c:delete val="1"/>
        <c:axPos val="l"/>
        <c:numFmt formatCode="General" sourceLinked="1"/>
        <c:majorTickMark val="none"/>
        <c:minorTickMark val="none"/>
        <c:tickLblPos val="nextTo"/>
        <c:crossAx val="2032733184"/>
        <c:crosses val="autoZero"/>
        <c:crossBetween val="between"/>
      </c:valAx>
      <c:spPr>
        <a:noFill/>
        <a:ln>
          <a:noFill/>
        </a:ln>
        <a:effectLst>
          <a:outerShdw dist="76200" dir="5400000" algn="ctr" rotWithShape="0">
            <a:srgbClr val="000000">
              <a:alpha val="43137"/>
            </a:srgbClr>
          </a:outerShdw>
        </a:effectLst>
      </c:spPr>
    </c:plotArea>
    <c:legend>
      <c:legendPos val="t"/>
      <c:layout>
        <c:manualLayout>
          <c:xMode val="edge"/>
          <c:yMode val="edge"/>
          <c:x val="0.76923097654874362"/>
          <c:y val="0.14882150673587832"/>
          <c:w val="0.22596749309446862"/>
          <c:h val="0.16377607005457689"/>
        </c:manualLayout>
      </c:layout>
      <c:overlay val="0"/>
      <c:spPr>
        <a:noFill/>
        <a:ln>
          <a:noFill/>
        </a:ln>
        <a:effectLst/>
      </c:spPr>
      <c:txPr>
        <a:bodyPr rot="0" spcFirstLastPara="1" vertOverflow="ellipsis" vert="horz" wrap="square" anchor="ctr" anchorCtr="1"/>
        <a:lstStyle/>
        <a:p>
          <a:pPr>
            <a:defRPr sz="1400" b="0" i="0" u="none" strike="noStrike" kern="1200" baseline="0">
              <a:solidFill>
                <a:sysClr val="windowText" lastClr="00000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blipFill>
      <a:blip xmlns:r="http://schemas.openxmlformats.org/officeDocument/2006/relationships" r:embed="rId4"/>
      <a:tile tx="0" ty="0" sx="100000" sy="100000" flip="none" algn="tl"/>
    </a:blipFill>
    <a:ln w="9525" cap="flat" cmpd="sng" algn="ctr">
      <a:solidFill>
        <a:schemeClr val="tx1">
          <a:lumMod val="15000"/>
          <a:lumOff val="85000"/>
        </a:schemeClr>
      </a:solidFill>
      <a:round/>
    </a:ln>
    <a:effectLst/>
  </c:spPr>
  <c:txPr>
    <a:bodyPr/>
    <a:lstStyle/>
    <a:p>
      <a:pPr>
        <a:defRPr sz="1400">
          <a:solidFill>
            <a:sysClr val="windowText" lastClr="000000"/>
          </a:solidFill>
        </a:defRPr>
      </a:pPr>
      <a:endParaRPr lang="en-US"/>
    </a:p>
  </c:txPr>
  <c:printSettings>
    <c:headerFooter/>
    <c:pageMargins b="0.75" l="0.7" r="0.7" t="0.75" header="0.3" footer="0.3"/>
    <c:pageSetup/>
  </c:printSettings>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survey cleaned Dataset &amp; Dshboard.xlsx]Sheet3!PivotTable10</c:name>
    <c:fmtId val="24"/>
  </c:pivotSource>
  <c:chart>
    <c:title>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6"/>
            </a:solidFill>
            <a:round/>
          </a:ln>
          <a:effectLst/>
        </c:spPr>
        <c:marker>
          <c:symbol val="none"/>
        </c:marker>
        <c:dLbl>
          <c:idx val="0"/>
          <c:spPr>
            <a:noFill/>
            <a:ln>
              <a:noFill/>
            </a:ln>
            <a:effectLst/>
          </c:spPr>
          <c:txPr>
            <a:bodyPr rot="0" spcFirstLastPara="1" vertOverflow="ellipsis" vert="horz" wrap="square" anchor="ctr" anchorCtr="1"/>
            <a:lstStyle/>
            <a:p>
              <a:pPr>
                <a:defRPr sz="12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ln w="28575" cap="rnd">
            <a:solidFill>
              <a:schemeClr val="accent6"/>
            </a:solidFill>
            <a:round/>
          </a:ln>
          <a:effectLst/>
        </c:spPr>
        <c:marker>
          <c:symbol val="none"/>
        </c:marker>
        <c:dLbl>
          <c:idx val="0"/>
          <c:spPr>
            <a:noFill/>
            <a:ln>
              <a:noFill/>
            </a:ln>
            <a:effectLst/>
          </c:spPr>
          <c:txPr>
            <a:bodyPr rot="0" spcFirstLastPara="1" vertOverflow="ellipsis" vert="horz" wrap="square" anchor="ctr" anchorCtr="1"/>
            <a:lstStyle/>
            <a:p>
              <a:pPr>
                <a:defRPr sz="12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Sheet3!$B$73:$B$74</c:f>
              <c:strCache>
                <c:ptCount val="1"/>
                <c:pt idx="0">
                  <c:v>No</c:v>
                </c:pt>
              </c:strCache>
            </c:strRef>
          </c:tx>
          <c:spPr>
            <a:ln w="28575" cap="rnd">
              <a:solidFill>
                <a:schemeClr val="accent6"/>
              </a:solidFill>
              <a:round/>
            </a:ln>
            <a:effectLst/>
          </c:spPr>
          <c:marker>
            <c:symbol val="none"/>
          </c:marker>
          <c:dLbls>
            <c:spPr>
              <a:noFill/>
              <a:ln>
                <a:noFill/>
              </a:ln>
              <a:effectLst/>
            </c:spPr>
            <c:txPr>
              <a:bodyPr rot="0" spcFirstLastPara="1" vertOverflow="ellipsis" vert="horz" wrap="square" anchor="ctr" anchorCtr="1"/>
              <a:lstStyle/>
              <a:p>
                <a:pPr>
                  <a:defRPr sz="12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Sheet3!$A$75:$A$80</c:f>
              <c:strCache>
                <c:ptCount val="5"/>
                <c:pt idx="0">
                  <c:v>Bachelors</c:v>
                </c:pt>
                <c:pt idx="1">
                  <c:v>Graduate Degree</c:v>
                </c:pt>
                <c:pt idx="2">
                  <c:v>High School</c:v>
                </c:pt>
                <c:pt idx="3">
                  <c:v>Partial College</c:v>
                </c:pt>
                <c:pt idx="4">
                  <c:v>Partial High School</c:v>
                </c:pt>
              </c:strCache>
            </c:strRef>
          </c:cat>
          <c:val>
            <c:numRef>
              <c:f>Sheet3!$B$75:$B$80</c:f>
              <c:numCache>
                <c:formatCode>General</c:formatCode>
                <c:ptCount val="5"/>
                <c:pt idx="0">
                  <c:v>137</c:v>
                </c:pt>
                <c:pt idx="1">
                  <c:v>80</c:v>
                </c:pt>
                <c:pt idx="2">
                  <c:v>100</c:v>
                </c:pt>
                <c:pt idx="3">
                  <c:v>146</c:v>
                </c:pt>
                <c:pt idx="4">
                  <c:v>56</c:v>
                </c:pt>
              </c:numCache>
            </c:numRef>
          </c:val>
          <c:smooth val="0"/>
          <c:extLst>
            <c:ext xmlns:c16="http://schemas.microsoft.com/office/drawing/2014/chart" uri="{C3380CC4-5D6E-409C-BE32-E72D297353CC}">
              <c16:uniqueId val="{00000000-DD98-4FF3-AEFF-4DC0E7F03C94}"/>
            </c:ext>
          </c:extLst>
        </c:ser>
        <c:ser>
          <c:idx val="1"/>
          <c:order val="1"/>
          <c:tx>
            <c:strRef>
              <c:f>Sheet3!$C$73:$C$74</c:f>
              <c:strCache>
                <c:ptCount val="1"/>
                <c:pt idx="0">
                  <c:v>Yes</c:v>
                </c:pt>
              </c:strCache>
            </c:strRef>
          </c:tx>
          <c:spPr>
            <a:ln w="28575" cap="rnd">
              <a:solidFill>
                <a:schemeClr val="accent5"/>
              </a:solidFill>
              <a:round/>
            </a:ln>
            <a:effectLst/>
          </c:spPr>
          <c:marker>
            <c:symbol val="none"/>
          </c:marker>
          <c:dLbls>
            <c:spPr>
              <a:noFill/>
              <a:ln>
                <a:noFill/>
              </a:ln>
              <a:effectLst/>
            </c:spPr>
            <c:txPr>
              <a:bodyPr rot="0" spcFirstLastPara="1" vertOverflow="ellipsis" vert="horz" wrap="square" anchor="ctr" anchorCtr="1"/>
              <a:lstStyle/>
              <a:p>
                <a:pPr>
                  <a:defRPr sz="12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Sheet3!$A$75:$A$80</c:f>
              <c:strCache>
                <c:ptCount val="5"/>
                <c:pt idx="0">
                  <c:v>Bachelors</c:v>
                </c:pt>
                <c:pt idx="1">
                  <c:v>Graduate Degree</c:v>
                </c:pt>
                <c:pt idx="2">
                  <c:v>High School</c:v>
                </c:pt>
                <c:pt idx="3">
                  <c:v>Partial College</c:v>
                </c:pt>
                <c:pt idx="4">
                  <c:v>Partial High School</c:v>
                </c:pt>
              </c:strCache>
            </c:strRef>
          </c:cat>
          <c:val>
            <c:numRef>
              <c:f>Sheet3!$C$75:$C$80</c:f>
              <c:numCache>
                <c:formatCode>General</c:formatCode>
                <c:ptCount val="5"/>
                <c:pt idx="0">
                  <c:v>169</c:v>
                </c:pt>
                <c:pt idx="1">
                  <c:v>94</c:v>
                </c:pt>
                <c:pt idx="2">
                  <c:v>79</c:v>
                </c:pt>
                <c:pt idx="3">
                  <c:v>119</c:v>
                </c:pt>
                <c:pt idx="4">
                  <c:v>20</c:v>
                </c:pt>
              </c:numCache>
            </c:numRef>
          </c:val>
          <c:smooth val="0"/>
          <c:extLst>
            <c:ext xmlns:c16="http://schemas.microsoft.com/office/drawing/2014/chart" uri="{C3380CC4-5D6E-409C-BE32-E72D297353CC}">
              <c16:uniqueId val="{00000001-DD98-4FF3-AEFF-4DC0E7F03C94}"/>
            </c:ext>
          </c:extLst>
        </c:ser>
        <c:dLbls>
          <c:dLblPos val="t"/>
          <c:showLegendKey val="0"/>
          <c:showVal val="1"/>
          <c:showCatName val="0"/>
          <c:showSerName val="0"/>
          <c:showPercent val="0"/>
          <c:showBubbleSize val="0"/>
        </c:dLbls>
        <c:smooth val="0"/>
        <c:axId val="2086799296"/>
        <c:axId val="1558328192"/>
      </c:lineChart>
      <c:catAx>
        <c:axId val="208679929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558328192"/>
        <c:crosses val="autoZero"/>
        <c:auto val="1"/>
        <c:lblAlgn val="ctr"/>
        <c:lblOffset val="100"/>
        <c:noMultiLvlLbl val="0"/>
      </c:catAx>
      <c:valAx>
        <c:axId val="1558328192"/>
        <c:scaling>
          <c:orientation val="minMax"/>
        </c:scaling>
        <c:delete val="1"/>
        <c:axPos val="l"/>
        <c:numFmt formatCode="General" sourceLinked="1"/>
        <c:majorTickMark val="out"/>
        <c:minorTickMark val="none"/>
        <c:tickLblPos val="nextTo"/>
        <c:crossAx val="2086799296"/>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blipFill>
      <a:blip xmlns:r="http://schemas.openxmlformats.org/officeDocument/2006/relationships" r:embed="rId3"/>
      <a:tile tx="0" ty="0" sx="100000" sy="100000" flip="none" algn="tl"/>
    </a:blip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survey cleaned Dataset &amp; Dshboard.xlsx]Sheet3!PivotTable7</c:name>
    <c:fmtId val="0"/>
  </c:pivotSource>
  <c:chart>
    <c:title>
      <c:overlay val="0"/>
      <c:spPr>
        <a:noFill/>
        <a:ln>
          <a:noFill/>
        </a:ln>
        <a:effectLst/>
      </c:spPr>
      <c:txPr>
        <a:bodyPr rot="0" spcFirstLastPara="1" vertOverflow="ellipsis" vert="horz" wrap="square" anchor="ctr" anchorCtr="1"/>
        <a:lstStyle/>
        <a:p>
          <a:pPr>
            <a:defRPr sz="144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6"/>
            </a:solidFill>
            <a:round/>
          </a:ln>
          <a:effectLst/>
        </c:spPr>
        <c:marker>
          <c:symbol val="none"/>
        </c:marker>
        <c:dLbl>
          <c:idx val="0"/>
          <c:spPr>
            <a:noFill/>
            <a:ln>
              <a:noFill/>
            </a:ln>
            <a:effectLst/>
          </c:spPr>
          <c:txPr>
            <a:bodyPr rot="0" spcFirstLastPara="1" vertOverflow="ellipsis" vert="horz" wrap="square" anchor="ctr" anchorCtr="1"/>
            <a:lstStyle/>
            <a:p>
              <a:pPr>
                <a:defRPr sz="12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ln w="28575" cap="rnd">
            <a:solidFill>
              <a:schemeClr val="accent6"/>
            </a:solidFill>
            <a:round/>
          </a:ln>
          <a:effectLst/>
        </c:spPr>
        <c:marker>
          <c:symbol val="none"/>
        </c:marker>
        <c:dLbl>
          <c:idx val="0"/>
          <c:spPr>
            <a:noFill/>
            <a:ln>
              <a:noFill/>
            </a:ln>
            <a:effectLst/>
          </c:spPr>
          <c:txPr>
            <a:bodyPr rot="0" spcFirstLastPara="1" vertOverflow="ellipsis" vert="horz" wrap="square" anchor="ctr" anchorCtr="1"/>
            <a:lstStyle/>
            <a:p>
              <a:pPr>
                <a:defRPr sz="12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6"/>
            </a:solidFill>
            <a:round/>
          </a:ln>
          <a:effectLst/>
        </c:spPr>
        <c:marker>
          <c:symbol val="none"/>
        </c:marker>
        <c:dLbl>
          <c:idx val="0"/>
          <c:layout>
            <c:manualLayout>
              <c:x val="-5.4388888888888938E-2"/>
              <c:y val="3.5532589676290464E-2"/>
            </c:manualLayout>
          </c:layout>
          <c:spPr>
            <a:noFill/>
            <a:ln>
              <a:noFill/>
            </a:ln>
            <a:effectLst/>
          </c:spPr>
          <c:txPr>
            <a:bodyPr rot="0" spcFirstLastPara="1" vertOverflow="ellipsis" vert="horz" wrap="square" anchor="ctr" anchorCtr="1"/>
            <a:lstStyle/>
            <a:p>
              <a:pPr>
                <a:defRPr sz="1200" b="1"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
        <c:spPr>
          <a:ln w="28575" cap="rnd">
            <a:solidFill>
              <a:schemeClr val="accent6"/>
            </a:solidFill>
            <a:round/>
          </a:ln>
          <a:effectLst/>
        </c:spPr>
        <c:marker>
          <c:symbol val="none"/>
        </c:marker>
        <c:dLbl>
          <c:idx val="0"/>
          <c:layout>
            <c:manualLayout>
              <c:x val="-8.5055555555555551E-2"/>
              <c:y val="3.5532589676290464E-2"/>
            </c:manualLayout>
          </c:layout>
          <c:spPr>
            <a:noFill/>
            <a:ln>
              <a:noFill/>
            </a:ln>
            <a:effectLst/>
          </c:spPr>
          <c:txPr>
            <a:bodyPr rot="0" spcFirstLastPara="1" vertOverflow="ellipsis" vert="horz" wrap="square" anchor="ctr" anchorCtr="1"/>
            <a:lstStyle/>
            <a:p>
              <a:pPr>
                <a:defRPr sz="1200" b="1"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
        <c:spPr>
          <a:ln w="28575" cap="rnd">
            <a:solidFill>
              <a:schemeClr val="accent5"/>
            </a:solidFill>
            <a:round/>
          </a:ln>
          <a:effectLst/>
        </c:spPr>
        <c:marker>
          <c:symbol val="none"/>
        </c:marker>
        <c:dLbl>
          <c:idx val="0"/>
          <c:layout>
            <c:manualLayout>
              <c:x val="-3.4944444444444549E-2"/>
              <c:y val="8.1828885972586765E-2"/>
            </c:manualLayout>
          </c:layout>
          <c:spPr>
            <a:noFill/>
            <a:ln>
              <a:noFill/>
            </a:ln>
            <a:effectLst/>
          </c:spPr>
          <c:txPr>
            <a:bodyPr rot="0" spcFirstLastPara="1" vertOverflow="ellipsis" vert="horz" wrap="square" anchor="ctr" anchorCtr="1"/>
            <a:lstStyle/>
            <a:p>
              <a:pPr>
                <a:defRPr sz="1200" b="1"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5"/>
        <c:spPr>
          <a:ln w="28575" cap="rnd">
            <a:solidFill>
              <a:schemeClr val="accent5"/>
            </a:solidFill>
            <a:round/>
          </a:ln>
          <a:effectLst/>
        </c:spPr>
        <c:marker>
          <c:symbol val="none"/>
        </c:marker>
        <c:dLbl>
          <c:idx val="0"/>
          <c:layout>
            <c:manualLayout>
              <c:x val="-5.45E-2"/>
              <c:y val="7.2569626713327506E-2"/>
            </c:manualLayout>
          </c:layout>
          <c:spPr>
            <a:noFill/>
            <a:ln>
              <a:noFill/>
            </a:ln>
            <a:effectLst/>
          </c:spPr>
          <c:txPr>
            <a:bodyPr rot="0" spcFirstLastPara="1" vertOverflow="ellipsis" vert="horz" wrap="square" anchor="ctr" anchorCtr="1"/>
            <a:lstStyle/>
            <a:p>
              <a:pPr>
                <a:defRPr sz="1200" b="1"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Sheet3!$B$98:$B$99</c:f>
              <c:strCache>
                <c:ptCount val="1"/>
                <c:pt idx="0">
                  <c:v>No</c:v>
                </c:pt>
              </c:strCache>
            </c:strRef>
          </c:tx>
          <c:spPr>
            <a:ln w="28575" cap="rnd">
              <a:solidFill>
                <a:schemeClr val="accent6"/>
              </a:solidFill>
              <a:round/>
            </a:ln>
            <a:effectLst/>
          </c:spPr>
          <c:marker>
            <c:symbol val="none"/>
          </c:marker>
          <c:dLbls>
            <c:dLbl>
              <c:idx val="0"/>
              <c:layout>
                <c:manualLayout>
                  <c:x val="-8.5055555555555551E-2"/>
                  <c:y val="3.5532589676290464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AD5B-4352-BF62-5753A63F6299}"/>
                </c:ext>
              </c:extLst>
            </c:dLbl>
            <c:dLbl>
              <c:idx val="1"/>
              <c:layout>
                <c:manualLayout>
                  <c:x val="-5.4388888888888938E-2"/>
                  <c:y val="3.5532589676290464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AD5B-4352-BF62-5753A63F6299}"/>
                </c:ext>
              </c:extLst>
            </c:dLbl>
            <c:spPr>
              <a:noFill/>
              <a:ln>
                <a:noFill/>
              </a:ln>
              <a:effectLst/>
            </c:spPr>
            <c:txPr>
              <a:bodyPr rot="0" spcFirstLastPara="1" vertOverflow="ellipsis" vert="horz" wrap="square" anchor="ctr" anchorCtr="1"/>
              <a:lstStyle/>
              <a:p>
                <a:pPr>
                  <a:defRPr sz="12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errBars>
            <c:errDir val="y"/>
            <c:errBarType val="both"/>
            <c:errValType val="percentage"/>
            <c:noEndCap val="0"/>
            <c:val val="5"/>
            <c:spPr>
              <a:noFill/>
              <a:ln w="9525" cap="flat" cmpd="sng" algn="ctr">
                <a:solidFill>
                  <a:schemeClr val="tx1">
                    <a:lumMod val="65000"/>
                    <a:lumOff val="35000"/>
                  </a:schemeClr>
                </a:solidFill>
                <a:round/>
              </a:ln>
              <a:effectLst/>
            </c:spPr>
          </c:errBars>
          <c:cat>
            <c:strRef>
              <c:f>Sheet3!$A$100:$A$105</c:f>
              <c:strCache>
                <c:ptCount val="5"/>
                <c:pt idx="0">
                  <c:v>Bachelors</c:v>
                </c:pt>
                <c:pt idx="1">
                  <c:v>Graduate Degree</c:v>
                </c:pt>
                <c:pt idx="2">
                  <c:v>High School</c:v>
                </c:pt>
                <c:pt idx="3">
                  <c:v>Partial College</c:v>
                </c:pt>
                <c:pt idx="4">
                  <c:v>Partial High School</c:v>
                </c:pt>
              </c:strCache>
            </c:strRef>
          </c:cat>
          <c:val>
            <c:numRef>
              <c:f>Sheet3!$B$100:$B$105</c:f>
              <c:numCache>
                <c:formatCode>General</c:formatCode>
                <c:ptCount val="5"/>
                <c:pt idx="0">
                  <c:v>137</c:v>
                </c:pt>
                <c:pt idx="1">
                  <c:v>80</c:v>
                </c:pt>
                <c:pt idx="2">
                  <c:v>100</c:v>
                </c:pt>
                <c:pt idx="3">
                  <c:v>146</c:v>
                </c:pt>
                <c:pt idx="4">
                  <c:v>56</c:v>
                </c:pt>
              </c:numCache>
            </c:numRef>
          </c:val>
          <c:smooth val="0"/>
          <c:extLst>
            <c:ext xmlns:c16="http://schemas.microsoft.com/office/drawing/2014/chart" uri="{C3380CC4-5D6E-409C-BE32-E72D297353CC}">
              <c16:uniqueId val="{00000000-AD5B-4352-BF62-5753A63F6299}"/>
            </c:ext>
          </c:extLst>
        </c:ser>
        <c:ser>
          <c:idx val="1"/>
          <c:order val="1"/>
          <c:tx>
            <c:strRef>
              <c:f>Sheet3!$C$98:$C$99</c:f>
              <c:strCache>
                <c:ptCount val="1"/>
                <c:pt idx="0">
                  <c:v>Yes</c:v>
                </c:pt>
              </c:strCache>
            </c:strRef>
          </c:tx>
          <c:spPr>
            <a:ln w="28575" cap="rnd">
              <a:solidFill>
                <a:schemeClr val="accent5"/>
              </a:solidFill>
              <a:round/>
            </a:ln>
            <a:effectLst/>
          </c:spPr>
          <c:marker>
            <c:symbol val="none"/>
          </c:marker>
          <c:dLbls>
            <c:dLbl>
              <c:idx val="2"/>
              <c:layout>
                <c:manualLayout>
                  <c:x val="-3.4944444444444549E-2"/>
                  <c:y val="8.182888597258676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AD5B-4352-BF62-5753A63F6299}"/>
                </c:ext>
              </c:extLst>
            </c:dLbl>
            <c:dLbl>
              <c:idx val="3"/>
              <c:layout>
                <c:manualLayout>
                  <c:x val="-5.45E-2"/>
                  <c:y val="7.2569626713327506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AD5B-4352-BF62-5753A63F6299}"/>
                </c:ext>
              </c:extLst>
            </c:dLbl>
            <c:spPr>
              <a:noFill/>
              <a:ln>
                <a:noFill/>
              </a:ln>
              <a:effectLst/>
            </c:spPr>
            <c:txPr>
              <a:bodyPr rot="0" spcFirstLastPara="1" vertOverflow="ellipsis" vert="horz" wrap="square" anchor="ctr" anchorCtr="1"/>
              <a:lstStyle/>
              <a:p>
                <a:pPr>
                  <a:defRPr sz="12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errBars>
            <c:errDir val="y"/>
            <c:errBarType val="both"/>
            <c:errValType val="percentage"/>
            <c:noEndCap val="0"/>
            <c:val val="5"/>
            <c:spPr>
              <a:noFill/>
              <a:ln w="9525" cap="flat" cmpd="sng" algn="ctr">
                <a:solidFill>
                  <a:schemeClr val="tx1">
                    <a:lumMod val="65000"/>
                    <a:lumOff val="35000"/>
                  </a:schemeClr>
                </a:solidFill>
                <a:round/>
              </a:ln>
              <a:effectLst/>
            </c:spPr>
          </c:errBars>
          <c:cat>
            <c:strRef>
              <c:f>Sheet3!$A$100:$A$105</c:f>
              <c:strCache>
                <c:ptCount val="5"/>
                <c:pt idx="0">
                  <c:v>Bachelors</c:v>
                </c:pt>
                <c:pt idx="1">
                  <c:v>Graduate Degree</c:v>
                </c:pt>
                <c:pt idx="2">
                  <c:v>High School</c:v>
                </c:pt>
                <c:pt idx="3">
                  <c:v>Partial College</c:v>
                </c:pt>
                <c:pt idx="4">
                  <c:v>Partial High School</c:v>
                </c:pt>
              </c:strCache>
            </c:strRef>
          </c:cat>
          <c:val>
            <c:numRef>
              <c:f>Sheet3!$C$100:$C$105</c:f>
              <c:numCache>
                <c:formatCode>General</c:formatCode>
                <c:ptCount val="5"/>
                <c:pt idx="0">
                  <c:v>169</c:v>
                </c:pt>
                <c:pt idx="1">
                  <c:v>94</c:v>
                </c:pt>
                <c:pt idx="2">
                  <c:v>79</c:v>
                </c:pt>
                <c:pt idx="3">
                  <c:v>119</c:v>
                </c:pt>
                <c:pt idx="4">
                  <c:v>20</c:v>
                </c:pt>
              </c:numCache>
            </c:numRef>
          </c:val>
          <c:smooth val="0"/>
          <c:extLst>
            <c:ext xmlns:c16="http://schemas.microsoft.com/office/drawing/2014/chart" uri="{C3380CC4-5D6E-409C-BE32-E72D297353CC}">
              <c16:uniqueId val="{00000001-AD5B-4352-BF62-5753A63F6299}"/>
            </c:ext>
          </c:extLst>
        </c:ser>
        <c:dLbls>
          <c:dLblPos val="t"/>
          <c:showLegendKey val="0"/>
          <c:showVal val="1"/>
          <c:showCatName val="0"/>
          <c:showSerName val="0"/>
          <c:showPercent val="0"/>
          <c:showBubbleSize val="0"/>
        </c:dLbls>
        <c:smooth val="0"/>
        <c:axId val="573784192"/>
        <c:axId val="1741572768"/>
      </c:lineChart>
      <c:catAx>
        <c:axId val="5737841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crossAx val="1741572768"/>
        <c:crosses val="autoZero"/>
        <c:auto val="1"/>
        <c:lblAlgn val="ctr"/>
        <c:lblOffset val="100"/>
        <c:noMultiLvlLbl val="0"/>
      </c:catAx>
      <c:valAx>
        <c:axId val="1741572768"/>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crossAx val="57378419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blipFill>
      <a:blip xmlns:r="http://schemas.openxmlformats.org/officeDocument/2006/relationships" r:embed="rId3"/>
      <a:tile tx="0" ty="0" sx="100000" sy="100000" flip="none" algn="tl"/>
    </a:blipFill>
    <a:ln w="9525" cap="flat" cmpd="sng" algn="ctr">
      <a:solidFill>
        <a:schemeClr val="tx1">
          <a:lumMod val="15000"/>
          <a:lumOff val="85000"/>
        </a:schemeClr>
      </a:solidFill>
      <a:round/>
    </a:ln>
    <a:effectLst/>
  </c:spPr>
  <c:txPr>
    <a:bodyPr/>
    <a:lstStyle/>
    <a:p>
      <a:pPr>
        <a:defRPr sz="1200"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30">
  <cs:axisTitle>
    <cs:lnRef idx="0"/>
    <cs:fillRef idx="0"/>
    <cs:effectRef idx="0"/>
    <cs:fontRef idx="minor">
      <a:schemeClr val="dk1">
        <a:lumMod val="65000"/>
        <a:lumOff val="35000"/>
      </a:schemeClr>
    </cs:fontRef>
    <cs:defRPr sz="900" kern="1200" cap="all"/>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b="0" kern="1200" spc="20" baseline="0"/>
  </cs:categoryAxis>
  <cs:chartArea mods="allowNoLineOverride">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0"/>
    <cs:effectRef idx="0"/>
    <cs:fontRef idx="minor">
      <a:schemeClr val="dk1"/>
    </cs:fontRef>
    <cs:spPr>
      <a:ln w="22225" cap="rnd" cmpd="sng" algn="ctr">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cap="flat" cmpd="sng" algn="ctr">
        <a:solidFill>
          <a:schemeClr val="phClr"/>
        </a:solidFill>
        <a:round/>
      </a:ln>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dk1">
            <a:lumMod val="65000"/>
            <a:lumOff val="35000"/>
          </a:schemeClr>
        </a:solidFill>
      </a:ln>
    </cs:spPr>
  </cs:downBar>
  <cs:dropLine>
    <cs:lnRef idx="0"/>
    <cs:fillRef idx="0"/>
    <cs:effectRef idx="0"/>
    <cs:fontRef idx="minor">
      <a:schemeClr val="dk1"/>
    </cs:fontRef>
    <cs:spPr>
      <a:ln w="9525" cap="flat" cmpd="sng" algn="ctr">
        <a:solidFill>
          <a:schemeClr val="dk1">
            <a:lumMod val="35000"/>
            <a:lumOff val="65000"/>
            <a:alpha val="33000"/>
          </a:schemeClr>
        </a:solidFill>
        <a:round/>
      </a:ln>
    </cs:spPr>
  </cs:dropLine>
  <cs:errorBar>
    <cs:lnRef idx="0"/>
    <cs:fillRef idx="0"/>
    <cs:effectRef idx="0"/>
    <cs:fontRef idx="minor">
      <a:schemeClr val="dk1"/>
    </cs:fontRef>
    <cs:spPr>
      <a:ln w="9525">
        <a:solidFill>
          <a:schemeClr val="dk1">
            <a:lumMod val="65000"/>
            <a:lumOff val="35000"/>
          </a:schemeClr>
        </a:solidFill>
      </a:ln>
    </cs:spPr>
  </cs:errorBar>
  <cs:floor>
    <cs:lnRef idx="0"/>
    <cs:fillRef idx="0"/>
    <cs:effectRef idx="0"/>
    <cs:fontRef idx="minor">
      <a:schemeClr val="dk1"/>
    </cs:fontRef>
  </cs:floor>
  <cs:gridlineMajor>
    <cs:lnRef idx="0"/>
    <cs:fillRef idx="0"/>
    <cs:effectRef idx="0"/>
    <cs:fontRef idx="minor">
      <a:schemeClr val="dk1"/>
    </cs:fontRef>
    <cs:spPr>
      <a:ln>
        <a:solidFill>
          <a:schemeClr val="dk1">
            <a:lumMod val="15000"/>
            <a:lumOff val="85000"/>
          </a:schemeClr>
        </a:solidFill>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35000"/>
            <a:lumOff val="65000"/>
          </a:schemeClr>
        </a:solidFill>
      </a:ln>
    </cs:spPr>
  </cs:hiLoLine>
  <cs:leaderLine>
    <cs:lnRef idx="0"/>
    <cs:fillRef idx="0"/>
    <cs:effectRef idx="0"/>
    <cs:fontRef idx="minor">
      <a:schemeClr val="dk1"/>
    </cs:fontRef>
    <cs:spPr>
      <a:ln w="9525">
        <a:solidFill>
          <a:schemeClr val="dk1">
            <a:lumMod val="35000"/>
            <a:lumOff val="65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gradFill>
        <a:gsLst>
          <a:gs pos="100000">
            <a:schemeClr val="lt1">
              <a:lumMod val="95000"/>
            </a:schemeClr>
          </a:gs>
          <a:gs pos="0">
            <a:schemeClr val="lt1"/>
          </a:gs>
        </a:gsLst>
        <a:lin ang="5400000" scaled="0"/>
      </a:gradFill>
    </cs:spPr>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35000"/>
            <a:lumOff val="65000"/>
          </a:schemeClr>
        </a:solidFill>
        <a:prstDash val="dash"/>
      </a:ln>
    </cs:spPr>
  </cs:seriesLine>
  <cs:title>
    <cs:lnRef idx="0"/>
    <cs:fillRef idx="0"/>
    <cs:effectRef idx="0"/>
    <cs:fontRef idx="minor">
      <a:schemeClr val="dk1">
        <a:lumMod val="50000"/>
        <a:lumOff val="50000"/>
      </a:schemeClr>
    </cs:fontRef>
    <cs:defRPr sz="1400" kern="1200" cap="none" spc="2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65000"/>
        <a:lumOff val="35000"/>
      </a:schemeClr>
    </cs:fontRef>
    <cs:defRPr sz="900" kern="1200" spc="20" baseline="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30">
  <cs:axisTitle>
    <cs:lnRef idx="0"/>
    <cs:fillRef idx="0"/>
    <cs:effectRef idx="0"/>
    <cs:fontRef idx="minor">
      <a:schemeClr val="dk1">
        <a:lumMod val="65000"/>
        <a:lumOff val="35000"/>
      </a:schemeClr>
    </cs:fontRef>
    <cs:defRPr sz="900" kern="1200" cap="all"/>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b="0" kern="1200" spc="20" baseline="0"/>
  </cs:categoryAxis>
  <cs:chartArea mods="allowNoLineOverride">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0"/>
    <cs:effectRef idx="0"/>
    <cs:fontRef idx="minor">
      <a:schemeClr val="dk1"/>
    </cs:fontRef>
    <cs:spPr>
      <a:ln w="22225" cap="rnd" cmpd="sng" algn="ctr">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cap="flat" cmpd="sng" algn="ctr">
        <a:solidFill>
          <a:schemeClr val="phClr"/>
        </a:solidFill>
        <a:round/>
      </a:ln>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dk1">
            <a:lumMod val="65000"/>
            <a:lumOff val="35000"/>
          </a:schemeClr>
        </a:solidFill>
      </a:ln>
    </cs:spPr>
  </cs:downBar>
  <cs:dropLine>
    <cs:lnRef idx="0"/>
    <cs:fillRef idx="0"/>
    <cs:effectRef idx="0"/>
    <cs:fontRef idx="minor">
      <a:schemeClr val="dk1"/>
    </cs:fontRef>
    <cs:spPr>
      <a:ln w="9525" cap="flat" cmpd="sng" algn="ctr">
        <a:solidFill>
          <a:schemeClr val="dk1">
            <a:lumMod val="35000"/>
            <a:lumOff val="65000"/>
            <a:alpha val="33000"/>
          </a:schemeClr>
        </a:solidFill>
        <a:round/>
      </a:ln>
    </cs:spPr>
  </cs:dropLine>
  <cs:errorBar>
    <cs:lnRef idx="0"/>
    <cs:fillRef idx="0"/>
    <cs:effectRef idx="0"/>
    <cs:fontRef idx="minor">
      <a:schemeClr val="dk1"/>
    </cs:fontRef>
    <cs:spPr>
      <a:ln w="9525">
        <a:solidFill>
          <a:schemeClr val="dk1">
            <a:lumMod val="65000"/>
            <a:lumOff val="35000"/>
          </a:schemeClr>
        </a:solidFill>
      </a:ln>
    </cs:spPr>
  </cs:errorBar>
  <cs:floor>
    <cs:lnRef idx="0"/>
    <cs:fillRef idx="0"/>
    <cs:effectRef idx="0"/>
    <cs:fontRef idx="minor">
      <a:schemeClr val="dk1"/>
    </cs:fontRef>
  </cs:floor>
  <cs:gridlineMajor>
    <cs:lnRef idx="0"/>
    <cs:fillRef idx="0"/>
    <cs:effectRef idx="0"/>
    <cs:fontRef idx="minor">
      <a:schemeClr val="dk1"/>
    </cs:fontRef>
    <cs:spPr>
      <a:ln>
        <a:solidFill>
          <a:schemeClr val="dk1">
            <a:lumMod val="15000"/>
            <a:lumOff val="85000"/>
          </a:schemeClr>
        </a:solidFill>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35000"/>
            <a:lumOff val="65000"/>
          </a:schemeClr>
        </a:solidFill>
      </a:ln>
    </cs:spPr>
  </cs:hiLoLine>
  <cs:leaderLine>
    <cs:lnRef idx="0"/>
    <cs:fillRef idx="0"/>
    <cs:effectRef idx="0"/>
    <cs:fontRef idx="minor">
      <a:schemeClr val="dk1"/>
    </cs:fontRef>
    <cs:spPr>
      <a:ln w="9525">
        <a:solidFill>
          <a:schemeClr val="dk1">
            <a:lumMod val="35000"/>
            <a:lumOff val="65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gradFill>
        <a:gsLst>
          <a:gs pos="100000">
            <a:schemeClr val="lt1">
              <a:lumMod val="95000"/>
            </a:schemeClr>
          </a:gs>
          <a:gs pos="0">
            <a:schemeClr val="lt1"/>
          </a:gs>
        </a:gsLst>
        <a:lin ang="5400000" scaled="0"/>
      </a:gradFill>
    </cs:spPr>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35000"/>
            <a:lumOff val="65000"/>
          </a:schemeClr>
        </a:solidFill>
        <a:prstDash val="dash"/>
      </a:ln>
    </cs:spPr>
  </cs:seriesLine>
  <cs:title>
    <cs:lnRef idx="0"/>
    <cs:fillRef idx="0"/>
    <cs:effectRef idx="0"/>
    <cs:fontRef idx="minor">
      <a:schemeClr val="dk1">
        <a:lumMod val="50000"/>
        <a:lumOff val="50000"/>
      </a:schemeClr>
    </cs:fontRef>
    <cs:defRPr sz="1400" kern="1200" cap="none" spc="2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65000"/>
        <a:lumOff val="35000"/>
      </a:schemeClr>
    </cs:fontRef>
    <cs:defRPr sz="900" kern="1200" spc="20" baseline="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287">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styleClr val="auto"/>
    </cs:lnRef>
    <cs:fillRef idx="0">
      <cs:styleClr val="auto"/>
    </cs:fillRef>
    <cs:effectRef idx="0"/>
    <cs:fontRef idx="minor">
      <a:schemeClr val="tx1"/>
    </cs:fontRef>
    <cs:spPr>
      <a:pattFill prst="ltDnDiag">
        <a:fgClr>
          <a:schemeClr val="phClr"/>
        </a:fgClr>
        <a:bgClr>
          <a:schemeClr val="phClr">
            <a:lumMod val="20000"/>
            <a:lumOff val="80000"/>
          </a:schemeClr>
        </a:bgClr>
      </a:pattFill>
      <a:ln>
        <a:solidFill>
          <a:schemeClr val="phClr"/>
        </a:solidFill>
      </a:ln>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spPr>
      <a:solidFill>
        <a:schemeClr val="lt1"/>
      </a:solidFill>
      <a:sp3d/>
    </cs:spPr>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30">
  <cs:axisTitle>
    <cs:lnRef idx="0"/>
    <cs:fillRef idx="0"/>
    <cs:effectRef idx="0"/>
    <cs:fontRef idx="minor">
      <a:schemeClr val="dk1">
        <a:lumMod val="65000"/>
        <a:lumOff val="35000"/>
      </a:schemeClr>
    </cs:fontRef>
    <cs:defRPr sz="900" kern="1200" cap="all"/>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b="0" kern="1200" spc="20" baseline="0"/>
  </cs:categoryAxis>
  <cs:chartArea mods="allowNoLineOverride">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0"/>
    <cs:effectRef idx="0"/>
    <cs:fontRef idx="minor">
      <a:schemeClr val="dk1"/>
    </cs:fontRef>
    <cs:spPr>
      <a:ln w="22225" cap="rnd" cmpd="sng" algn="ctr">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cap="flat" cmpd="sng" algn="ctr">
        <a:solidFill>
          <a:schemeClr val="phClr"/>
        </a:solidFill>
        <a:round/>
      </a:ln>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dk1">
            <a:lumMod val="65000"/>
            <a:lumOff val="35000"/>
          </a:schemeClr>
        </a:solidFill>
      </a:ln>
    </cs:spPr>
  </cs:downBar>
  <cs:dropLine>
    <cs:lnRef idx="0"/>
    <cs:fillRef idx="0"/>
    <cs:effectRef idx="0"/>
    <cs:fontRef idx="minor">
      <a:schemeClr val="dk1"/>
    </cs:fontRef>
    <cs:spPr>
      <a:ln w="9525" cap="flat" cmpd="sng" algn="ctr">
        <a:solidFill>
          <a:schemeClr val="dk1">
            <a:lumMod val="35000"/>
            <a:lumOff val="65000"/>
            <a:alpha val="33000"/>
          </a:schemeClr>
        </a:solidFill>
        <a:round/>
      </a:ln>
    </cs:spPr>
  </cs:dropLine>
  <cs:errorBar>
    <cs:lnRef idx="0"/>
    <cs:fillRef idx="0"/>
    <cs:effectRef idx="0"/>
    <cs:fontRef idx="minor">
      <a:schemeClr val="dk1"/>
    </cs:fontRef>
    <cs:spPr>
      <a:ln w="9525">
        <a:solidFill>
          <a:schemeClr val="dk1">
            <a:lumMod val="65000"/>
            <a:lumOff val="35000"/>
          </a:schemeClr>
        </a:solidFill>
      </a:ln>
    </cs:spPr>
  </cs:errorBar>
  <cs:floor>
    <cs:lnRef idx="0"/>
    <cs:fillRef idx="0"/>
    <cs:effectRef idx="0"/>
    <cs:fontRef idx="minor">
      <a:schemeClr val="dk1"/>
    </cs:fontRef>
  </cs:floor>
  <cs:gridlineMajor>
    <cs:lnRef idx="0"/>
    <cs:fillRef idx="0"/>
    <cs:effectRef idx="0"/>
    <cs:fontRef idx="minor">
      <a:schemeClr val="dk1"/>
    </cs:fontRef>
    <cs:spPr>
      <a:ln>
        <a:solidFill>
          <a:schemeClr val="dk1">
            <a:lumMod val="15000"/>
            <a:lumOff val="85000"/>
          </a:schemeClr>
        </a:solidFill>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35000"/>
            <a:lumOff val="65000"/>
          </a:schemeClr>
        </a:solidFill>
      </a:ln>
    </cs:spPr>
  </cs:hiLoLine>
  <cs:leaderLine>
    <cs:lnRef idx="0"/>
    <cs:fillRef idx="0"/>
    <cs:effectRef idx="0"/>
    <cs:fontRef idx="minor">
      <a:schemeClr val="dk1"/>
    </cs:fontRef>
    <cs:spPr>
      <a:ln w="9525">
        <a:solidFill>
          <a:schemeClr val="dk1">
            <a:lumMod val="35000"/>
            <a:lumOff val="65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gradFill>
        <a:gsLst>
          <a:gs pos="100000">
            <a:schemeClr val="lt1">
              <a:lumMod val="95000"/>
            </a:schemeClr>
          </a:gs>
          <a:gs pos="0">
            <a:schemeClr val="lt1"/>
          </a:gs>
        </a:gsLst>
        <a:lin ang="5400000" scaled="0"/>
      </a:gradFill>
    </cs:spPr>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35000"/>
            <a:lumOff val="65000"/>
          </a:schemeClr>
        </a:solidFill>
        <a:prstDash val="dash"/>
      </a:ln>
    </cs:spPr>
  </cs:seriesLine>
  <cs:title>
    <cs:lnRef idx="0"/>
    <cs:fillRef idx="0"/>
    <cs:effectRef idx="0"/>
    <cs:fontRef idx="minor">
      <a:schemeClr val="dk1">
        <a:lumMod val="50000"/>
        <a:lumOff val="50000"/>
      </a:schemeClr>
    </cs:fontRef>
    <cs:defRPr sz="1400" kern="1200" cap="none" spc="2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65000"/>
        <a:lumOff val="35000"/>
      </a:schemeClr>
    </cs:fontRef>
    <cs:defRPr sz="900" kern="1200" spc="20" baseline="0"/>
  </cs:valueAxis>
  <cs:wall>
    <cs:lnRef idx="0"/>
    <cs:fillRef idx="0"/>
    <cs:effectRef idx="0"/>
    <cs:fontRef idx="minor">
      <a:schemeClr val="dk1"/>
    </cs:fontRef>
  </cs:wall>
</cs:chartStyle>
</file>

<file path=xl/charts/style14.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30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4.svg"/><Relationship Id="rId13" Type="http://schemas.openxmlformats.org/officeDocument/2006/relationships/chart" Target="../charts/chart6.xml"/><Relationship Id="rId3" Type="http://schemas.openxmlformats.org/officeDocument/2006/relationships/chart" Target="../charts/chart2.xml"/><Relationship Id="rId7" Type="http://schemas.openxmlformats.org/officeDocument/2006/relationships/image" Target="../media/image3.png"/><Relationship Id="rId12" Type="http://schemas.openxmlformats.org/officeDocument/2006/relationships/image" Target="../media/image8.svg"/><Relationship Id="rId2" Type="http://schemas.openxmlformats.org/officeDocument/2006/relationships/chart" Target="../charts/chart1.xml"/><Relationship Id="rId1" Type="http://schemas.openxmlformats.org/officeDocument/2006/relationships/image" Target="../media/image1.png"/><Relationship Id="rId6" Type="http://schemas.openxmlformats.org/officeDocument/2006/relationships/chart" Target="../charts/chart5.xml"/><Relationship Id="rId11" Type="http://schemas.openxmlformats.org/officeDocument/2006/relationships/image" Target="../media/image7.png"/><Relationship Id="rId5" Type="http://schemas.openxmlformats.org/officeDocument/2006/relationships/chart" Target="../charts/chart4.xml"/><Relationship Id="rId10" Type="http://schemas.openxmlformats.org/officeDocument/2006/relationships/image" Target="../media/image6.svg"/><Relationship Id="rId4" Type="http://schemas.openxmlformats.org/officeDocument/2006/relationships/chart" Target="../charts/chart3.xml"/><Relationship Id="rId9" Type="http://schemas.openxmlformats.org/officeDocument/2006/relationships/image" Target="../media/image5.png"/></Relationships>
</file>

<file path=xl/drawings/_rels/drawing2.xml.rels><?xml version="1.0" encoding="UTF-8" standalone="yes"?>
<Relationships xmlns="http://schemas.openxmlformats.org/package/2006/relationships"><Relationship Id="rId8" Type="http://schemas.openxmlformats.org/officeDocument/2006/relationships/chart" Target="../charts/chart14.xml"/><Relationship Id="rId3" Type="http://schemas.openxmlformats.org/officeDocument/2006/relationships/chart" Target="../charts/chart9.xml"/><Relationship Id="rId7" Type="http://schemas.openxmlformats.org/officeDocument/2006/relationships/chart" Target="../charts/chart13.xml"/><Relationship Id="rId12" Type="http://schemas.openxmlformats.org/officeDocument/2006/relationships/chart" Target="../charts/chart18.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11" Type="http://schemas.openxmlformats.org/officeDocument/2006/relationships/chart" Target="../charts/chart17.xml"/><Relationship Id="rId5" Type="http://schemas.openxmlformats.org/officeDocument/2006/relationships/chart" Target="../charts/chart11.xml"/><Relationship Id="rId10" Type="http://schemas.openxmlformats.org/officeDocument/2006/relationships/chart" Target="../charts/chart16.xml"/><Relationship Id="rId4" Type="http://schemas.openxmlformats.org/officeDocument/2006/relationships/chart" Target="../charts/chart10.xml"/><Relationship Id="rId9" Type="http://schemas.openxmlformats.org/officeDocument/2006/relationships/chart" Target="../charts/chart15.xml"/></Relationships>
</file>

<file path=xl/drawings/drawing1.xml><?xml version="1.0" encoding="utf-8"?>
<xdr:wsDr xmlns:xdr="http://schemas.openxmlformats.org/drawingml/2006/spreadsheetDrawing" xmlns:a="http://schemas.openxmlformats.org/drawingml/2006/main">
  <xdr:oneCellAnchor>
    <xdr:from>
      <xdr:col>4</xdr:col>
      <xdr:colOff>547971</xdr:colOff>
      <xdr:row>0</xdr:row>
      <xdr:rowOff>111499</xdr:rowOff>
    </xdr:from>
    <xdr:ext cx="8584826" cy="752474"/>
    <xdr:sp macro="" textlink="">
      <xdr:nvSpPr>
        <xdr:cNvPr id="3" name="Rectangle 2">
          <a:extLst>
            <a:ext uri="{FF2B5EF4-FFF2-40B4-BE49-F238E27FC236}">
              <a16:creationId xmlns:a16="http://schemas.microsoft.com/office/drawing/2014/main" id="{D1895219-3D40-A1F6-8C16-112410139226}"/>
            </a:ext>
          </a:extLst>
        </xdr:cNvPr>
        <xdr:cNvSpPr/>
      </xdr:nvSpPr>
      <xdr:spPr>
        <a:xfrm>
          <a:off x="2968442" y="111499"/>
          <a:ext cx="8584826" cy="752474"/>
        </a:xfrm>
        <a:prstGeom prst="rect">
          <a:avLst/>
        </a:prstGeom>
        <a:noFill/>
        <a:ln>
          <a:noFill/>
        </a:ln>
      </xdr:spPr>
      <xdr:txBody>
        <a:bodyPr wrap="square" lIns="91440" tIns="45720" rIns="91440" bIns="45720" anchor="ctr">
          <a:noAutofit/>
        </a:bodyPr>
        <a:lstStyle/>
        <a:p>
          <a:pPr algn="ctr"/>
          <a:r>
            <a:rPr lang="en-US" sz="3600" b="1" u="sng" cap="none" spc="0">
              <a:ln w="9525">
                <a:solidFill>
                  <a:schemeClr val="bg1">
                    <a:lumMod val="85000"/>
                  </a:schemeClr>
                </a:solidFill>
                <a:prstDash val="solid"/>
              </a:ln>
              <a:solidFill>
                <a:srgbClr val="00B0F0"/>
              </a:solidFill>
              <a:effectLst>
                <a:glow rad="228600">
                  <a:schemeClr val="accent4">
                    <a:satMod val="175000"/>
                    <a:alpha val="40000"/>
                  </a:schemeClr>
                </a:glow>
                <a:outerShdw blurRad="12700" dist="38100" dir="2700000" algn="tl" rotWithShape="0">
                  <a:schemeClr val="accent5">
                    <a:lumMod val="60000"/>
                    <a:lumOff val="40000"/>
                  </a:schemeClr>
                </a:outerShdw>
              </a:effectLst>
              <a:latin typeface="Britannic Bold" panose="020B0903060703020204" pitchFamily="34" charset="0"/>
              <a:ea typeface="+mn-ea"/>
              <a:cs typeface="+mn-cs"/>
            </a:rPr>
            <a:t>Bike Sales</a:t>
          </a:r>
          <a:r>
            <a:rPr lang="en-US" sz="3600" b="1" u="sng" cap="none" spc="0" baseline="0">
              <a:ln w="9525">
                <a:solidFill>
                  <a:schemeClr val="bg1">
                    <a:lumMod val="85000"/>
                  </a:schemeClr>
                </a:solidFill>
                <a:prstDash val="solid"/>
              </a:ln>
              <a:solidFill>
                <a:srgbClr val="00B0F0"/>
              </a:solidFill>
              <a:effectLst>
                <a:glow rad="228600">
                  <a:schemeClr val="accent4">
                    <a:satMod val="175000"/>
                    <a:alpha val="40000"/>
                  </a:schemeClr>
                </a:glow>
                <a:outerShdw blurRad="12700" dist="38100" dir="2700000" algn="tl" rotWithShape="0">
                  <a:schemeClr val="accent5">
                    <a:lumMod val="60000"/>
                    <a:lumOff val="40000"/>
                  </a:schemeClr>
                </a:outerShdw>
              </a:effectLst>
              <a:latin typeface="Britannic Bold" panose="020B0903060703020204" pitchFamily="34" charset="0"/>
              <a:ea typeface="+mn-ea"/>
              <a:cs typeface="+mn-cs"/>
            </a:rPr>
            <a:t> Survey &amp; Analysis</a:t>
          </a:r>
          <a:r>
            <a:rPr lang="en-US" sz="3600" b="1" u="sng" cap="none" spc="0">
              <a:ln w="9525">
                <a:solidFill>
                  <a:schemeClr val="bg1">
                    <a:lumMod val="85000"/>
                  </a:schemeClr>
                </a:solidFill>
                <a:prstDash val="solid"/>
              </a:ln>
              <a:solidFill>
                <a:srgbClr val="00B0F0"/>
              </a:solidFill>
              <a:effectLst>
                <a:glow rad="228600">
                  <a:schemeClr val="accent4">
                    <a:satMod val="175000"/>
                    <a:alpha val="40000"/>
                  </a:schemeClr>
                </a:glow>
                <a:outerShdw blurRad="12700" dist="38100" dir="2700000" algn="tl" rotWithShape="0">
                  <a:schemeClr val="accent5">
                    <a:lumMod val="60000"/>
                    <a:lumOff val="40000"/>
                  </a:schemeClr>
                </a:outerShdw>
              </a:effectLst>
              <a:latin typeface="Britannic Bold" panose="020B0903060703020204" pitchFamily="34" charset="0"/>
              <a:ea typeface="+mn-ea"/>
              <a:cs typeface="+mn-cs"/>
            </a:rPr>
            <a:t>  Dashboard</a:t>
          </a:r>
          <a:endParaRPr lang="en-US" sz="3600" b="1" cap="none" spc="0">
            <a:ln w="9525">
              <a:solidFill>
                <a:schemeClr val="bg1">
                  <a:lumMod val="85000"/>
                </a:schemeClr>
              </a:solidFill>
              <a:prstDash val="solid"/>
            </a:ln>
            <a:solidFill>
              <a:srgbClr val="00B0F0"/>
            </a:solidFill>
            <a:effectLst>
              <a:glow rad="228600">
                <a:schemeClr val="accent4">
                  <a:satMod val="175000"/>
                  <a:alpha val="40000"/>
                </a:schemeClr>
              </a:glow>
              <a:outerShdw blurRad="12700" dist="38100" dir="2700000" algn="tl" rotWithShape="0">
                <a:schemeClr val="accent5">
                  <a:lumMod val="60000"/>
                  <a:lumOff val="40000"/>
                </a:schemeClr>
              </a:outerShdw>
            </a:effectLst>
            <a:latin typeface="Britannic Bold" panose="020B0903060703020204" pitchFamily="34" charset="0"/>
          </a:endParaRPr>
        </a:p>
      </xdr:txBody>
    </xdr:sp>
    <xdr:clientData/>
  </xdr:oneCellAnchor>
  <xdr:twoCellAnchor editAs="oneCell">
    <xdr:from>
      <xdr:col>19</xdr:col>
      <xdr:colOff>63182</xdr:colOff>
      <xdr:row>0</xdr:row>
      <xdr:rowOff>11206</xdr:rowOff>
    </xdr:from>
    <xdr:to>
      <xdr:col>20</xdr:col>
      <xdr:colOff>477370</xdr:colOff>
      <xdr:row>5</xdr:row>
      <xdr:rowOff>125506</xdr:rowOff>
    </xdr:to>
    <xdr:pic>
      <xdr:nvPicPr>
        <xdr:cNvPr id="12" name="Picture 11" descr="Racing Motorcycle | ID#: 491 | Emoji.co.uk">
          <a:extLst>
            <a:ext uri="{FF2B5EF4-FFF2-40B4-BE49-F238E27FC236}">
              <a16:creationId xmlns:a16="http://schemas.microsoft.com/office/drawing/2014/main" id="{39C7B69D-9AB5-84D9-6310-28455C9C8709}"/>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1560417" y="11206"/>
          <a:ext cx="1019306" cy="1066800"/>
        </a:xfrm>
        <a:prstGeom prst="rect">
          <a:avLst/>
        </a:prstGeom>
        <a:noFill/>
        <a:effectLst>
          <a:glow rad="63500">
            <a:schemeClr val="accent4">
              <a:satMod val="175000"/>
              <a:alpha val="40000"/>
            </a:schemeClr>
          </a:glow>
          <a:outerShdw blurRad="152400" dist="317500" dir="5400000" sx="90000" sy="-19000" rotWithShape="0">
            <a:prstClr val="black">
              <a:alpha val="15000"/>
            </a:prstClr>
          </a:outerShdw>
          <a:reflection blurRad="6350" stA="50000" endA="295" endPos="92000" dist="101600" dir="5400000" sy="-100000" algn="bl" rotWithShape="0"/>
        </a:effectLst>
        <a:extLst>
          <a:ext uri="{909E8E84-426E-40DD-AFC4-6F175D3DCCD1}">
            <a14:hiddenFill xmlns:a14="http://schemas.microsoft.com/office/drawing/2010/main">
              <a:solidFill>
                <a:srgbClr val="FFFFFF"/>
              </a:solidFill>
            </a14:hiddenFill>
          </a:ext>
        </a:extLst>
      </xdr:spPr>
    </xdr:pic>
    <xdr:clientData/>
  </xdr:twoCellAnchor>
  <xdr:twoCellAnchor editAs="oneCell">
    <xdr:from>
      <xdr:col>19</xdr:col>
      <xdr:colOff>161925</xdr:colOff>
      <xdr:row>5</xdr:row>
      <xdr:rowOff>3362</xdr:rowOff>
    </xdr:from>
    <xdr:to>
      <xdr:col>22</xdr:col>
      <xdr:colOff>43022</xdr:colOff>
      <xdr:row>13</xdr:row>
      <xdr:rowOff>133397</xdr:rowOff>
    </xdr:to>
    <mc:AlternateContent xmlns:mc="http://schemas.openxmlformats.org/markup-compatibility/2006">
      <mc:Choice xmlns:a14="http://schemas.microsoft.com/office/drawing/2010/main" Requires="a14">
        <xdr:graphicFrame macro="">
          <xdr:nvGraphicFramePr>
            <xdr:cNvPr id="15" name="             age categories 1">
              <a:extLst>
                <a:ext uri="{FF2B5EF4-FFF2-40B4-BE49-F238E27FC236}">
                  <a16:creationId xmlns:a16="http://schemas.microsoft.com/office/drawing/2014/main" id="{56FEADB0-4A93-4DA2-8CE5-2FFA13C88DEC}"/>
                </a:ext>
              </a:extLst>
            </xdr:cNvPr>
            <xdr:cNvGraphicFramePr/>
          </xdr:nvGraphicFramePr>
          <xdr:xfrm>
            <a:off x="0" y="0"/>
            <a:ext cx="0" cy="0"/>
          </xdr:xfrm>
          <a:graphic>
            <a:graphicData uri="http://schemas.microsoft.com/office/drawing/2010/slicer">
              <sle:slicer xmlns:sle="http://schemas.microsoft.com/office/drawing/2010/slicer" name="             age categories 1"/>
            </a:graphicData>
          </a:graphic>
        </xdr:graphicFrame>
      </mc:Choice>
      <mc:Fallback>
        <xdr:sp macro="" textlink="">
          <xdr:nvSpPr>
            <xdr:cNvPr id="0" name=""/>
            <xdr:cNvSpPr>
              <a:spLocks noTextEdit="1"/>
            </xdr:cNvSpPr>
          </xdr:nvSpPr>
          <xdr:spPr>
            <a:xfrm>
              <a:off x="11659160" y="955862"/>
              <a:ext cx="1696450" cy="165403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xdr:col>
      <xdr:colOff>433666</xdr:colOff>
      <xdr:row>22</xdr:row>
      <xdr:rowOff>67235</xdr:rowOff>
    </xdr:from>
    <xdr:to>
      <xdr:col>12</xdr:col>
      <xdr:colOff>571500</xdr:colOff>
      <xdr:row>39</xdr:row>
      <xdr:rowOff>156883</xdr:rowOff>
    </xdr:to>
    <xdr:graphicFrame macro="">
      <xdr:nvGraphicFramePr>
        <xdr:cNvPr id="16" name="Chart 15">
          <a:extLst>
            <a:ext uri="{FF2B5EF4-FFF2-40B4-BE49-F238E27FC236}">
              <a16:creationId xmlns:a16="http://schemas.microsoft.com/office/drawing/2014/main" id="{1D2472B0-75B8-4B67-983A-A8AAB233264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144557</xdr:colOff>
      <xdr:row>22</xdr:row>
      <xdr:rowOff>99171</xdr:rowOff>
    </xdr:from>
    <xdr:to>
      <xdr:col>6</xdr:col>
      <xdr:colOff>425822</xdr:colOff>
      <xdr:row>39</xdr:row>
      <xdr:rowOff>137272</xdr:rowOff>
    </xdr:to>
    <xdr:graphicFrame macro="">
      <xdr:nvGraphicFramePr>
        <xdr:cNvPr id="18" name="Chart 17">
          <a:extLst>
            <a:ext uri="{FF2B5EF4-FFF2-40B4-BE49-F238E27FC236}">
              <a16:creationId xmlns:a16="http://schemas.microsoft.com/office/drawing/2014/main" id="{2A306E3B-DCDD-49EB-ADBB-3C5AA3E99CD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89646</xdr:colOff>
      <xdr:row>5</xdr:row>
      <xdr:rowOff>22413</xdr:rowOff>
    </xdr:from>
    <xdr:to>
      <xdr:col>6</xdr:col>
      <xdr:colOff>549087</xdr:colOff>
      <xdr:row>22</xdr:row>
      <xdr:rowOff>95595</xdr:rowOff>
    </xdr:to>
    <xdr:graphicFrame macro="">
      <xdr:nvGraphicFramePr>
        <xdr:cNvPr id="23" name="Chart 22">
          <a:extLst>
            <a:ext uri="{FF2B5EF4-FFF2-40B4-BE49-F238E27FC236}">
              <a16:creationId xmlns:a16="http://schemas.microsoft.com/office/drawing/2014/main" id="{D0C4264C-F632-4422-8669-FE689CF0467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22</xdr:col>
      <xdr:colOff>40902</xdr:colOff>
      <xdr:row>18</xdr:row>
      <xdr:rowOff>66675</xdr:rowOff>
    </xdr:from>
    <xdr:to>
      <xdr:col>24</xdr:col>
      <xdr:colOff>542925</xdr:colOff>
      <xdr:row>25</xdr:row>
      <xdr:rowOff>57150</xdr:rowOff>
    </xdr:to>
    <mc:AlternateContent xmlns:mc="http://schemas.openxmlformats.org/markup-compatibility/2006">
      <mc:Choice xmlns:a14="http://schemas.microsoft.com/office/drawing/2010/main" Requires="a14">
        <xdr:graphicFrame macro="">
          <xdr:nvGraphicFramePr>
            <xdr:cNvPr id="24" name="Region 1">
              <a:extLst>
                <a:ext uri="{FF2B5EF4-FFF2-40B4-BE49-F238E27FC236}">
                  <a16:creationId xmlns:a16="http://schemas.microsoft.com/office/drawing/2014/main" id="{CE0119F5-3220-4F2F-BAC1-5AB2BE3C8382}"/>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dr:sp macro="" textlink="">
          <xdr:nvSpPr>
            <xdr:cNvPr id="0" name=""/>
            <xdr:cNvSpPr>
              <a:spLocks noTextEdit="1"/>
            </xdr:cNvSpPr>
          </xdr:nvSpPr>
          <xdr:spPr>
            <a:xfrm>
              <a:off x="13353490" y="3495675"/>
              <a:ext cx="1712259" cy="13239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22</xdr:col>
      <xdr:colOff>31376</xdr:colOff>
      <xdr:row>13</xdr:row>
      <xdr:rowOff>132790</xdr:rowOff>
    </xdr:from>
    <xdr:to>
      <xdr:col>24</xdr:col>
      <xdr:colOff>533400</xdr:colOff>
      <xdr:row>18</xdr:row>
      <xdr:rowOff>75640</xdr:rowOff>
    </xdr:to>
    <mc:AlternateContent xmlns:mc="http://schemas.openxmlformats.org/markup-compatibility/2006">
      <mc:Choice xmlns:a14="http://schemas.microsoft.com/office/drawing/2010/main" Requires="a14">
        <xdr:graphicFrame macro="">
          <xdr:nvGraphicFramePr>
            <xdr:cNvPr id="26" name="Marital Status 1">
              <a:extLst>
                <a:ext uri="{FF2B5EF4-FFF2-40B4-BE49-F238E27FC236}">
                  <a16:creationId xmlns:a16="http://schemas.microsoft.com/office/drawing/2014/main" id="{A8C4458B-E210-4143-A599-B893841E3C56}"/>
                </a:ext>
              </a:extLst>
            </xdr:cNvPr>
            <xdr:cNvGraphicFramePr/>
          </xdr:nvGraphicFramePr>
          <xdr:xfrm>
            <a:off x="0" y="0"/>
            <a:ext cx="0" cy="0"/>
          </xdr:xfrm>
          <a:graphic>
            <a:graphicData uri="http://schemas.microsoft.com/office/drawing/2010/slicer">
              <sle:slicer xmlns:sle="http://schemas.microsoft.com/office/drawing/2010/slicer" name="Marital Status 1"/>
            </a:graphicData>
          </a:graphic>
        </xdr:graphicFrame>
      </mc:Choice>
      <mc:Fallback>
        <xdr:sp macro="" textlink="">
          <xdr:nvSpPr>
            <xdr:cNvPr id="0" name=""/>
            <xdr:cNvSpPr>
              <a:spLocks noTextEdit="1"/>
            </xdr:cNvSpPr>
          </xdr:nvSpPr>
          <xdr:spPr>
            <a:xfrm>
              <a:off x="13343964" y="2609290"/>
              <a:ext cx="1712260" cy="8953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22</xdr:col>
      <xdr:colOff>39221</xdr:colOff>
      <xdr:row>4</xdr:row>
      <xdr:rowOff>187698</xdr:rowOff>
    </xdr:from>
    <xdr:to>
      <xdr:col>24</xdr:col>
      <xdr:colOff>530038</xdr:colOff>
      <xdr:row>13</xdr:row>
      <xdr:rowOff>133350</xdr:rowOff>
    </xdr:to>
    <mc:AlternateContent xmlns:mc="http://schemas.openxmlformats.org/markup-compatibility/2006">
      <mc:Choice xmlns:a14="http://schemas.microsoft.com/office/drawing/2010/main" Requires="a14">
        <xdr:graphicFrame macro="">
          <xdr:nvGraphicFramePr>
            <xdr:cNvPr id="28" name="Cars">
              <a:extLst>
                <a:ext uri="{FF2B5EF4-FFF2-40B4-BE49-F238E27FC236}">
                  <a16:creationId xmlns:a16="http://schemas.microsoft.com/office/drawing/2014/main" id="{B414E113-FA2B-9D4A-AD32-A56826BFC19A}"/>
                </a:ext>
              </a:extLst>
            </xdr:cNvPr>
            <xdr:cNvGraphicFramePr/>
          </xdr:nvGraphicFramePr>
          <xdr:xfrm>
            <a:off x="0" y="0"/>
            <a:ext cx="0" cy="0"/>
          </xdr:xfrm>
          <a:graphic>
            <a:graphicData uri="http://schemas.microsoft.com/office/drawing/2010/slicer">
              <sle:slicer xmlns:sle="http://schemas.microsoft.com/office/drawing/2010/slicer" name="Cars"/>
            </a:graphicData>
          </a:graphic>
        </xdr:graphicFrame>
      </mc:Choice>
      <mc:Fallback>
        <xdr:sp macro="" textlink="">
          <xdr:nvSpPr>
            <xdr:cNvPr id="0" name=""/>
            <xdr:cNvSpPr>
              <a:spLocks noTextEdit="1"/>
            </xdr:cNvSpPr>
          </xdr:nvSpPr>
          <xdr:spPr>
            <a:xfrm>
              <a:off x="13351809" y="949698"/>
              <a:ext cx="1701053" cy="166015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22</xdr:col>
      <xdr:colOff>35859</xdr:colOff>
      <xdr:row>25</xdr:row>
      <xdr:rowOff>44262</xdr:rowOff>
    </xdr:from>
    <xdr:to>
      <xdr:col>24</xdr:col>
      <xdr:colOff>533400</xdr:colOff>
      <xdr:row>30</xdr:row>
      <xdr:rowOff>133909</xdr:rowOff>
    </xdr:to>
    <mc:AlternateContent xmlns:mc="http://schemas.openxmlformats.org/markup-compatibility/2006">
      <mc:Choice xmlns:a14="http://schemas.microsoft.com/office/drawing/2010/main" Requires="a14">
        <xdr:graphicFrame macro="">
          <xdr:nvGraphicFramePr>
            <xdr:cNvPr id="30" name="Gender 1">
              <a:extLst>
                <a:ext uri="{FF2B5EF4-FFF2-40B4-BE49-F238E27FC236}">
                  <a16:creationId xmlns:a16="http://schemas.microsoft.com/office/drawing/2014/main" id="{30E42028-A95E-4A0F-B9EA-AEBF9FB61593}"/>
                </a:ext>
              </a:extLst>
            </xdr:cNvPr>
            <xdr:cNvGraphicFramePr/>
          </xdr:nvGraphicFramePr>
          <xdr:xfrm>
            <a:off x="0" y="0"/>
            <a:ext cx="0" cy="0"/>
          </xdr:xfrm>
          <a:graphic>
            <a:graphicData uri="http://schemas.microsoft.com/office/drawing/2010/slicer">
              <sle:slicer xmlns:sle="http://schemas.microsoft.com/office/drawing/2010/slicer" name="Gender 1"/>
            </a:graphicData>
          </a:graphic>
        </xdr:graphicFrame>
      </mc:Choice>
      <mc:Fallback>
        <xdr:sp macro="" textlink="">
          <xdr:nvSpPr>
            <xdr:cNvPr id="0" name=""/>
            <xdr:cNvSpPr>
              <a:spLocks noTextEdit="1"/>
            </xdr:cNvSpPr>
          </xdr:nvSpPr>
          <xdr:spPr>
            <a:xfrm>
              <a:off x="13348447" y="4806762"/>
              <a:ext cx="1707777" cy="104214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171450</xdr:colOff>
      <xdr:row>13</xdr:row>
      <xdr:rowOff>128870</xdr:rowOff>
    </xdr:from>
    <xdr:to>
      <xdr:col>22</xdr:col>
      <xdr:colOff>31938</xdr:colOff>
      <xdr:row>18</xdr:row>
      <xdr:rowOff>66676</xdr:rowOff>
    </xdr:to>
    <mc:AlternateContent xmlns:mc="http://schemas.openxmlformats.org/markup-compatibility/2006">
      <mc:Choice xmlns:a14="http://schemas.microsoft.com/office/drawing/2010/main" Requires="a14">
        <xdr:graphicFrame macro="">
          <xdr:nvGraphicFramePr>
            <xdr:cNvPr id="5" name="Purchased Bike 1">
              <a:extLst>
                <a:ext uri="{FF2B5EF4-FFF2-40B4-BE49-F238E27FC236}">
                  <a16:creationId xmlns:a16="http://schemas.microsoft.com/office/drawing/2014/main" id="{1AC9D377-0724-4511-8011-8900B6247040}"/>
                </a:ext>
              </a:extLst>
            </xdr:cNvPr>
            <xdr:cNvGraphicFramePr/>
          </xdr:nvGraphicFramePr>
          <xdr:xfrm>
            <a:off x="0" y="0"/>
            <a:ext cx="0" cy="0"/>
          </xdr:xfrm>
          <a:graphic>
            <a:graphicData uri="http://schemas.microsoft.com/office/drawing/2010/slicer">
              <sle:slicer xmlns:sle="http://schemas.microsoft.com/office/drawing/2010/slicer" name="Purchased Bike 1"/>
            </a:graphicData>
          </a:graphic>
        </xdr:graphicFrame>
      </mc:Choice>
      <mc:Fallback>
        <xdr:sp macro="" textlink="">
          <xdr:nvSpPr>
            <xdr:cNvPr id="0" name=""/>
            <xdr:cNvSpPr>
              <a:spLocks noTextEdit="1"/>
            </xdr:cNvSpPr>
          </xdr:nvSpPr>
          <xdr:spPr>
            <a:xfrm>
              <a:off x="11668685" y="2605370"/>
              <a:ext cx="1675841" cy="89030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xdr:col>
      <xdr:colOff>549090</xdr:colOff>
      <xdr:row>5</xdr:row>
      <xdr:rowOff>22410</xdr:rowOff>
    </xdr:from>
    <xdr:to>
      <xdr:col>13</xdr:col>
      <xdr:colOff>549089</xdr:colOff>
      <xdr:row>22</xdr:row>
      <xdr:rowOff>67235</xdr:rowOff>
    </xdr:to>
    <xdr:graphicFrame macro="">
      <xdr:nvGraphicFramePr>
        <xdr:cNvPr id="4" name="Chart 3">
          <a:extLst>
            <a:ext uri="{FF2B5EF4-FFF2-40B4-BE49-F238E27FC236}">
              <a16:creationId xmlns:a16="http://schemas.microsoft.com/office/drawing/2014/main" id="{F8930D65-D4CA-48DE-9F1A-014905EE80E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19</xdr:col>
      <xdr:colOff>179296</xdr:colOff>
      <xdr:row>25</xdr:row>
      <xdr:rowOff>33056</xdr:rowOff>
    </xdr:from>
    <xdr:to>
      <xdr:col>22</xdr:col>
      <xdr:colOff>28575</xdr:colOff>
      <xdr:row>30</xdr:row>
      <xdr:rowOff>111499</xdr:rowOff>
    </xdr:to>
    <mc:AlternateContent xmlns:mc="http://schemas.openxmlformats.org/markup-compatibility/2006">
      <mc:Choice xmlns:a14="http://schemas.microsoft.com/office/drawing/2010/main" Requires="a14">
        <xdr:graphicFrame macro="">
          <xdr:nvGraphicFramePr>
            <xdr:cNvPr id="13" name="Home Owner 3">
              <a:extLst>
                <a:ext uri="{FF2B5EF4-FFF2-40B4-BE49-F238E27FC236}">
                  <a16:creationId xmlns:a16="http://schemas.microsoft.com/office/drawing/2014/main" id="{7B9CEC83-1FA4-4A8C-B13C-F32A4CA087CA}"/>
                </a:ext>
              </a:extLst>
            </xdr:cNvPr>
            <xdr:cNvGraphicFramePr/>
          </xdr:nvGraphicFramePr>
          <xdr:xfrm>
            <a:off x="0" y="0"/>
            <a:ext cx="0" cy="0"/>
          </xdr:xfrm>
          <a:graphic>
            <a:graphicData uri="http://schemas.microsoft.com/office/drawing/2010/slicer">
              <sle:slicer xmlns:sle="http://schemas.microsoft.com/office/drawing/2010/slicer" name="Home Owner 3"/>
            </a:graphicData>
          </a:graphic>
        </xdr:graphicFrame>
      </mc:Choice>
      <mc:Fallback>
        <xdr:sp macro="" textlink="">
          <xdr:nvSpPr>
            <xdr:cNvPr id="0" name=""/>
            <xdr:cNvSpPr>
              <a:spLocks noTextEdit="1"/>
            </xdr:cNvSpPr>
          </xdr:nvSpPr>
          <xdr:spPr>
            <a:xfrm>
              <a:off x="11676531" y="4795556"/>
              <a:ext cx="1664632" cy="103094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560294</xdr:colOff>
      <xdr:row>5</xdr:row>
      <xdr:rowOff>22412</xdr:rowOff>
    </xdr:from>
    <xdr:to>
      <xdr:col>19</xdr:col>
      <xdr:colOff>152400</xdr:colOff>
      <xdr:row>22</xdr:row>
      <xdr:rowOff>89647</xdr:rowOff>
    </xdr:to>
    <xdr:graphicFrame macro="">
      <xdr:nvGraphicFramePr>
        <xdr:cNvPr id="19" name="Chart 18">
          <a:extLst>
            <a:ext uri="{FF2B5EF4-FFF2-40B4-BE49-F238E27FC236}">
              <a16:creationId xmlns:a16="http://schemas.microsoft.com/office/drawing/2014/main" id="{190B491A-B4A6-48EF-B614-2744ACFB21F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23</xdr:col>
      <xdr:colOff>210354</xdr:colOff>
      <xdr:row>0</xdr:row>
      <xdr:rowOff>31058</xdr:rowOff>
    </xdr:from>
    <xdr:to>
      <xdr:col>24</xdr:col>
      <xdr:colOff>519636</xdr:colOff>
      <xdr:row>4</xdr:row>
      <xdr:rowOff>183458</xdr:rowOff>
    </xdr:to>
    <xdr:pic>
      <xdr:nvPicPr>
        <xdr:cNvPr id="35" name="Graphic 34" descr="Bar graph with downward trend with solid fill">
          <a:extLst>
            <a:ext uri="{FF2B5EF4-FFF2-40B4-BE49-F238E27FC236}">
              <a16:creationId xmlns:a16="http://schemas.microsoft.com/office/drawing/2014/main" id="{F2874464-F326-3CA3-CBF9-08DB953401F7}"/>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14128060" y="31058"/>
          <a:ext cx="914400" cy="914400"/>
        </a:xfrm>
        <a:prstGeom prst="rect">
          <a:avLst/>
        </a:prstGeom>
        <a:effectLst>
          <a:glow rad="63500">
            <a:schemeClr val="accent4">
              <a:satMod val="175000"/>
              <a:alpha val="40000"/>
            </a:schemeClr>
          </a:glow>
        </a:effectLst>
      </xdr:spPr>
    </xdr:pic>
    <xdr:clientData/>
  </xdr:twoCellAnchor>
  <xdr:twoCellAnchor editAs="oneCell">
    <xdr:from>
      <xdr:col>3</xdr:col>
      <xdr:colOff>123266</xdr:colOff>
      <xdr:row>0</xdr:row>
      <xdr:rowOff>22411</xdr:rowOff>
    </xdr:from>
    <xdr:to>
      <xdr:col>4</xdr:col>
      <xdr:colOff>423584</xdr:colOff>
      <xdr:row>4</xdr:row>
      <xdr:rowOff>174811</xdr:rowOff>
    </xdr:to>
    <xdr:pic>
      <xdr:nvPicPr>
        <xdr:cNvPr id="37" name="Graphic 36" descr="Presentation with pie chart with solid fill">
          <a:extLst>
            <a:ext uri="{FF2B5EF4-FFF2-40B4-BE49-F238E27FC236}">
              <a16:creationId xmlns:a16="http://schemas.microsoft.com/office/drawing/2014/main" id="{720D394B-E2EC-4A49-82DD-5EA5AEA4CC4E}"/>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1938619" y="22411"/>
          <a:ext cx="905436" cy="914400"/>
        </a:xfrm>
        <a:prstGeom prst="rect">
          <a:avLst/>
        </a:prstGeom>
        <a:effectLst>
          <a:glow rad="63500">
            <a:srgbClr val="FFC000">
              <a:satMod val="175000"/>
              <a:alpha val="40000"/>
            </a:srgbClr>
          </a:glow>
          <a:outerShdw blurRad="76200" dir="18900000" sy="23000" kx="-1200000" algn="bl" rotWithShape="0">
            <a:prstClr val="black">
              <a:alpha val="20000"/>
            </a:prstClr>
          </a:outerShdw>
        </a:effectLst>
      </xdr:spPr>
    </xdr:pic>
    <xdr:clientData/>
  </xdr:twoCellAnchor>
  <xdr:twoCellAnchor editAs="oneCell">
    <xdr:from>
      <xdr:col>0</xdr:col>
      <xdr:colOff>11206</xdr:colOff>
      <xdr:row>0</xdr:row>
      <xdr:rowOff>33617</xdr:rowOff>
    </xdr:from>
    <xdr:to>
      <xdr:col>1</xdr:col>
      <xdr:colOff>291353</xdr:colOff>
      <xdr:row>4</xdr:row>
      <xdr:rowOff>156882</xdr:rowOff>
    </xdr:to>
    <xdr:pic>
      <xdr:nvPicPr>
        <xdr:cNvPr id="39" name="Graphic 38" descr="Bar graph with upward trend with solid fill">
          <a:extLst>
            <a:ext uri="{FF2B5EF4-FFF2-40B4-BE49-F238E27FC236}">
              <a16:creationId xmlns:a16="http://schemas.microsoft.com/office/drawing/2014/main" id="{07C4B27A-8002-C344-1247-A6B309F39A6F}"/>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11206" y="33617"/>
          <a:ext cx="885265" cy="885265"/>
        </a:xfrm>
        <a:prstGeom prst="rect">
          <a:avLst/>
        </a:prstGeom>
        <a:effectLst>
          <a:glow rad="63500">
            <a:schemeClr val="accent2">
              <a:satMod val="175000"/>
              <a:alpha val="40000"/>
            </a:schemeClr>
          </a:glow>
        </a:effectLst>
      </xdr:spPr>
    </xdr:pic>
    <xdr:clientData/>
  </xdr:twoCellAnchor>
  <xdr:twoCellAnchor editAs="oneCell">
    <xdr:from>
      <xdr:col>19</xdr:col>
      <xdr:colOff>171450</xdr:colOff>
      <xdr:row>18</xdr:row>
      <xdr:rowOff>76200</xdr:rowOff>
    </xdr:from>
    <xdr:to>
      <xdr:col>22</xdr:col>
      <xdr:colOff>38100</xdr:colOff>
      <xdr:row>25</xdr:row>
      <xdr:rowOff>47625</xdr:rowOff>
    </xdr:to>
    <mc:AlternateContent xmlns:mc="http://schemas.openxmlformats.org/markup-compatibility/2006">
      <mc:Choice xmlns:a14="http://schemas.microsoft.com/office/drawing/2010/main" Requires="a14">
        <xdr:graphicFrame macro="">
          <xdr:nvGraphicFramePr>
            <xdr:cNvPr id="2" name="Education 3">
              <a:extLst>
                <a:ext uri="{FF2B5EF4-FFF2-40B4-BE49-F238E27FC236}">
                  <a16:creationId xmlns:a16="http://schemas.microsoft.com/office/drawing/2014/main" id="{2391CBCA-1FB5-4D40-9D32-B6E14F9E4B9F}"/>
                </a:ext>
              </a:extLst>
            </xdr:cNvPr>
            <xdr:cNvGraphicFramePr/>
          </xdr:nvGraphicFramePr>
          <xdr:xfrm>
            <a:off x="0" y="0"/>
            <a:ext cx="0" cy="0"/>
          </xdr:xfrm>
          <a:graphic>
            <a:graphicData uri="http://schemas.microsoft.com/office/drawing/2010/slicer">
              <sle:slicer xmlns:sle="http://schemas.microsoft.com/office/drawing/2010/slicer" name="Education 3"/>
            </a:graphicData>
          </a:graphic>
        </xdr:graphicFrame>
      </mc:Choice>
      <mc:Fallback>
        <xdr:sp macro="" textlink="">
          <xdr:nvSpPr>
            <xdr:cNvPr id="0" name=""/>
            <xdr:cNvSpPr>
              <a:spLocks noTextEdit="1"/>
            </xdr:cNvSpPr>
          </xdr:nvSpPr>
          <xdr:spPr>
            <a:xfrm>
              <a:off x="11668685" y="3505200"/>
              <a:ext cx="1682003" cy="13049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12</xdr:col>
      <xdr:colOff>523875</xdr:colOff>
      <xdr:row>22</xdr:row>
      <xdr:rowOff>57150</xdr:rowOff>
    </xdr:from>
    <xdr:to>
      <xdr:col>19</xdr:col>
      <xdr:colOff>190500</xdr:colOff>
      <xdr:row>39</xdr:row>
      <xdr:rowOff>171450</xdr:rowOff>
    </xdr:to>
    <xdr:graphicFrame macro="">
      <xdr:nvGraphicFramePr>
        <xdr:cNvPr id="7" name="Chart 6">
          <a:extLst>
            <a:ext uri="{FF2B5EF4-FFF2-40B4-BE49-F238E27FC236}">
              <a16:creationId xmlns:a16="http://schemas.microsoft.com/office/drawing/2014/main" id="{AFB92548-1CD4-4A70-967F-D97F430CBB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4</xdr:col>
      <xdr:colOff>190499</xdr:colOff>
      <xdr:row>1</xdr:row>
      <xdr:rowOff>187183</xdr:rowOff>
    </xdr:from>
    <xdr:to>
      <xdr:col>10</xdr:col>
      <xdr:colOff>628649</xdr:colOff>
      <xdr:row>16</xdr:row>
      <xdr:rowOff>177659</xdr:rowOff>
    </xdr:to>
    <xdr:graphicFrame macro="">
      <xdr:nvGraphicFramePr>
        <xdr:cNvPr id="2" name="Chart 1">
          <a:extLst>
            <a:ext uri="{FF2B5EF4-FFF2-40B4-BE49-F238E27FC236}">
              <a16:creationId xmlns:a16="http://schemas.microsoft.com/office/drawing/2014/main" id="{FF589AC9-B794-413C-B5A0-8860CADC9BA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373760</xdr:colOff>
      <xdr:row>17</xdr:row>
      <xdr:rowOff>71239</xdr:rowOff>
    </xdr:from>
    <xdr:to>
      <xdr:col>11</xdr:col>
      <xdr:colOff>91530</xdr:colOff>
      <xdr:row>32</xdr:row>
      <xdr:rowOff>185538</xdr:rowOff>
    </xdr:to>
    <xdr:graphicFrame macro="">
      <xdr:nvGraphicFramePr>
        <xdr:cNvPr id="3" name="Chart 2">
          <a:extLst>
            <a:ext uri="{FF2B5EF4-FFF2-40B4-BE49-F238E27FC236}">
              <a16:creationId xmlns:a16="http://schemas.microsoft.com/office/drawing/2014/main" id="{9448FD70-4CE3-1B5C-930C-5A18AA719A5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17</xdr:row>
      <xdr:rowOff>99392</xdr:rowOff>
    </xdr:from>
    <xdr:to>
      <xdr:col>6</xdr:col>
      <xdr:colOff>265043</xdr:colOff>
      <xdr:row>33</xdr:row>
      <xdr:rowOff>57978</xdr:rowOff>
    </xdr:to>
    <xdr:graphicFrame macro="">
      <xdr:nvGraphicFramePr>
        <xdr:cNvPr id="5" name="Chart 4">
          <a:extLst>
            <a:ext uri="{FF2B5EF4-FFF2-40B4-BE49-F238E27FC236}">
              <a16:creationId xmlns:a16="http://schemas.microsoft.com/office/drawing/2014/main" id="{181DEFC1-E7D6-3E2A-025A-24CBE838A35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oneCellAnchor>
    <xdr:from>
      <xdr:col>0</xdr:col>
      <xdr:colOff>0</xdr:colOff>
      <xdr:row>0</xdr:row>
      <xdr:rowOff>0</xdr:rowOff>
    </xdr:from>
    <xdr:ext cx="8315739" cy="414130"/>
    <xdr:sp macro="" textlink="">
      <xdr:nvSpPr>
        <xdr:cNvPr id="6" name="Rectangle 5">
          <a:extLst>
            <a:ext uri="{FF2B5EF4-FFF2-40B4-BE49-F238E27FC236}">
              <a16:creationId xmlns:a16="http://schemas.microsoft.com/office/drawing/2014/main" id="{D6C7564D-5DDE-6914-37AE-A726CE3C30E1}"/>
            </a:ext>
          </a:extLst>
        </xdr:cNvPr>
        <xdr:cNvSpPr/>
      </xdr:nvSpPr>
      <xdr:spPr>
        <a:xfrm>
          <a:off x="0" y="0"/>
          <a:ext cx="8315739" cy="414130"/>
        </a:xfrm>
        <a:prstGeom prst="rect">
          <a:avLst/>
        </a:prstGeom>
        <a:noFill/>
      </xdr:spPr>
      <xdr:txBody>
        <a:bodyPr wrap="square" lIns="91440" tIns="45720" rIns="91440" bIns="45720" anchor="b">
          <a:noAutofit/>
        </a:bodyPr>
        <a:lstStyle/>
        <a:p>
          <a:pPr algn="ctr"/>
          <a:r>
            <a:rPr lang="en-US" sz="2000" b="0" u="sng" cap="none" spc="0">
              <a:ln w="0"/>
              <a:solidFill>
                <a:srgbClr val="00B050"/>
              </a:solidFill>
              <a:effectLst>
                <a:outerShdw blurRad="38100" dist="25400" dir="5400000" algn="ctr" rotWithShape="0">
                  <a:srgbClr val="6E747A">
                    <a:alpha val="43000"/>
                  </a:srgbClr>
                </a:outerShdw>
              </a:effectLst>
              <a:latin typeface="Comic Sans MS" panose="030F0702030302020204" pitchFamily="66" charset="0"/>
            </a:rPr>
            <a:t>Bike Sales Analysis Dashboard</a:t>
          </a:r>
        </a:p>
      </xdr:txBody>
    </xdr:sp>
    <xdr:clientData/>
  </xdr:oneCellAnchor>
  <xdr:twoCellAnchor editAs="oneCell">
    <xdr:from>
      <xdr:col>0</xdr:col>
      <xdr:colOff>9938</xdr:colOff>
      <xdr:row>9</xdr:row>
      <xdr:rowOff>184703</xdr:rowOff>
    </xdr:from>
    <xdr:to>
      <xdr:col>3</xdr:col>
      <xdr:colOff>373132</xdr:colOff>
      <xdr:row>18</xdr:row>
      <xdr:rowOff>124238</xdr:rowOff>
    </xdr:to>
    <mc:AlternateContent xmlns:mc="http://schemas.openxmlformats.org/markup-compatibility/2006" xmlns:a14="http://schemas.microsoft.com/office/drawing/2010/main">
      <mc:Choice Requires="a14">
        <xdr:graphicFrame macro="">
          <xdr:nvGraphicFramePr>
            <xdr:cNvPr id="7" name="             age categories">
              <a:extLst>
                <a:ext uri="{FF2B5EF4-FFF2-40B4-BE49-F238E27FC236}">
                  <a16:creationId xmlns:a16="http://schemas.microsoft.com/office/drawing/2014/main" id="{46AAA7D2-E5B5-19D2-EB8B-2400F1BB1649}"/>
                </a:ext>
              </a:extLst>
            </xdr:cNvPr>
            <xdr:cNvGraphicFramePr/>
          </xdr:nvGraphicFramePr>
          <xdr:xfrm>
            <a:off x="0" y="0"/>
            <a:ext cx="0" cy="0"/>
          </xdr:xfrm>
          <a:graphic>
            <a:graphicData uri="http://schemas.microsoft.com/office/drawing/2010/slicer">
              <sle:slicer xmlns:sle="http://schemas.microsoft.com/office/drawing/2010/slicer" name="             age categories"/>
            </a:graphicData>
          </a:graphic>
        </xdr:graphicFrame>
      </mc:Choice>
      <mc:Fallback xmlns="">
        <xdr:sp macro="" textlink="">
          <xdr:nvSpPr>
            <xdr:cNvPr id="0" name=""/>
            <xdr:cNvSpPr>
              <a:spLocks noTextEdit="1"/>
            </xdr:cNvSpPr>
          </xdr:nvSpPr>
          <xdr:spPr>
            <a:xfrm>
              <a:off x="9938" y="1899203"/>
              <a:ext cx="2877507" cy="165403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428625</xdr:colOff>
      <xdr:row>35</xdr:row>
      <xdr:rowOff>4762</xdr:rowOff>
    </xdr:from>
    <xdr:to>
      <xdr:col>10</xdr:col>
      <xdr:colOff>647700</xdr:colOff>
      <xdr:row>49</xdr:row>
      <xdr:rowOff>80962</xdr:rowOff>
    </xdr:to>
    <xdr:graphicFrame macro="">
      <xdr:nvGraphicFramePr>
        <xdr:cNvPr id="12" name="Chart 11">
          <a:extLst>
            <a:ext uri="{FF2B5EF4-FFF2-40B4-BE49-F238E27FC236}">
              <a16:creationId xmlns:a16="http://schemas.microsoft.com/office/drawing/2014/main" id="{E9E4E5CB-D9C2-AF71-FEF6-CB5A37B5AE7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904875</xdr:colOff>
      <xdr:row>34</xdr:row>
      <xdr:rowOff>152399</xdr:rowOff>
    </xdr:from>
    <xdr:to>
      <xdr:col>3</xdr:col>
      <xdr:colOff>85725</xdr:colOff>
      <xdr:row>39</xdr:row>
      <xdr:rowOff>123825</xdr:rowOff>
    </xdr:to>
    <mc:AlternateContent xmlns:mc="http://schemas.openxmlformats.org/markup-compatibility/2006" xmlns:a14="http://schemas.microsoft.com/office/drawing/2010/main">
      <mc:Choice Requires="a14">
        <xdr:graphicFrame macro="">
          <xdr:nvGraphicFramePr>
            <xdr:cNvPr id="13" name="Gender">
              <a:extLst>
                <a:ext uri="{FF2B5EF4-FFF2-40B4-BE49-F238E27FC236}">
                  <a16:creationId xmlns:a16="http://schemas.microsoft.com/office/drawing/2014/main" id="{3638BFA8-E837-1C91-C7B2-ADA40C3851C4}"/>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904875" y="6629399"/>
              <a:ext cx="1695450" cy="92392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114300</xdr:colOff>
      <xdr:row>34</xdr:row>
      <xdr:rowOff>123826</xdr:rowOff>
    </xdr:from>
    <xdr:to>
      <xdr:col>10</xdr:col>
      <xdr:colOff>1190625</xdr:colOff>
      <xdr:row>44</xdr:row>
      <xdr:rowOff>161926</xdr:rowOff>
    </xdr:to>
    <mc:AlternateContent xmlns:mc="http://schemas.openxmlformats.org/markup-compatibility/2006" xmlns:a14="http://schemas.microsoft.com/office/drawing/2010/main">
      <mc:Choice Requires="a14">
        <xdr:graphicFrame macro="">
          <xdr:nvGraphicFramePr>
            <xdr:cNvPr id="14" name="Commute Distance">
              <a:extLst>
                <a:ext uri="{FF2B5EF4-FFF2-40B4-BE49-F238E27FC236}">
                  <a16:creationId xmlns:a16="http://schemas.microsoft.com/office/drawing/2014/main" id="{7A56C64D-A413-8793-27C1-4CF7CE193542}"/>
                </a:ext>
              </a:extLst>
            </xdr:cNvPr>
            <xdr:cNvGraphicFramePr/>
          </xdr:nvGraphicFramePr>
          <xdr:xfrm>
            <a:off x="0" y="0"/>
            <a:ext cx="0" cy="0"/>
          </xdr:xfrm>
          <a:graphic>
            <a:graphicData uri="http://schemas.microsoft.com/office/drawing/2010/slicer">
              <sle:slicer xmlns:sle="http://schemas.microsoft.com/office/drawing/2010/slicer" name="Commute Distance"/>
            </a:graphicData>
          </a:graphic>
        </xdr:graphicFrame>
      </mc:Choice>
      <mc:Fallback xmlns="">
        <xdr:sp macro="" textlink="">
          <xdr:nvSpPr>
            <xdr:cNvPr id="0" name=""/>
            <xdr:cNvSpPr>
              <a:spLocks noTextEdit="1"/>
            </xdr:cNvSpPr>
          </xdr:nvSpPr>
          <xdr:spPr>
            <a:xfrm>
              <a:off x="7086600" y="6600826"/>
              <a:ext cx="1828800" cy="19431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257175</xdr:colOff>
      <xdr:row>47</xdr:row>
      <xdr:rowOff>142875</xdr:rowOff>
    </xdr:from>
    <xdr:to>
      <xdr:col>17</xdr:col>
      <xdr:colOff>342900</xdr:colOff>
      <xdr:row>62</xdr:row>
      <xdr:rowOff>28575</xdr:rowOff>
    </xdr:to>
    <xdr:graphicFrame macro="">
      <xdr:nvGraphicFramePr>
        <xdr:cNvPr id="8" name="Chart 7">
          <a:extLst>
            <a:ext uri="{FF2B5EF4-FFF2-40B4-BE49-F238E27FC236}">
              <a16:creationId xmlns:a16="http://schemas.microsoft.com/office/drawing/2014/main" id="{ABEF53CA-E52F-4B5E-EF8D-7E5926F2D4C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10</xdr:col>
      <xdr:colOff>9525</xdr:colOff>
      <xdr:row>48</xdr:row>
      <xdr:rowOff>142875</xdr:rowOff>
    </xdr:from>
    <xdr:to>
      <xdr:col>11</xdr:col>
      <xdr:colOff>142875</xdr:colOff>
      <xdr:row>54</xdr:row>
      <xdr:rowOff>152400</xdr:rowOff>
    </xdr:to>
    <mc:AlternateContent xmlns:mc="http://schemas.openxmlformats.org/markup-compatibility/2006" xmlns:a14="http://schemas.microsoft.com/office/drawing/2010/main">
      <mc:Choice Requires="a14">
        <xdr:graphicFrame macro="">
          <xdr:nvGraphicFramePr>
            <xdr:cNvPr id="10" name="Region">
              <a:extLst>
                <a:ext uri="{FF2B5EF4-FFF2-40B4-BE49-F238E27FC236}">
                  <a16:creationId xmlns:a16="http://schemas.microsoft.com/office/drawing/2014/main" id="{EDDBA9AF-A575-F6E9-39AB-A16B2CFC1460}"/>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5276850" y="9286875"/>
              <a:ext cx="1657350" cy="11525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12</xdr:col>
      <xdr:colOff>0</xdr:colOff>
      <xdr:row>18</xdr:row>
      <xdr:rowOff>0</xdr:rowOff>
    </xdr:from>
    <xdr:to>
      <xdr:col>17</xdr:col>
      <xdr:colOff>760343</xdr:colOff>
      <xdr:row>33</xdr:row>
      <xdr:rowOff>149086</xdr:rowOff>
    </xdr:to>
    <xdr:graphicFrame macro="">
      <xdr:nvGraphicFramePr>
        <xdr:cNvPr id="17" name="Chart 16">
          <a:extLst>
            <a:ext uri="{FF2B5EF4-FFF2-40B4-BE49-F238E27FC236}">
              <a16:creationId xmlns:a16="http://schemas.microsoft.com/office/drawing/2014/main" id="{F8E91736-4D93-49ED-BA31-CE88C50E773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6</xdr:col>
      <xdr:colOff>47625</xdr:colOff>
      <xdr:row>8</xdr:row>
      <xdr:rowOff>0</xdr:rowOff>
    </xdr:from>
    <xdr:to>
      <xdr:col>7</xdr:col>
      <xdr:colOff>352425</xdr:colOff>
      <xdr:row>21</xdr:row>
      <xdr:rowOff>47625</xdr:rowOff>
    </xdr:to>
    <mc:AlternateContent xmlns:mc="http://schemas.openxmlformats.org/markup-compatibility/2006" xmlns:a14="http://schemas.microsoft.com/office/drawing/2010/main">
      <mc:Choice Requires="a14">
        <xdr:graphicFrame macro="">
          <xdr:nvGraphicFramePr>
            <xdr:cNvPr id="4" name="Purchased Bike 2">
              <a:extLst>
                <a:ext uri="{FF2B5EF4-FFF2-40B4-BE49-F238E27FC236}">
                  <a16:creationId xmlns:a16="http://schemas.microsoft.com/office/drawing/2014/main" id="{39F77340-A2C0-F917-8A0E-9080BADC437D}"/>
                </a:ext>
              </a:extLst>
            </xdr:cNvPr>
            <xdr:cNvGraphicFramePr/>
          </xdr:nvGraphicFramePr>
          <xdr:xfrm>
            <a:off x="0" y="0"/>
            <a:ext cx="0" cy="0"/>
          </xdr:xfrm>
          <a:graphic>
            <a:graphicData uri="http://schemas.microsoft.com/office/drawing/2010/slicer">
              <sle:slicer xmlns:sle="http://schemas.microsoft.com/office/drawing/2010/slicer" name="Purchased Bike 2"/>
            </a:graphicData>
          </a:graphic>
        </xdr:graphicFrame>
      </mc:Choice>
      <mc:Fallback xmlns="">
        <xdr:sp macro="" textlink="">
          <xdr:nvSpPr>
            <xdr:cNvPr id="0" name=""/>
            <xdr:cNvSpPr>
              <a:spLocks noTextEdit="1"/>
            </xdr:cNvSpPr>
          </xdr:nvSpPr>
          <xdr:spPr>
            <a:xfrm>
              <a:off x="4267200" y="15240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47625</xdr:colOff>
      <xdr:row>44</xdr:row>
      <xdr:rowOff>0</xdr:rowOff>
    </xdr:from>
    <xdr:to>
      <xdr:col>7</xdr:col>
      <xdr:colOff>352425</xdr:colOff>
      <xdr:row>48</xdr:row>
      <xdr:rowOff>123825</xdr:rowOff>
    </xdr:to>
    <mc:AlternateContent xmlns:mc="http://schemas.openxmlformats.org/markup-compatibility/2006" xmlns:a14="http://schemas.microsoft.com/office/drawing/2010/main">
      <mc:Choice Requires="a14">
        <xdr:graphicFrame macro="">
          <xdr:nvGraphicFramePr>
            <xdr:cNvPr id="16" name="Purchased Bike">
              <a:extLst>
                <a:ext uri="{FF2B5EF4-FFF2-40B4-BE49-F238E27FC236}">
                  <a16:creationId xmlns:a16="http://schemas.microsoft.com/office/drawing/2014/main" id="{E5C2B07F-CCD4-4F5B-FCE1-02BD5A0C52A7}"/>
                </a:ext>
              </a:extLst>
            </xdr:cNvPr>
            <xdr:cNvGraphicFramePr/>
          </xdr:nvGraphicFramePr>
          <xdr:xfrm>
            <a:off x="0" y="0"/>
            <a:ext cx="0" cy="0"/>
          </xdr:xfrm>
          <a:graphic>
            <a:graphicData uri="http://schemas.microsoft.com/office/drawing/2010/slicer">
              <sle:slicer xmlns:sle="http://schemas.microsoft.com/office/drawing/2010/slicer" name="Purchased Bike"/>
            </a:graphicData>
          </a:graphic>
        </xdr:graphicFrame>
      </mc:Choice>
      <mc:Fallback xmlns="">
        <xdr:sp macro="" textlink="">
          <xdr:nvSpPr>
            <xdr:cNvPr id="0" name=""/>
            <xdr:cNvSpPr>
              <a:spLocks noTextEdit="1"/>
            </xdr:cNvSpPr>
          </xdr:nvSpPr>
          <xdr:spPr>
            <a:xfrm>
              <a:off x="3819525" y="8382000"/>
              <a:ext cx="1828800" cy="8858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0</xdr:colOff>
      <xdr:row>56</xdr:row>
      <xdr:rowOff>9525</xdr:rowOff>
    </xdr:from>
    <xdr:to>
      <xdr:col>6</xdr:col>
      <xdr:colOff>352425</xdr:colOff>
      <xdr:row>70</xdr:row>
      <xdr:rowOff>85725</xdr:rowOff>
    </xdr:to>
    <xdr:graphicFrame macro="">
      <xdr:nvGraphicFramePr>
        <xdr:cNvPr id="19" name="Chart 18">
          <a:extLst>
            <a:ext uri="{FF2B5EF4-FFF2-40B4-BE49-F238E27FC236}">
              <a16:creationId xmlns:a16="http://schemas.microsoft.com/office/drawing/2014/main" id="{22589533-0ABC-09DD-3674-167084289E8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11</xdr:col>
      <xdr:colOff>714375</xdr:colOff>
      <xdr:row>64</xdr:row>
      <xdr:rowOff>1</xdr:rowOff>
    </xdr:from>
    <xdr:to>
      <xdr:col>12</xdr:col>
      <xdr:colOff>800100</xdr:colOff>
      <xdr:row>68</xdr:row>
      <xdr:rowOff>133351</xdr:rowOff>
    </xdr:to>
    <mc:AlternateContent xmlns:mc="http://schemas.openxmlformats.org/markup-compatibility/2006" xmlns:a14="http://schemas.microsoft.com/office/drawing/2010/main">
      <mc:Choice Requires="a14">
        <xdr:graphicFrame macro="">
          <xdr:nvGraphicFramePr>
            <xdr:cNvPr id="20" name="Home Owner">
              <a:extLst>
                <a:ext uri="{FF2B5EF4-FFF2-40B4-BE49-F238E27FC236}">
                  <a16:creationId xmlns:a16="http://schemas.microsoft.com/office/drawing/2014/main" id="{D0F1DFC4-6594-FC68-EC65-2EDC9DFF81B9}"/>
                </a:ext>
              </a:extLst>
            </xdr:cNvPr>
            <xdr:cNvGraphicFramePr/>
          </xdr:nvGraphicFramePr>
          <xdr:xfrm>
            <a:off x="0" y="0"/>
            <a:ext cx="0" cy="0"/>
          </xdr:xfrm>
          <a:graphic>
            <a:graphicData uri="http://schemas.microsoft.com/office/drawing/2010/slicer">
              <sle:slicer xmlns:sle="http://schemas.microsoft.com/office/drawing/2010/slicer" name="Home Owner"/>
            </a:graphicData>
          </a:graphic>
        </xdr:graphicFrame>
      </mc:Choice>
      <mc:Fallback xmlns="">
        <xdr:sp macro="" textlink="">
          <xdr:nvSpPr>
            <xdr:cNvPr id="0" name=""/>
            <xdr:cNvSpPr>
              <a:spLocks noTextEdit="1"/>
            </xdr:cNvSpPr>
          </xdr:nvSpPr>
          <xdr:spPr>
            <a:xfrm>
              <a:off x="9801225" y="12192001"/>
              <a:ext cx="1828800" cy="8953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11</xdr:col>
      <xdr:colOff>0</xdr:colOff>
      <xdr:row>36</xdr:row>
      <xdr:rowOff>0</xdr:rowOff>
    </xdr:from>
    <xdr:to>
      <xdr:col>15</xdr:col>
      <xdr:colOff>104775</xdr:colOff>
      <xdr:row>50</xdr:row>
      <xdr:rowOff>76200</xdr:rowOff>
    </xdr:to>
    <xdr:graphicFrame macro="">
      <xdr:nvGraphicFramePr>
        <xdr:cNvPr id="11" name="Chart 10">
          <a:extLst>
            <a:ext uri="{FF2B5EF4-FFF2-40B4-BE49-F238E27FC236}">
              <a16:creationId xmlns:a16="http://schemas.microsoft.com/office/drawing/2014/main" id="{BCA95F21-C5FA-47D1-B145-B02F92EF29F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6</xdr:col>
      <xdr:colOff>219075</xdr:colOff>
      <xdr:row>57</xdr:row>
      <xdr:rowOff>128586</xdr:rowOff>
    </xdr:from>
    <xdr:to>
      <xdr:col>10</xdr:col>
      <xdr:colOff>676275</xdr:colOff>
      <xdr:row>73</xdr:row>
      <xdr:rowOff>38099</xdr:rowOff>
    </xdr:to>
    <xdr:graphicFrame macro="">
      <xdr:nvGraphicFramePr>
        <xdr:cNvPr id="9" name="Chart 8">
          <a:extLst>
            <a:ext uri="{FF2B5EF4-FFF2-40B4-BE49-F238E27FC236}">
              <a16:creationId xmlns:a16="http://schemas.microsoft.com/office/drawing/2014/main" id="{76D45427-2EE2-1D42-E42C-2E37C1AE5CD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10</xdr:col>
      <xdr:colOff>695325</xdr:colOff>
      <xdr:row>55</xdr:row>
      <xdr:rowOff>76201</xdr:rowOff>
    </xdr:from>
    <xdr:to>
      <xdr:col>11</xdr:col>
      <xdr:colOff>1000125</xdr:colOff>
      <xdr:row>62</xdr:row>
      <xdr:rowOff>171451</xdr:rowOff>
    </xdr:to>
    <mc:AlternateContent xmlns:mc="http://schemas.openxmlformats.org/markup-compatibility/2006" xmlns:a14="http://schemas.microsoft.com/office/drawing/2010/main">
      <mc:Choice Requires="a14">
        <xdr:graphicFrame macro="">
          <xdr:nvGraphicFramePr>
            <xdr:cNvPr id="15" name="Home Owner 2">
              <a:extLst>
                <a:ext uri="{FF2B5EF4-FFF2-40B4-BE49-F238E27FC236}">
                  <a16:creationId xmlns:a16="http://schemas.microsoft.com/office/drawing/2014/main" id="{FDD89851-4830-FF80-0399-8DA3C398E3C3}"/>
                </a:ext>
              </a:extLst>
            </xdr:cNvPr>
            <xdr:cNvGraphicFramePr/>
          </xdr:nvGraphicFramePr>
          <xdr:xfrm>
            <a:off x="0" y="0"/>
            <a:ext cx="0" cy="0"/>
          </xdr:xfrm>
          <a:graphic>
            <a:graphicData uri="http://schemas.microsoft.com/office/drawing/2010/slicer">
              <sle:slicer xmlns:sle="http://schemas.microsoft.com/office/drawing/2010/slicer" name="Home Owner 2"/>
            </a:graphicData>
          </a:graphic>
        </xdr:graphicFrame>
      </mc:Choice>
      <mc:Fallback xmlns="">
        <xdr:sp macro="" textlink="">
          <xdr:nvSpPr>
            <xdr:cNvPr id="0" name=""/>
            <xdr:cNvSpPr>
              <a:spLocks noTextEdit="1"/>
            </xdr:cNvSpPr>
          </xdr:nvSpPr>
          <xdr:spPr>
            <a:xfrm>
              <a:off x="8258175" y="10553701"/>
              <a:ext cx="1828800" cy="14287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7</xdr:col>
      <xdr:colOff>200025</xdr:colOff>
      <xdr:row>80</xdr:row>
      <xdr:rowOff>66675</xdr:rowOff>
    </xdr:from>
    <xdr:to>
      <xdr:col>11</xdr:col>
      <xdr:colOff>719977</xdr:colOff>
      <xdr:row>97</xdr:row>
      <xdr:rowOff>156323</xdr:rowOff>
    </xdr:to>
    <xdr:graphicFrame macro="">
      <xdr:nvGraphicFramePr>
        <xdr:cNvPr id="23" name="Chart 22">
          <a:extLst>
            <a:ext uri="{FF2B5EF4-FFF2-40B4-BE49-F238E27FC236}">
              <a16:creationId xmlns:a16="http://schemas.microsoft.com/office/drawing/2014/main" id="{F00E8FA1-8F2F-4CAA-8098-EDA9ED46CB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6</xdr:col>
      <xdr:colOff>1714500</xdr:colOff>
      <xdr:row>76</xdr:row>
      <xdr:rowOff>85725</xdr:rowOff>
    </xdr:from>
    <xdr:to>
      <xdr:col>9</xdr:col>
      <xdr:colOff>314325</xdr:colOff>
      <xdr:row>89</xdr:row>
      <xdr:rowOff>133350</xdr:rowOff>
    </xdr:to>
    <mc:AlternateContent xmlns:mc="http://schemas.openxmlformats.org/markup-compatibility/2006" xmlns:a14="http://schemas.microsoft.com/office/drawing/2010/main">
      <mc:Choice Requires="a14">
        <xdr:graphicFrame macro="">
          <xdr:nvGraphicFramePr>
            <xdr:cNvPr id="24" name="Purchased Bike 3">
              <a:extLst>
                <a:ext uri="{FF2B5EF4-FFF2-40B4-BE49-F238E27FC236}">
                  <a16:creationId xmlns:a16="http://schemas.microsoft.com/office/drawing/2014/main" id="{6F6D5BE3-57D0-9659-933C-0069F318C136}"/>
                </a:ext>
              </a:extLst>
            </xdr:cNvPr>
            <xdr:cNvGraphicFramePr/>
          </xdr:nvGraphicFramePr>
          <xdr:xfrm>
            <a:off x="0" y="0"/>
            <a:ext cx="0" cy="0"/>
          </xdr:xfrm>
          <a:graphic>
            <a:graphicData uri="http://schemas.microsoft.com/office/drawing/2010/slicer">
              <sle:slicer xmlns:sle="http://schemas.microsoft.com/office/drawing/2010/slicer" name="Purchased Bike 3"/>
            </a:graphicData>
          </a:graphic>
        </xdr:graphicFrame>
      </mc:Choice>
      <mc:Fallback xmlns="">
        <xdr:sp macro="" textlink="">
          <xdr:nvSpPr>
            <xdr:cNvPr id="0" name=""/>
            <xdr:cNvSpPr>
              <a:spLocks noTextEdit="1"/>
            </xdr:cNvSpPr>
          </xdr:nvSpPr>
          <xdr:spPr>
            <a:xfrm>
              <a:off x="5295900" y="14563725"/>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9</xdr:col>
      <xdr:colOff>161925</xdr:colOff>
      <xdr:row>82</xdr:row>
      <xdr:rowOff>119062</xdr:rowOff>
    </xdr:from>
    <xdr:to>
      <xdr:col>12</xdr:col>
      <xdr:colOff>371475</xdr:colOff>
      <xdr:row>97</xdr:row>
      <xdr:rowOff>4762</xdr:rowOff>
    </xdr:to>
    <xdr:graphicFrame macro="">
      <xdr:nvGraphicFramePr>
        <xdr:cNvPr id="25" name="Chart 24">
          <a:extLst>
            <a:ext uri="{FF2B5EF4-FFF2-40B4-BE49-F238E27FC236}">
              <a16:creationId xmlns:a16="http://schemas.microsoft.com/office/drawing/2014/main" id="{68A51E23-5D28-6086-DC56-8E805EBD5BA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0</xdr:col>
      <xdr:colOff>561975</xdr:colOff>
      <xdr:row>88</xdr:row>
      <xdr:rowOff>95250</xdr:rowOff>
    </xdr:from>
    <xdr:to>
      <xdr:col>2</xdr:col>
      <xdr:colOff>276225</xdr:colOff>
      <xdr:row>93</xdr:row>
      <xdr:rowOff>85725</xdr:rowOff>
    </xdr:to>
    <mc:AlternateContent xmlns:mc="http://schemas.openxmlformats.org/markup-compatibility/2006" xmlns:a14="http://schemas.microsoft.com/office/drawing/2010/main">
      <mc:Choice Requires="a14">
        <xdr:graphicFrame macro="">
          <xdr:nvGraphicFramePr>
            <xdr:cNvPr id="26" name="Education 1">
              <a:extLst>
                <a:ext uri="{FF2B5EF4-FFF2-40B4-BE49-F238E27FC236}">
                  <a16:creationId xmlns:a16="http://schemas.microsoft.com/office/drawing/2014/main" id="{346824E7-DB24-4D36-17FF-06B5BFBDF08B}"/>
                </a:ext>
              </a:extLst>
            </xdr:cNvPr>
            <xdr:cNvGraphicFramePr/>
          </xdr:nvGraphicFramePr>
          <xdr:xfrm>
            <a:off x="0" y="0"/>
            <a:ext cx="0" cy="0"/>
          </xdr:xfrm>
          <a:graphic>
            <a:graphicData uri="http://schemas.microsoft.com/office/drawing/2010/slicer">
              <sle:slicer xmlns:sle="http://schemas.microsoft.com/office/drawing/2010/slicer" name="Education 1"/>
            </a:graphicData>
          </a:graphic>
        </xdr:graphicFrame>
      </mc:Choice>
      <mc:Fallback xmlns="">
        <xdr:sp macro="" textlink="">
          <xdr:nvSpPr>
            <xdr:cNvPr id="0" name=""/>
            <xdr:cNvSpPr>
              <a:spLocks noTextEdit="1"/>
            </xdr:cNvSpPr>
          </xdr:nvSpPr>
          <xdr:spPr>
            <a:xfrm>
              <a:off x="561975" y="168592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800100</xdr:colOff>
      <xdr:row>90</xdr:row>
      <xdr:rowOff>128587</xdr:rowOff>
    </xdr:from>
    <xdr:to>
      <xdr:col>6</xdr:col>
      <xdr:colOff>200025</xdr:colOff>
      <xdr:row>105</xdr:row>
      <xdr:rowOff>14287</xdr:rowOff>
    </xdr:to>
    <xdr:graphicFrame macro="">
      <xdr:nvGraphicFramePr>
        <xdr:cNvPr id="18" name="Chart 17">
          <a:extLst>
            <a:ext uri="{FF2B5EF4-FFF2-40B4-BE49-F238E27FC236}">
              <a16:creationId xmlns:a16="http://schemas.microsoft.com/office/drawing/2014/main" id="{ACAE9F0C-EAE4-AF58-3055-E78E73D953F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6</xdr:col>
      <xdr:colOff>438150</xdr:colOff>
      <xdr:row>91</xdr:row>
      <xdr:rowOff>19051</xdr:rowOff>
    </xdr:from>
    <xdr:to>
      <xdr:col>7</xdr:col>
      <xdr:colOff>742950</xdr:colOff>
      <xdr:row>100</xdr:row>
      <xdr:rowOff>38101</xdr:rowOff>
    </xdr:to>
    <mc:AlternateContent xmlns:mc="http://schemas.openxmlformats.org/markup-compatibility/2006">
      <mc:Choice xmlns:a14="http://schemas.microsoft.com/office/drawing/2010/main" Requires="a14">
        <xdr:graphicFrame macro="">
          <xdr:nvGraphicFramePr>
            <xdr:cNvPr id="21" name="Education 2">
              <a:extLst>
                <a:ext uri="{FF2B5EF4-FFF2-40B4-BE49-F238E27FC236}">
                  <a16:creationId xmlns:a16="http://schemas.microsoft.com/office/drawing/2014/main" id="{EB2C1AB1-25FF-8CBE-4914-3174BF14F287}"/>
                </a:ext>
              </a:extLst>
            </xdr:cNvPr>
            <xdr:cNvGraphicFramePr/>
          </xdr:nvGraphicFramePr>
          <xdr:xfrm>
            <a:off x="0" y="0"/>
            <a:ext cx="0" cy="0"/>
          </xdr:xfrm>
          <a:graphic>
            <a:graphicData uri="http://schemas.microsoft.com/office/drawing/2010/slicer">
              <sle:slicer xmlns:sle="http://schemas.microsoft.com/office/drawing/2010/slicer" name="Education 2"/>
            </a:graphicData>
          </a:graphic>
        </xdr:graphicFrame>
      </mc:Choice>
      <mc:Fallback>
        <xdr:sp macro="" textlink="">
          <xdr:nvSpPr>
            <xdr:cNvPr id="0" name=""/>
            <xdr:cNvSpPr>
              <a:spLocks noTextEdit="1"/>
            </xdr:cNvSpPr>
          </xdr:nvSpPr>
          <xdr:spPr>
            <a:xfrm>
              <a:off x="6762750" y="17354551"/>
              <a:ext cx="1828800" cy="17335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D RASHID ALI HAIDER" refreshedDate="46197.832053935184" createdVersion="8" refreshedVersion="8" minRefreshableVersion="3" recordCount="1000" xr:uid="{9DEC8223-B6B1-4B2E-86BF-53BAAC04DE17}">
  <cacheSource type="worksheet">
    <worksheetSource name="bike_buyers"/>
  </cacheSource>
  <cacheFields count="14">
    <cacheField name="ID" numFmtId="0">
      <sharedItems containsSemiMixedTypes="0" containsString="0" containsNumber="1" containsInteger="1" minValue="11000" maxValue="29447"/>
    </cacheField>
    <cacheField name="Marital Status" numFmtId="0">
      <sharedItems count="2">
        <s v="Married"/>
        <s v="Single"/>
      </sharedItems>
    </cacheField>
    <cacheField name="Gender" numFmtId="0">
      <sharedItems count="2">
        <s v="Female"/>
        <s v="Male"/>
      </sharedItems>
    </cacheField>
    <cacheField name="Income" numFmtId="1">
      <sharedItems containsSemiMixedTypes="0" containsString="0" containsNumber="1" containsInteger="1" minValue="10000" maxValue="170000"/>
    </cacheField>
    <cacheField name="Children" numFmtId="0">
      <sharedItems containsSemiMixedTypes="0" containsString="0" containsNumber="1" containsInteger="1" minValue="0" maxValue="5"/>
    </cacheField>
    <cacheField name="Education" numFmtId="0">
      <sharedItems count="5">
        <s v="Bachelors"/>
        <s v="Partial College"/>
        <s v="High School"/>
        <s v="Partial High School"/>
        <s v="Graduate Degree"/>
      </sharedItems>
    </cacheField>
    <cacheField name="Occupation" numFmtId="0">
      <sharedItems/>
    </cacheField>
    <cacheField name="Home Owner" numFmtId="0">
      <sharedItems count="2">
        <s v="Yes"/>
        <s v="No"/>
      </sharedItems>
    </cacheField>
    <cacheField name="Cars" numFmtId="0">
      <sharedItems containsSemiMixedTypes="0" containsString="0" containsNumber="1" containsInteger="1" minValue="0" maxValue="4" count="5">
        <n v="0"/>
        <n v="1"/>
        <n v="2"/>
        <n v="4"/>
        <n v="3"/>
      </sharedItems>
    </cacheField>
    <cacheField name="Commute Distance" numFmtId="0">
      <sharedItems count="6">
        <s v="0-1 Miles"/>
        <s v="2-5 Miles"/>
        <s v="5-10 Miles"/>
        <s v="1-2 Miles"/>
        <s v="more than 10 Miles"/>
        <s v="10+ Miles" u="1"/>
      </sharedItems>
    </cacheField>
    <cacheField name="Region" numFmtId="0">
      <sharedItems count="3">
        <s v="Europe"/>
        <s v="Pacific"/>
        <s v="North America"/>
      </sharedItems>
    </cacheField>
    <cacheField name="age categories" numFmtId="0">
      <sharedItems count="5">
        <s v="mature adult "/>
        <s v="middle age"/>
        <s v="adults"/>
        <s v="young adults"/>
        <s v="senior citizen"/>
      </sharedItems>
    </cacheField>
    <cacheField name="Age" numFmtId="0">
      <sharedItems containsSemiMixedTypes="0" containsString="0" containsNumber="1" containsInteger="1" minValue="25" maxValue="89"/>
    </cacheField>
    <cacheField name="Purchased Bike" numFmtId="0">
      <sharedItems count="2">
        <s v="No"/>
        <s v="Yes"/>
      </sharedItems>
    </cacheField>
  </cacheFields>
  <extLst>
    <ext xmlns:x14="http://schemas.microsoft.com/office/spreadsheetml/2009/9/main" uri="{725AE2AE-9491-48be-B2B4-4EB974FC3084}">
      <x14:pivotCacheDefinition pivotCacheId="1732761272"/>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D RASHID ALI HAIDER" refreshedDate="46238.828229976854" createdVersion="8" refreshedVersion="8" minRefreshableVersion="3" recordCount="1000" xr:uid="{A2C07B0B-913C-449E-917F-AB62C1A5D762}">
  <cacheSource type="worksheet">
    <worksheetSource name="bike_buyers"/>
  </cacheSource>
  <cacheFields count="14">
    <cacheField name="ID" numFmtId="0">
      <sharedItems containsSemiMixedTypes="0" containsString="0" containsNumber="1" containsInteger="1" minValue="11000" maxValue="29447"/>
    </cacheField>
    <cacheField name="Marital Status" numFmtId="0">
      <sharedItems/>
    </cacheField>
    <cacheField name="Gender" numFmtId="0">
      <sharedItems/>
    </cacheField>
    <cacheField name="Income" numFmtId="1">
      <sharedItems containsSemiMixedTypes="0" containsString="0" containsNumber="1" containsInteger="1" minValue="10000" maxValue="170000"/>
    </cacheField>
    <cacheField name="Children" numFmtId="0">
      <sharedItems containsSemiMixedTypes="0" containsString="0" containsNumber="1" containsInteger="1" minValue="0" maxValue="5"/>
    </cacheField>
    <cacheField name="Education" numFmtId="0">
      <sharedItems count="5">
        <s v="Bachelors"/>
        <s v="Partial College"/>
        <s v="High School"/>
        <s v="Partial High School"/>
        <s v="Graduate Degree"/>
      </sharedItems>
    </cacheField>
    <cacheField name="Occupation" numFmtId="0">
      <sharedItems/>
    </cacheField>
    <cacheField name="Home Owner" numFmtId="0">
      <sharedItems/>
    </cacheField>
    <cacheField name="Cars" numFmtId="0">
      <sharedItems containsSemiMixedTypes="0" containsString="0" containsNumber="1" containsInteger="1" minValue="0" maxValue="4"/>
    </cacheField>
    <cacheField name="Commute Distance" numFmtId="0">
      <sharedItems/>
    </cacheField>
    <cacheField name="Region" numFmtId="0">
      <sharedItems/>
    </cacheField>
    <cacheField name="age categories" numFmtId="0">
      <sharedItems/>
    </cacheField>
    <cacheField name="Age" numFmtId="0">
      <sharedItems containsSemiMixedTypes="0" containsString="0" containsNumber="1" containsInteger="1" minValue="25" maxValue="89"/>
    </cacheField>
    <cacheField name="Purchased Bike" numFmtId="0">
      <sharedItems count="2">
        <s v="No"/>
        <s v="Yes"/>
      </sharedItems>
    </cacheField>
  </cacheFields>
  <extLst>
    <ext xmlns:x14="http://schemas.microsoft.com/office/spreadsheetml/2009/9/main" uri="{725AE2AE-9491-48be-B2B4-4EB974FC3084}">
      <x14:pivotCacheDefinition pivotCacheId="49545170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n v="12496"/>
    <x v="0"/>
    <x v="0"/>
    <n v="40000"/>
    <n v="1"/>
    <x v="0"/>
    <s v="Skilled Manual"/>
    <x v="0"/>
    <x v="0"/>
    <x v="0"/>
    <x v="0"/>
    <x v="0"/>
    <n v="42"/>
    <x v="0"/>
  </r>
  <r>
    <n v="24107"/>
    <x v="0"/>
    <x v="1"/>
    <n v="30000"/>
    <n v="3"/>
    <x v="1"/>
    <s v="Clerical"/>
    <x v="0"/>
    <x v="1"/>
    <x v="0"/>
    <x v="0"/>
    <x v="0"/>
    <n v="43"/>
    <x v="0"/>
  </r>
  <r>
    <n v="14177"/>
    <x v="0"/>
    <x v="1"/>
    <n v="80000"/>
    <n v="5"/>
    <x v="1"/>
    <s v="Professional"/>
    <x v="1"/>
    <x v="2"/>
    <x v="1"/>
    <x v="0"/>
    <x v="1"/>
    <n v="60"/>
    <x v="0"/>
  </r>
  <r>
    <n v="24381"/>
    <x v="1"/>
    <x v="1"/>
    <n v="70000"/>
    <n v="0"/>
    <x v="0"/>
    <s v="Professional"/>
    <x v="0"/>
    <x v="1"/>
    <x v="2"/>
    <x v="1"/>
    <x v="0"/>
    <n v="41"/>
    <x v="1"/>
  </r>
  <r>
    <n v="25597"/>
    <x v="1"/>
    <x v="1"/>
    <n v="30000"/>
    <n v="0"/>
    <x v="0"/>
    <s v="Clerical"/>
    <x v="1"/>
    <x v="0"/>
    <x v="0"/>
    <x v="0"/>
    <x v="2"/>
    <n v="36"/>
    <x v="1"/>
  </r>
  <r>
    <n v="13507"/>
    <x v="0"/>
    <x v="0"/>
    <n v="10000"/>
    <n v="2"/>
    <x v="1"/>
    <s v="Manual"/>
    <x v="0"/>
    <x v="0"/>
    <x v="3"/>
    <x v="0"/>
    <x v="0"/>
    <n v="50"/>
    <x v="0"/>
  </r>
  <r>
    <n v="27974"/>
    <x v="1"/>
    <x v="1"/>
    <n v="160000"/>
    <n v="2"/>
    <x v="2"/>
    <s v="Management"/>
    <x v="0"/>
    <x v="3"/>
    <x v="0"/>
    <x v="1"/>
    <x v="2"/>
    <n v="33"/>
    <x v="1"/>
  </r>
  <r>
    <n v="19364"/>
    <x v="0"/>
    <x v="1"/>
    <n v="40000"/>
    <n v="1"/>
    <x v="0"/>
    <s v="Skilled Manual"/>
    <x v="0"/>
    <x v="0"/>
    <x v="0"/>
    <x v="0"/>
    <x v="0"/>
    <n v="43"/>
    <x v="1"/>
  </r>
  <r>
    <n v="22155"/>
    <x v="0"/>
    <x v="1"/>
    <n v="20000"/>
    <n v="2"/>
    <x v="3"/>
    <s v="Clerical"/>
    <x v="0"/>
    <x v="2"/>
    <x v="2"/>
    <x v="1"/>
    <x v="1"/>
    <n v="58"/>
    <x v="0"/>
  </r>
  <r>
    <n v="19280"/>
    <x v="0"/>
    <x v="1"/>
    <n v="120000"/>
    <n v="2"/>
    <x v="1"/>
    <s v="Manual"/>
    <x v="0"/>
    <x v="1"/>
    <x v="0"/>
    <x v="0"/>
    <x v="0"/>
    <n v="40"/>
    <x v="1"/>
  </r>
  <r>
    <n v="22173"/>
    <x v="0"/>
    <x v="0"/>
    <n v="30000"/>
    <n v="3"/>
    <x v="2"/>
    <s v="Skilled Manual"/>
    <x v="1"/>
    <x v="2"/>
    <x v="3"/>
    <x v="1"/>
    <x v="0"/>
    <n v="54"/>
    <x v="1"/>
  </r>
  <r>
    <n v="12697"/>
    <x v="1"/>
    <x v="0"/>
    <n v="90000"/>
    <n v="0"/>
    <x v="0"/>
    <s v="Professional"/>
    <x v="1"/>
    <x v="3"/>
    <x v="4"/>
    <x v="1"/>
    <x v="2"/>
    <n v="36"/>
    <x v="0"/>
  </r>
  <r>
    <n v="11434"/>
    <x v="0"/>
    <x v="1"/>
    <n v="170000"/>
    <n v="5"/>
    <x v="1"/>
    <s v="Professional"/>
    <x v="0"/>
    <x v="0"/>
    <x v="0"/>
    <x v="0"/>
    <x v="1"/>
    <n v="55"/>
    <x v="0"/>
  </r>
  <r>
    <n v="25323"/>
    <x v="0"/>
    <x v="1"/>
    <n v="40000"/>
    <n v="2"/>
    <x v="1"/>
    <s v="Clerical"/>
    <x v="0"/>
    <x v="1"/>
    <x v="3"/>
    <x v="0"/>
    <x v="2"/>
    <n v="35"/>
    <x v="1"/>
  </r>
  <r>
    <n v="23542"/>
    <x v="1"/>
    <x v="1"/>
    <n v="60000"/>
    <n v="1"/>
    <x v="1"/>
    <s v="Skilled Manual"/>
    <x v="1"/>
    <x v="1"/>
    <x v="0"/>
    <x v="1"/>
    <x v="0"/>
    <n v="45"/>
    <x v="1"/>
  </r>
  <r>
    <n v="20870"/>
    <x v="1"/>
    <x v="0"/>
    <n v="10000"/>
    <n v="2"/>
    <x v="2"/>
    <s v="Manual"/>
    <x v="0"/>
    <x v="1"/>
    <x v="0"/>
    <x v="0"/>
    <x v="2"/>
    <n v="38"/>
    <x v="1"/>
  </r>
  <r>
    <n v="23316"/>
    <x v="1"/>
    <x v="1"/>
    <n v="30000"/>
    <n v="3"/>
    <x v="1"/>
    <s v="Clerical"/>
    <x v="1"/>
    <x v="2"/>
    <x v="3"/>
    <x v="1"/>
    <x v="1"/>
    <n v="59"/>
    <x v="1"/>
  </r>
  <r>
    <n v="12610"/>
    <x v="0"/>
    <x v="0"/>
    <n v="30000"/>
    <n v="1"/>
    <x v="0"/>
    <s v="Clerical"/>
    <x v="0"/>
    <x v="0"/>
    <x v="0"/>
    <x v="0"/>
    <x v="0"/>
    <n v="47"/>
    <x v="0"/>
  </r>
  <r>
    <n v="27183"/>
    <x v="1"/>
    <x v="1"/>
    <n v="40000"/>
    <n v="2"/>
    <x v="1"/>
    <s v="Clerical"/>
    <x v="0"/>
    <x v="1"/>
    <x v="3"/>
    <x v="0"/>
    <x v="2"/>
    <n v="35"/>
    <x v="1"/>
  </r>
  <r>
    <n v="25940"/>
    <x v="1"/>
    <x v="1"/>
    <n v="20000"/>
    <n v="2"/>
    <x v="3"/>
    <s v="Clerical"/>
    <x v="0"/>
    <x v="2"/>
    <x v="2"/>
    <x v="1"/>
    <x v="1"/>
    <n v="55"/>
    <x v="1"/>
  </r>
  <r>
    <n v="25598"/>
    <x v="0"/>
    <x v="0"/>
    <n v="40000"/>
    <n v="0"/>
    <x v="4"/>
    <s v="Clerical"/>
    <x v="0"/>
    <x v="0"/>
    <x v="0"/>
    <x v="0"/>
    <x v="2"/>
    <n v="36"/>
    <x v="1"/>
  </r>
  <r>
    <n v="21564"/>
    <x v="1"/>
    <x v="0"/>
    <n v="80000"/>
    <n v="0"/>
    <x v="0"/>
    <s v="Professional"/>
    <x v="0"/>
    <x v="3"/>
    <x v="4"/>
    <x v="1"/>
    <x v="2"/>
    <n v="35"/>
    <x v="0"/>
  </r>
  <r>
    <n v="19193"/>
    <x v="1"/>
    <x v="1"/>
    <n v="40000"/>
    <n v="2"/>
    <x v="1"/>
    <s v="Clerical"/>
    <x v="0"/>
    <x v="0"/>
    <x v="3"/>
    <x v="0"/>
    <x v="2"/>
    <n v="35"/>
    <x v="1"/>
  </r>
  <r>
    <n v="26412"/>
    <x v="0"/>
    <x v="0"/>
    <n v="80000"/>
    <n v="5"/>
    <x v="2"/>
    <s v="Management"/>
    <x v="1"/>
    <x v="4"/>
    <x v="2"/>
    <x v="0"/>
    <x v="1"/>
    <n v="56"/>
    <x v="0"/>
  </r>
  <r>
    <n v="27184"/>
    <x v="1"/>
    <x v="1"/>
    <n v="40000"/>
    <n v="2"/>
    <x v="1"/>
    <s v="Clerical"/>
    <x v="1"/>
    <x v="1"/>
    <x v="0"/>
    <x v="0"/>
    <x v="2"/>
    <n v="34"/>
    <x v="0"/>
  </r>
  <r>
    <n v="12590"/>
    <x v="1"/>
    <x v="1"/>
    <n v="30000"/>
    <n v="1"/>
    <x v="0"/>
    <s v="Clerical"/>
    <x v="0"/>
    <x v="0"/>
    <x v="0"/>
    <x v="0"/>
    <x v="1"/>
    <n v="63"/>
    <x v="0"/>
  </r>
  <r>
    <n v="17841"/>
    <x v="1"/>
    <x v="1"/>
    <n v="30000"/>
    <n v="0"/>
    <x v="1"/>
    <s v="Clerical"/>
    <x v="1"/>
    <x v="1"/>
    <x v="0"/>
    <x v="0"/>
    <x v="3"/>
    <n v="29"/>
    <x v="1"/>
  </r>
  <r>
    <n v="18283"/>
    <x v="1"/>
    <x v="0"/>
    <n v="100000"/>
    <n v="0"/>
    <x v="0"/>
    <s v="Professional"/>
    <x v="1"/>
    <x v="1"/>
    <x v="2"/>
    <x v="1"/>
    <x v="0"/>
    <n v="40"/>
    <x v="0"/>
  </r>
  <r>
    <n v="18299"/>
    <x v="0"/>
    <x v="1"/>
    <n v="70000"/>
    <n v="5"/>
    <x v="1"/>
    <s v="Skilled Manual"/>
    <x v="0"/>
    <x v="2"/>
    <x v="2"/>
    <x v="1"/>
    <x v="0"/>
    <n v="44"/>
    <x v="0"/>
  </r>
  <r>
    <n v="16466"/>
    <x v="1"/>
    <x v="0"/>
    <n v="20000"/>
    <n v="0"/>
    <x v="3"/>
    <s v="Manual"/>
    <x v="1"/>
    <x v="2"/>
    <x v="0"/>
    <x v="0"/>
    <x v="2"/>
    <n v="32"/>
    <x v="1"/>
  </r>
  <r>
    <n v="19273"/>
    <x v="0"/>
    <x v="0"/>
    <n v="20000"/>
    <n v="2"/>
    <x v="1"/>
    <s v="Manual"/>
    <x v="0"/>
    <x v="0"/>
    <x v="0"/>
    <x v="0"/>
    <x v="1"/>
    <n v="63"/>
    <x v="0"/>
  </r>
  <r>
    <n v="22400"/>
    <x v="0"/>
    <x v="1"/>
    <n v="10000"/>
    <n v="0"/>
    <x v="1"/>
    <s v="Manual"/>
    <x v="1"/>
    <x v="1"/>
    <x v="0"/>
    <x v="1"/>
    <x v="3"/>
    <n v="26"/>
    <x v="1"/>
  </r>
  <r>
    <n v="20942"/>
    <x v="1"/>
    <x v="0"/>
    <n v="20000"/>
    <n v="0"/>
    <x v="2"/>
    <s v="Manual"/>
    <x v="1"/>
    <x v="1"/>
    <x v="2"/>
    <x v="0"/>
    <x v="2"/>
    <n v="31"/>
    <x v="0"/>
  </r>
  <r>
    <n v="18484"/>
    <x v="1"/>
    <x v="1"/>
    <n v="80000"/>
    <n v="2"/>
    <x v="2"/>
    <s v="Skilled Manual"/>
    <x v="1"/>
    <x v="2"/>
    <x v="3"/>
    <x v="1"/>
    <x v="0"/>
    <n v="50"/>
    <x v="1"/>
  </r>
  <r>
    <n v="12291"/>
    <x v="1"/>
    <x v="1"/>
    <n v="90000"/>
    <n v="5"/>
    <x v="1"/>
    <s v="Professional"/>
    <x v="1"/>
    <x v="2"/>
    <x v="1"/>
    <x v="0"/>
    <x v="1"/>
    <n v="62"/>
    <x v="1"/>
  </r>
  <r>
    <n v="28380"/>
    <x v="1"/>
    <x v="0"/>
    <n v="10000"/>
    <n v="5"/>
    <x v="3"/>
    <s v="Manual"/>
    <x v="1"/>
    <x v="2"/>
    <x v="0"/>
    <x v="0"/>
    <x v="0"/>
    <n v="41"/>
    <x v="0"/>
  </r>
  <r>
    <n v="17891"/>
    <x v="0"/>
    <x v="0"/>
    <n v="10000"/>
    <n v="2"/>
    <x v="1"/>
    <s v="Manual"/>
    <x v="0"/>
    <x v="1"/>
    <x v="0"/>
    <x v="0"/>
    <x v="0"/>
    <n v="50"/>
    <x v="1"/>
  </r>
  <r>
    <n v="27832"/>
    <x v="1"/>
    <x v="0"/>
    <n v="30000"/>
    <n v="0"/>
    <x v="1"/>
    <s v="Clerical"/>
    <x v="1"/>
    <x v="1"/>
    <x v="1"/>
    <x v="0"/>
    <x v="2"/>
    <n v="30"/>
    <x v="0"/>
  </r>
  <r>
    <n v="26863"/>
    <x v="1"/>
    <x v="1"/>
    <n v="20000"/>
    <n v="0"/>
    <x v="2"/>
    <s v="Manual"/>
    <x v="1"/>
    <x v="1"/>
    <x v="1"/>
    <x v="0"/>
    <x v="3"/>
    <n v="28"/>
    <x v="0"/>
  </r>
  <r>
    <n v="16259"/>
    <x v="1"/>
    <x v="0"/>
    <n v="10000"/>
    <n v="4"/>
    <x v="3"/>
    <s v="Manual"/>
    <x v="0"/>
    <x v="2"/>
    <x v="0"/>
    <x v="0"/>
    <x v="0"/>
    <n v="40"/>
    <x v="1"/>
  </r>
  <r>
    <n v="27803"/>
    <x v="1"/>
    <x v="0"/>
    <n v="30000"/>
    <n v="2"/>
    <x v="1"/>
    <s v="Clerical"/>
    <x v="1"/>
    <x v="0"/>
    <x v="0"/>
    <x v="0"/>
    <x v="0"/>
    <n v="43"/>
    <x v="0"/>
  </r>
  <r>
    <n v="14347"/>
    <x v="1"/>
    <x v="0"/>
    <n v="40000"/>
    <n v="2"/>
    <x v="0"/>
    <s v="Management"/>
    <x v="0"/>
    <x v="2"/>
    <x v="2"/>
    <x v="1"/>
    <x v="1"/>
    <n v="65"/>
    <x v="1"/>
  </r>
  <r>
    <n v="17703"/>
    <x v="0"/>
    <x v="0"/>
    <n v="10000"/>
    <n v="1"/>
    <x v="4"/>
    <s v="Manual"/>
    <x v="0"/>
    <x v="0"/>
    <x v="0"/>
    <x v="0"/>
    <x v="0"/>
    <n v="40"/>
    <x v="0"/>
  </r>
  <r>
    <n v="17185"/>
    <x v="0"/>
    <x v="0"/>
    <n v="170000"/>
    <n v="4"/>
    <x v="1"/>
    <s v="Professional"/>
    <x v="1"/>
    <x v="4"/>
    <x v="2"/>
    <x v="0"/>
    <x v="0"/>
    <n v="48"/>
    <x v="1"/>
  </r>
  <r>
    <n v="29380"/>
    <x v="0"/>
    <x v="0"/>
    <n v="20000"/>
    <n v="3"/>
    <x v="2"/>
    <s v="Manual"/>
    <x v="0"/>
    <x v="0"/>
    <x v="0"/>
    <x v="0"/>
    <x v="0"/>
    <n v="41"/>
    <x v="1"/>
  </r>
  <r>
    <n v="23986"/>
    <x v="0"/>
    <x v="0"/>
    <n v="20000"/>
    <n v="1"/>
    <x v="0"/>
    <s v="Clerical"/>
    <x v="0"/>
    <x v="0"/>
    <x v="0"/>
    <x v="0"/>
    <x v="1"/>
    <n v="66"/>
    <x v="1"/>
  </r>
  <r>
    <n v="24466"/>
    <x v="0"/>
    <x v="0"/>
    <n v="60000"/>
    <n v="1"/>
    <x v="1"/>
    <s v="Skilled Manual"/>
    <x v="0"/>
    <x v="1"/>
    <x v="2"/>
    <x v="1"/>
    <x v="0"/>
    <n v="46"/>
    <x v="1"/>
  </r>
  <r>
    <n v="29097"/>
    <x v="1"/>
    <x v="0"/>
    <n v="40000"/>
    <n v="2"/>
    <x v="1"/>
    <s v="Skilled Manual"/>
    <x v="0"/>
    <x v="2"/>
    <x v="2"/>
    <x v="1"/>
    <x v="0"/>
    <n v="52"/>
    <x v="1"/>
  </r>
  <r>
    <n v="19487"/>
    <x v="0"/>
    <x v="1"/>
    <n v="30000"/>
    <n v="2"/>
    <x v="1"/>
    <s v="Clerical"/>
    <x v="1"/>
    <x v="2"/>
    <x v="0"/>
    <x v="0"/>
    <x v="0"/>
    <n v="42"/>
    <x v="0"/>
  </r>
  <r>
    <n v="14939"/>
    <x v="1"/>
    <x v="1"/>
    <n v="40000"/>
    <n v="0"/>
    <x v="0"/>
    <s v="Clerical"/>
    <x v="0"/>
    <x v="0"/>
    <x v="0"/>
    <x v="0"/>
    <x v="2"/>
    <n v="39"/>
    <x v="1"/>
  </r>
  <r>
    <n v="13826"/>
    <x v="1"/>
    <x v="0"/>
    <n v="30000"/>
    <n v="0"/>
    <x v="1"/>
    <s v="Clerical"/>
    <x v="1"/>
    <x v="1"/>
    <x v="0"/>
    <x v="0"/>
    <x v="3"/>
    <n v="28"/>
    <x v="0"/>
  </r>
  <r>
    <n v="20619"/>
    <x v="1"/>
    <x v="1"/>
    <n v="80000"/>
    <n v="0"/>
    <x v="0"/>
    <s v="Professional"/>
    <x v="1"/>
    <x v="3"/>
    <x v="4"/>
    <x v="1"/>
    <x v="2"/>
    <n v="35"/>
    <x v="0"/>
  </r>
  <r>
    <n v="12558"/>
    <x v="0"/>
    <x v="0"/>
    <n v="20000"/>
    <n v="1"/>
    <x v="0"/>
    <s v="Clerical"/>
    <x v="0"/>
    <x v="0"/>
    <x v="0"/>
    <x v="0"/>
    <x v="1"/>
    <n v="65"/>
    <x v="0"/>
  </r>
  <r>
    <n v="24871"/>
    <x v="1"/>
    <x v="0"/>
    <n v="90000"/>
    <n v="4"/>
    <x v="2"/>
    <s v="Management"/>
    <x v="1"/>
    <x v="4"/>
    <x v="2"/>
    <x v="0"/>
    <x v="1"/>
    <n v="56"/>
    <x v="0"/>
  </r>
  <r>
    <n v="17319"/>
    <x v="1"/>
    <x v="0"/>
    <n v="70000"/>
    <n v="0"/>
    <x v="0"/>
    <s v="Professional"/>
    <x v="1"/>
    <x v="1"/>
    <x v="2"/>
    <x v="1"/>
    <x v="0"/>
    <n v="42"/>
    <x v="0"/>
  </r>
  <r>
    <n v="28906"/>
    <x v="0"/>
    <x v="1"/>
    <n v="80000"/>
    <n v="4"/>
    <x v="2"/>
    <s v="Professional"/>
    <x v="0"/>
    <x v="2"/>
    <x v="4"/>
    <x v="0"/>
    <x v="0"/>
    <n v="54"/>
    <x v="0"/>
  </r>
  <r>
    <n v="12808"/>
    <x v="0"/>
    <x v="1"/>
    <n v="40000"/>
    <n v="0"/>
    <x v="0"/>
    <s v="Clerical"/>
    <x v="0"/>
    <x v="0"/>
    <x v="0"/>
    <x v="0"/>
    <x v="2"/>
    <n v="38"/>
    <x v="1"/>
  </r>
  <r>
    <n v="20567"/>
    <x v="0"/>
    <x v="1"/>
    <n v="130000"/>
    <n v="4"/>
    <x v="1"/>
    <s v="Professional"/>
    <x v="1"/>
    <x v="3"/>
    <x v="2"/>
    <x v="0"/>
    <x v="1"/>
    <n v="61"/>
    <x v="1"/>
  </r>
  <r>
    <n v="25502"/>
    <x v="0"/>
    <x v="0"/>
    <n v="40000"/>
    <n v="1"/>
    <x v="0"/>
    <s v="Skilled Manual"/>
    <x v="0"/>
    <x v="0"/>
    <x v="0"/>
    <x v="0"/>
    <x v="0"/>
    <n v="43"/>
    <x v="1"/>
  </r>
  <r>
    <n v="15580"/>
    <x v="0"/>
    <x v="1"/>
    <n v="60000"/>
    <n v="2"/>
    <x v="0"/>
    <s v="Professional"/>
    <x v="0"/>
    <x v="1"/>
    <x v="1"/>
    <x v="1"/>
    <x v="2"/>
    <n v="38"/>
    <x v="1"/>
  </r>
  <r>
    <n v="24185"/>
    <x v="1"/>
    <x v="0"/>
    <n v="10000"/>
    <n v="1"/>
    <x v="2"/>
    <s v="Manual"/>
    <x v="1"/>
    <x v="1"/>
    <x v="3"/>
    <x v="0"/>
    <x v="0"/>
    <n v="45"/>
    <x v="0"/>
  </r>
  <r>
    <n v="19291"/>
    <x v="1"/>
    <x v="0"/>
    <n v="10000"/>
    <n v="2"/>
    <x v="2"/>
    <s v="Manual"/>
    <x v="0"/>
    <x v="0"/>
    <x v="0"/>
    <x v="0"/>
    <x v="2"/>
    <n v="35"/>
    <x v="0"/>
  </r>
  <r>
    <n v="16713"/>
    <x v="0"/>
    <x v="1"/>
    <n v="40000"/>
    <n v="2"/>
    <x v="0"/>
    <s v="Management"/>
    <x v="0"/>
    <x v="1"/>
    <x v="0"/>
    <x v="1"/>
    <x v="0"/>
    <n v="52"/>
    <x v="1"/>
  </r>
  <r>
    <n v="16185"/>
    <x v="1"/>
    <x v="1"/>
    <n v="60000"/>
    <n v="4"/>
    <x v="0"/>
    <s v="Professional"/>
    <x v="0"/>
    <x v="4"/>
    <x v="4"/>
    <x v="1"/>
    <x v="0"/>
    <n v="41"/>
    <x v="0"/>
  </r>
  <r>
    <n v="14927"/>
    <x v="0"/>
    <x v="0"/>
    <n v="30000"/>
    <n v="1"/>
    <x v="0"/>
    <s v="Clerical"/>
    <x v="0"/>
    <x v="0"/>
    <x v="0"/>
    <x v="0"/>
    <x v="2"/>
    <n v="37"/>
    <x v="1"/>
  </r>
  <r>
    <n v="29337"/>
    <x v="1"/>
    <x v="1"/>
    <n v="30000"/>
    <n v="2"/>
    <x v="1"/>
    <s v="Clerical"/>
    <x v="0"/>
    <x v="2"/>
    <x v="2"/>
    <x v="1"/>
    <x v="1"/>
    <n v="68"/>
    <x v="0"/>
  </r>
  <r>
    <n v="29355"/>
    <x v="0"/>
    <x v="0"/>
    <n v="40000"/>
    <n v="0"/>
    <x v="4"/>
    <s v="Clerical"/>
    <x v="0"/>
    <x v="0"/>
    <x v="0"/>
    <x v="0"/>
    <x v="2"/>
    <n v="37"/>
    <x v="1"/>
  </r>
  <r>
    <n v="25303"/>
    <x v="1"/>
    <x v="1"/>
    <n v="30000"/>
    <n v="0"/>
    <x v="2"/>
    <s v="Manual"/>
    <x v="0"/>
    <x v="1"/>
    <x v="1"/>
    <x v="0"/>
    <x v="2"/>
    <n v="33"/>
    <x v="1"/>
  </r>
  <r>
    <n v="14813"/>
    <x v="1"/>
    <x v="0"/>
    <n v="20000"/>
    <n v="4"/>
    <x v="2"/>
    <s v="Manual"/>
    <x v="0"/>
    <x v="1"/>
    <x v="0"/>
    <x v="0"/>
    <x v="0"/>
    <n v="43"/>
    <x v="1"/>
  </r>
  <r>
    <n v="16438"/>
    <x v="0"/>
    <x v="0"/>
    <n v="10000"/>
    <n v="0"/>
    <x v="3"/>
    <s v="Manual"/>
    <x v="1"/>
    <x v="2"/>
    <x v="0"/>
    <x v="0"/>
    <x v="2"/>
    <n v="30"/>
    <x v="0"/>
  </r>
  <r>
    <n v="14238"/>
    <x v="0"/>
    <x v="1"/>
    <n v="120000"/>
    <n v="0"/>
    <x v="3"/>
    <s v="Professional"/>
    <x v="0"/>
    <x v="3"/>
    <x v="4"/>
    <x v="1"/>
    <x v="2"/>
    <n v="36"/>
    <x v="1"/>
  </r>
  <r>
    <n v="16200"/>
    <x v="1"/>
    <x v="0"/>
    <n v="10000"/>
    <n v="0"/>
    <x v="3"/>
    <s v="Manual"/>
    <x v="1"/>
    <x v="2"/>
    <x v="0"/>
    <x v="0"/>
    <x v="2"/>
    <n v="35"/>
    <x v="0"/>
  </r>
  <r>
    <n v="24857"/>
    <x v="0"/>
    <x v="0"/>
    <n v="130000"/>
    <n v="3"/>
    <x v="2"/>
    <s v="Professional"/>
    <x v="0"/>
    <x v="3"/>
    <x v="0"/>
    <x v="0"/>
    <x v="0"/>
    <n v="52"/>
    <x v="0"/>
  </r>
  <r>
    <n v="26956"/>
    <x v="1"/>
    <x v="0"/>
    <n v="20000"/>
    <n v="0"/>
    <x v="1"/>
    <s v="Manual"/>
    <x v="1"/>
    <x v="1"/>
    <x v="1"/>
    <x v="0"/>
    <x v="2"/>
    <n v="36"/>
    <x v="1"/>
  </r>
  <r>
    <n v="14517"/>
    <x v="0"/>
    <x v="0"/>
    <n v="20000"/>
    <n v="3"/>
    <x v="2"/>
    <s v="Skilled Manual"/>
    <x v="1"/>
    <x v="2"/>
    <x v="3"/>
    <x v="1"/>
    <x v="1"/>
    <n v="62"/>
    <x v="0"/>
  </r>
  <r>
    <n v="12678"/>
    <x v="1"/>
    <x v="0"/>
    <n v="130000"/>
    <n v="4"/>
    <x v="2"/>
    <s v="Management"/>
    <x v="0"/>
    <x v="3"/>
    <x v="0"/>
    <x v="1"/>
    <x v="2"/>
    <n v="31"/>
    <x v="0"/>
  </r>
  <r>
    <n v="16188"/>
    <x v="1"/>
    <x v="0"/>
    <n v="20000"/>
    <n v="0"/>
    <x v="3"/>
    <s v="Manual"/>
    <x v="1"/>
    <x v="2"/>
    <x v="3"/>
    <x v="0"/>
    <x v="3"/>
    <n v="26"/>
    <x v="0"/>
  </r>
  <r>
    <n v="27969"/>
    <x v="0"/>
    <x v="1"/>
    <n v="80000"/>
    <n v="0"/>
    <x v="0"/>
    <s v="Professional"/>
    <x v="0"/>
    <x v="2"/>
    <x v="4"/>
    <x v="1"/>
    <x v="3"/>
    <n v="29"/>
    <x v="1"/>
  </r>
  <r>
    <n v="15752"/>
    <x v="0"/>
    <x v="1"/>
    <n v="80000"/>
    <n v="2"/>
    <x v="2"/>
    <s v="Skilled Manual"/>
    <x v="1"/>
    <x v="2"/>
    <x v="3"/>
    <x v="1"/>
    <x v="0"/>
    <n v="50"/>
    <x v="1"/>
  </r>
  <r>
    <n v="27745"/>
    <x v="1"/>
    <x v="1"/>
    <n v="40000"/>
    <n v="2"/>
    <x v="0"/>
    <s v="Management"/>
    <x v="0"/>
    <x v="2"/>
    <x v="2"/>
    <x v="1"/>
    <x v="1"/>
    <n v="63"/>
    <x v="1"/>
  </r>
  <r>
    <n v="20828"/>
    <x v="0"/>
    <x v="0"/>
    <n v="30000"/>
    <n v="4"/>
    <x v="4"/>
    <s v="Clerical"/>
    <x v="0"/>
    <x v="0"/>
    <x v="0"/>
    <x v="0"/>
    <x v="0"/>
    <n v="45"/>
    <x v="1"/>
  </r>
  <r>
    <n v="19461"/>
    <x v="1"/>
    <x v="0"/>
    <n v="10000"/>
    <n v="4"/>
    <x v="3"/>
    <s v="Manual"/>
    <x v="0"/>
    <x v="2"/>
    <x v="0"/>
    <x v="0"/>
    <x v="0"/>
    <n v="40"/>
    <x v="0"/>
  </r>
  <r>
    <n v="26941"/>
    <x v="0"/>
    <x v="1"/>
    <n v="30000"/>
    <n v="0"/>
    <x v="0"/>
    <s v="Clerical"/>
    <x v="0"/>
    <x v="0"/>
    <x v="0"/>
    <x v="0"/>
    <x v="0"/>
    <n v="47"/>
    <x v="1"/>
  </r>
  <r>
    <n v="28412"/>
    <x v="1"/>
    <x v="1"/>
    <n v="20000"/>
    <n v="0"/>
    <x v="2"/>
    <s v="Manual"/>
    <x v="1"/>
    <x v="1"/>
    <x v="1"/>
    <x v="0"/>
    <x v="3"/>
    <n v="29"/>
    <x v="0"/>
  </r>
  <r>
    <n v="24485"/>
    <x v="1"/>
    <x v="1"/>
    <n v="40000"/>
    <n v="2"/>
    <x v="0"/>
    <s v="Management"/>
    <x v="1"/>
    <x v="1"/>
    <x v="2"/>
    <x v="1"/>
    <x v="0"/>
    <n v="52"/>
    <x v="1"/>
  </r>
  <r>
    <n v="16514"/>
    <x v="1"/>
    <x v="1"/>
    <n v="10000"/>
    <n v="0"/>
    <x v="1"/>
    <s v="Manual"/>
    <x v="0"/>
    <x v="1"/>
    <x v="3"/>
    <x v="1"/>
    <x v="3"/>
    <n v="26"/>
    <x v="1"/>
  </r>
  <r>
    <n v="17191"/>
    <x v="1"/>
    <x v="1"/>
    <n v="130000"/>
    <n v="3"/>
    <x v="1"/>
    <s v="Professional"/>
    <x v="1"/>
    <x v="4"/>
    <x v="0"/>
    <x v="0"/>
    <x v="0"/>
    <n v="51"/>
    <x v="1"/>
  </r>
  <r>
    <n v="19608"/>
    <x v="0"/>
    <x v="1"/>
    <n v="80000"/>
    <n v="5"/>
    <x v="0"/>
    <s v="Professional"/>
    <x v="0"/>
    <x v="3"/>
    <x v="3"/>
    <x v="1"/>
    <x v="0"/>
    <n v="40"/>
    <x v="0"/>
  </r>
  <r>
    <n v="24119"/>
    <x v="1"/>
    <x v="1"/>
    <n v="30000"/>
    <n v="0"/>
    <x v="1"/>
    <s v="Clerical"/>
    <x v="1"/>
    <x v="1"/>
    <x v="1"/>
    <x v="0"/>
    <x v="3"/>
    <n v="29"/>
    <x v="0"/>
  </r>
  <r>
    <n v="25458"/>
    <x v="0"/>
    <x v="1"/>
    <n v="20000"/>
    <n v="1"/>
    <x v="2"/>
    <s v="Manual"/>
    <x v="1"/>
    <x v="1"/>
    <x v="3"/>
    <x v="0"/>
    <x v="0"/>
    <n v="40"/>
    <x v="1"/>
  </r>
  <r>
    <n v="26886"/>
    <x v="1"/>
    <x v="0"/>
    <n v="30000"/>
    <n v="0"/>
    <x v="1"/>
    <s v="Clerical"/>
    <x v="1"/>
    <x v="1"/>
    <x v="0"/>
    <x v="0"/>
    <x v="3"/>
    <n v="29"/>
    <x v="1"/>
  </r>
  <r>
    <n v="28436"/>
    <x v="1"/>
    <x v="1"/>
    <n v="30000"/>
    <n v="0"/>
    <x v="1"/>
    <s v="Clerical"/>
    <x v="1"/>
    <x v="1"/>
    <x v="0"/>
    <x v="0"/>
    <x v="2"/>
    <n v="30"/>
    <x v="1"/>
  </r>
  <r>
    <n v="19562"/>
    <x v="1"/>
    <x v="0"/>
    <n v="60000"/>
    <n v="2"/>
    <x v="0"/>
    <s v="Professional"/>
    <x v="0"/>
    <x v="1"/>
    <x v="1"/>
    <x v="1"/>
    <x v="2"/>
    <n v="37"/>
    <x v="1"/>
  </r>
  <r>
    <n v="15608"/>
    <x v="1"/>
    <x v="0"/>
    <n v="30000"/>
    <n v="0"/>
    <x v="1"/>
    <s v="Clerical"/>
    <x v="1"/>
    <x v="1"/>
    <x v="1"/>
    <x v="0"/>
    <x v="2"/>
    <n v="33"/>
    <x v="0"/>
  </r>
  <r>
    <n v="16487"/>
    <x v="1"/>
    <x v="0"/>
    <n v="30000"/>
    <n v="3"/>
    <x v="2"/>
    <s v="Skilled Manual"/>
    <x v="0"/>
    <x v="2"/>
    <x v="2"/>
    <x v="1"/>
    <x v="1"/>
    <n v="55"/>
    <x v="0"/>
  </r>
  <r>
    <n v="17197"/>
    <x v="1"/>
    <x v="0"/>
    <n v="90000"/>
    <n v="5"/>
    <x v="1"/>
    <s v="Professional"/>
    <x v="0"/>
    <x v="2"/>
    <x v="4"/>
    <x v="0"/>
    <x v="1"/>
    <n v="62"/>
    <x v="0"/>
  </r>
  <r>
    <n v="12507"/>
    <x v="0"/>
    <x v="1"/>
    <n v="30000"/>
    <n v="1"/>
    <x v="1"/>
    <s v="Clerical"/>
    <x v="0"/>
    <x v="1"/>
    <x v="0"/>
    <x v="0"/>
    <x v="0"/>
    <n v="43"/>
    <x v="0"/>
  </r>
  <r>
    <n v="23940"/>
    <x v="0"/>
    <x v="1"/>
    <n v="40000"/>
    <n v="1"/>
    <x v="0"/>
    <s v="Skilled Manual"/>
    <x v="0"/>
    <x v="1"/>
    <x v="0"/>
    <x v="0"/>
    <x v="0"/>
    <n v="44"/>
    <x v="1"/>
  </r>
  <r>
    <n v="19441"/>
    <x v="0"/>
    <x v="1"/>
    <n v="40000"/>
    <n v="0"/>
    <x v="4"/>
    <s v="Clerical"/>
    <x v="0"/>
    <x v="0"/>
    <x v="0"/>
    <x v="0"/>
    <x v="3"/>
    <n v="25"/>
    <x v="1"/>
  </r>
  <r>
    <n v="26852"/>
    <x v="0"/>
    <x v="0"/>
    <n v="20000"/>
    <n v="3"/>
    <x v="2"/>
    <s v="Manual"/>
    <x v="0"/>
    <x v="2"/>
    <x v="0"/>
    <x v="0"/>
    <x v="0"/>
    <n v="43"/>
    <x v="0"/>
  </r>
  <r>
    <n v="12274"/>
    <x v="1"/>
    <x v="1"/>
    <n v="10000"/>
    <n v="2"/>
    <x v="2"/>
    <s v="Manual"/>
    <x v="0"/>
    <x v="0"/>
    <x v="0"/>
    <x v="0"/>
    <x v="2"/>
    <n v="35"/>
    <x v="0"/>
  </r>
  <r>
    <n v="20236"/>
    <x v="1"/>
    <x v="1"/>
    <n v="60000"/>
    <n v="3"/>
    <x v="0"/>
    <s v="Professional"/>
    <x v="1"/>
    <x v="2"/>
    <x v="0"/>
    <x v="1"/>
    <x v="0"/>
    <n v="43"/>
    <x v="1"/>
  </r>
  <r>
    <n v="24149"/>
    <x v="0"/>
    <x v="1"/>
    <n v="10000"/>
    <n v="2"/>
    <x v="1"/>
    <s v="Manual"/>
    <x v="0"/>
    <x v="0"/>
    <x v="3"/>
    <x v="0"/>
    <x v="0"/>
    <n v="49"/>
    <x v="0"/>
  </r>
  <r>
    <n v="26139"/>
    <x v="1"/>
    <x v="1"/>
    <n v="60000"/>
    <n v="1"/>
    <x v="1"/>
    <s v="Skilled Manual"/>
    <x v="0"/>
    <x v="1"/>
    <x v="2"/>
    <x v="1"/>
    <x v="0"/>
    <n v="45"/>
    <x v="0"/>
  </r>
  <r>
    <n v="18491"/>
    <x v="1"/>
    <x v="0"/>
    <n v="70000"/>
    <n v="2"/>
    <x v="2"/>
    <s v="Professional"/>
    <x v="0"/>
    <x v="2"/>
    <x v="2"/>
    <x v="1"/>
    <x v="0"/>
    <n v="49"/>
    <x v="1"/>
  </r>
  <r>
    <n v="22707"/>
    <x v="1"/>
    <x v="0"/>
    <n v="30000"/>
    <n v="0"/>
    <x v="1"/>
    <s v="Clerical"/>
    <x v="1"/>
    <x v="1"/>
    <x v="1"/>
    <x v="0"/>
    <x v="2"/>
    <n v="30"/>
    <x v="0"/>
  </r>
  <r>
    <n v="20430"/>
    <x v="0"/>
    <x v="1"/>
    <n v="70000"/>
    <n v="2"/>
    <x v="1"/>
    <s v="Skilled Manual"/>
    <x v="0"/>
    <x v="2"/>
    <x v="2"/>
    <x v="1"/>
    <x v="0"/>
    <n v="52"/>
    <x v="1"/>
  </r>
  <r>
    <n v="27494"/>
    <x v="1"/>
    <x v="0"/>
    <n v="40000"/>
    <n v="2"/>
    <x v="1"/>
    <s v="Skilled Manual"/>
    <x v="1"/>
    <x v="2"/>
    <x v="3"/>
    <x v="1"/>
    <x v="0"/>
    <n v="53"/>
    <x v="1"/>
  </r>
  <r>
    <n v="26829"/>
    <x v="0"/>
    <x v="0"/>
    <n v="40000"/>
    <n v="0"/>
    <x v="0"/>
    <s v="Clerical"/>
    <x v="0"/>
    <x v="0"/>
    <x v="0"/>
    <x v="0"/>
    <x v="2"/>
    <n v="38"/>
    <x v="1"/>
  </r>
  <r>
    <n v="28395"/>
    <x v="1"/>
    <x v="1"/>
    <n v="40000"/>
    <n v="0"/>
    <x v="0"/>
    <s v="Professional"/>
    <x v="1"/>
    <x v="0"/>
    <x v="0"/>
    <x v="0"/>
    <x v="2"/>
    <n v="39"/>
    <x v="1"/>
  </r>
  <r>
    <n v="21006"/>
    <x v="1"/>
    <x v="0"/>
    <n v="30000"/>
    <n v="1"/>
    <x v="1"/>
    <s v="Manual"/>
    <x v="1"/>
    <x v="0"/>
    <x v="0"/>
    <x v="0"/>
    <x v="0"/>
    <n v="46"/>
    <x v="1"/>
  </r>
  <r>
    <n v="14682"/>
    <x v="1"/>
    <x v="0"/>
    <n v="70000"/>
    <n v="0"/>
    <x v="0"/>
    <s v="Professional"/>
    <x v="1"/>
    <x v="1"/>
    <x v="2"/>
    <x v="1"/>
    <x v="2"/>
    <n v="38"/>
    <x v="0"/>
  </r>
  <r>
    <n v="17650"/>
    <x v="1"/>
    <x v="0"/>
    <n v="40000"/>
    <n v="2"/>
    <x v="1"/>
    <s v="Clerical"/>
    <x v="0"/>
    <x v="2"/>
    <x v="3"/>
    <x v="0"/>
    <x v="2"/>
    <n v="35"/>
    <x v="0"/>
  </r>
  <r>
    <n v="29191"/>
    <x v="1"/>
    <x v="0"/>
    <n v="130000"/>
    <n v="1"/>
    <x v="4"/>
    <s v="Management"/>
    <x v="1"/>
    <x v="1"/>
    <x v="0"/>
    <x v="1"/>
    <x v="2"/>
    <n v="36"/>
    <x v="1"/>
  </r>
  <r>
    <n v="15030"/>
    <x v="0"/>
    <x v="1"/>
    <n v="20000"/>
    <n v="0"/>
    <x v="0"/>
    <s v="Clerical"/>
    <x v="0"/>
    <x v="0"/>
    <x v="0"/>
    <x v="1"/>
    <x v="3"/>
    <n v="26"/>
    <x v="1"/>
  </r>
  <r>
    <n v="24140"/>
    <x v="1"/>
    <x v="1"/>
    <n v="10000"/>
    <n v="0"/>
    <x v="4"/>
    <s v="Manual"/>
    <x v="1"/>
    <x v="0"/>
    <x v="0"/>
    <x v="0"/>
    <x v="2"/>
    <n v="30"/>
    <x v="1"/>
  </r>
  <r>
    <n v="22496"/>
    <x v="0"/>
    <x v="0"/>
    <n v="30000"/>
    <n v="1"/>
    <x v="0"/>
    <s v="Skilled Manual"/>
    <x v="0"/>
    <x v="2"/>
    <x v="0"/>
    <x v="0"/>
    <x v="0"/>
    <n v="42"/>
    <x v="0"/>
  </r>
  <r>
    <n v="24065"/>
    <x v="1"/>
    <x v="0"/>
    <n v="20000"/>
    <n v="0"/>
    <x v="2"/>
    <s v="Manual"/>
    <x v="0"/>
    <x v="0"/>
    <x v="0"/>
    <x v="0"/>
    <x v="0"/>
    <n v="40"/>
    <x v="1"/>
  </r>
  <r>
    <n v="19914"/>
    <x v="0"/>
    <x v="1"/>
    <n v="80000"/>
    <n v="5"/>
    <x v="0"/>
    <s v="Management"/>
    <x v="0"/>
    <x v="2"/>
    <x v="1"/>
    <x v="0"/>
    <x v="1"/>
    <n v="62"/>
    <x v="0"/>
  </r>
  <r>
    <n v="12871"/>
    <x v="1"/>
    <x v="0"/>
    <n v="30000"/>
    <n v="0"/>
    <x v="1"/>
    <s v="Clerical"/>
    <x v="1"/>
    <x v="1"/>
    <x v="1"/>
    <x v="0"/>
    <x v="3"/>
    <n v="29"/>
    <x v="0"/>
  </r>
  <r>
    <n v="22988"/>
    <x v="0"/>
    <x v="0"/>
    <n v="40000"/>
    <n v="2"/>
    <x v="0"/>
    <s v="Management"/>
    <x v="0"/>
    <x v="2"/>
    <x v="2"/>
    <x v="1"/>
    <x v="1"/>
    <n v="66"/>
    <x v="1"/>
  </r>
  <r>
    <n v="15922"/>
    <x v="0"/>
    <x v="1"/>
    <n v="150000"/>
    <n v="2"/>
    <x v="2"/>
    <s v="Professional"/>
    <x v="0"/>
    <x v="3"/>
    <x v="0"/>
    <x v="0"/>
    <x v="0"/>
    <n v="48"/>
    <x v="0"/>
  </r>
  <r>
    <n v="12344"/>
    <x v="1"/>
    <x v="0"/>
    <n v="80000"/>
    <n v="0"/>
    <x v="0"/>
    <s v="Professional"/>
    <x v="1"/>
    <x v="4"/>
    <x v="4"/>
    <x v="1"/>
    <x v="2"/>
    <n v="31"/>
    <x v="0"/>
  </r>
  <r>
    <n v="23627"/>
    <x v="1"/>
    <x v="0"/>
    <n v="100000"/>
    <n v="3"/>
    <x v="1"/>
    <s v="Management"/>
    <x v="1"/>
    <x v="3"/>
    <x v="2"/>
    <x v="0"/>
    <x v="1"/>
    <n v="56"/>
    <x v="0"/>
  </r>
  <r>
    <n v="27775"/>
    <x v="1"/>
    <x v="0"/>
    <n v="40000"/>
    <n v="0"/>
    <x v="0"/>
    <s v="Clerical"/>
    <x v="1"/>
    <x v="0"/>
    <x v="0"/>
    <x v="0"/>
    <x v="2"/>
    <n v="38"/>
    <x v="1"/>
  </r>
  <r>
    <n v="29301"/>
    <x v="0"/>
    <x v="1"/>
    <n v="80000"/>
    <n v="5"/>
    <x v="0"/>
    <s v="Professional"/>
    <x v="0"/>
    <x v="3"/>
    <x v="3"/>
    <x v="1"/>
    <x v="0"/>
    <n v="40"/>
    <x v="0"/>
  </r>
  <r>
    <n v="12716"/>
    <x v="1"/>
    <x v="1"/>
    <n v="30000"/>
    <n v="0"/>
    <x v="1"/>
    <s v="Clerical"/>
    <x v="0"/>
    <x v="1"/>
    <x v="1"/>
    <x v="0"/>
    <x v="2"/>
    <n v="32"/>
    <x v="0"/>
  </r>
  <r>
    <n v="12472"/>
    <x v="0"/>
    <x v="1"/>
    <n v="30000"/>
    <n v="1"/>
    <x v="0"/>
    <s v="Clerical"/>
    <x v="0"/>
    <x v="1"/>
    <x v="1"/>
    <x v="0"/>
    <x v="2"/>
    <n v="39"/>
    <x v="0"/>
  </r>
  <r>
    <n v="20970"/>
    <x v="1"/>
    <x v="1"/>
    <n v="10000"/>
    <n v="2"/>
    <x v="1"/>
    <s v="Manual"/>
    <x v="0"/>
    <x v="1"/>
    <x v="0"/>
    <x v="0"/>
    <x v="0"/>
    <n v="52"/>
    <x v="1"/>
  </r>
  <r>
    <n v="26818"/>
    <x v="1"/>
    <x v="1"/>
    <n v="10000"/>
    <n v="3"/>
    <x v="2"/>
    <s v="Manual"/>
    <x v="0"/>
    <x v="1"/>
    <x v="0"/>
    <x v="0"/>
    <x v="2"/>
    <n v="39"/>
    <x v="1"/>
  </r>
  <r>
    <n v="12993"/>
    <x v="0"/>
    <x v="1"/>
    <n v="60000"/>
    <n v="2"/>
    <x v="0"/>
    <s v="Professional"/>
    <x v="0"/>
    <x v="1"/>
    <x v="1"/>
    <x v="1"/>
    <x v="2"/>
    <n v="37"/>
    <x v="0"/>
  </r>
  <r>
    <n v="14192"/>
    <x v="0"/>
    <x v="1"/>
    <n v="90000"/>
    <n v="4"/>
    <x v="2"/>
    <s v="Management"/>
    <x v="0"/>
    <x v="4"/>
    <x v="2"/>
    <x v="0"/>
    <x v="1"/>
    <n v="56"/>
    <x v="1"/>
  </r>
  <r>
    <n v="19477"/>
    <x v="0"/>
    <x v="1"/>
    <n v="40000"/>
    <n v="0"/>
    <x v="0"/>
    <s v="Professional"/>
    <x v="0"/>
    <x v="0"/>
    <x v="0"/>
    <x v="0"/>
    <x v="0"/>
    <n v="40"/>
    <x v="1"/>
  </r>
  <r>
    <n v="26796"/>
    <x v="1"/>
    <x v="1"/>
    <n v="40000"/>
    <n v="2"/>
    <x v="0"/>
    <s v="Management"/>
    <x v="0"/>
    <x v="2"/>
    <x v="2"/>
    <x v="1"/>
    <x v="1"/>
    <n v="65"/>
    <x v="1"/>
  </r>
  <r>
    <n v="21094"/>
    <x v="1"/>
    <x v="0"/>
    <n v="30000"/>
    <n v="2"/>
    <x v="1"/>
    <s v="Clerical"/>
    <x v="0"/>
    <x v="2"/>
    <x v="0"/>
    <x v="0"/>
    <x v="0"/>
    <n v="42"/>
    <x v="0"/>
  </r>
  <r>
    <n v="12234"/>
    <x v="0"/>
    <x v="1"/>
    <n v="10000"/>
    <n v="2"/>
    <x v="1"/>
    <s v="Manual"/>
    <x v="0"/>
    <x v="1"/>
    <x v="1"/>
    <x v="0"/>
    <x v="0"/>
    <n v="52"/>
    <x v="0"/>
  </r>
  <r>
    <n v="28683"/>
    <x v="1"/>
    <x v="0"/>
    <n v="10000"/>
    <n v="1"/>
    <x v="2"/>
    <s v="Manual"/>
    <x v="1"/>
    <x v="1"/>
    <x v="2"/>
    <x v="0"/>
    <x v="2"/>
    <n v="35"/>
    <x v="1"/>
  </r>
  <r>
    <n v="17994"/>
    <x v="1"/>
    <x v="1"/>
    <n v="20000"/>
    <n v="2"/>
    <x v="2"/>
    <s v="Manual"/>
    <x v="0"/>
    <x v="2"/>
    <x v="0"/>
    <x v="0"/>
    <x v="0"/>
    <n v="42"/>
    <x v="0"/>
  </r>
  <r>
    <n v="24273"/>
    <x v="0"/>
    <x v="0"/>
    <n v="20000"/>
    <n v="2"/>
    <x v="3"/>
    <s v="Clerical"/>
    <x v="0"/>
    <x v="2"/>
    <x v="2"/>
    <x v="1"/>
    <x v="1"/>
    <n v="55"/>
    <x v="1"/>
  </r>
  <r>
    <n v="26547"/>
    <x v="1"/>
    <x v="0"/>
    <n v="30000"/>
    <n v="2"/>
    <x v="1"/>
    <s v="Clerical"/>
    <x v="1"/>
    <x v="2"/>
    <x v="2"/>
    <x v="1"/>
    <x v="1"/>
    <n v="60"/>
    <x v="1"/>
  </r>
  <r>
    <n v="22500"/>
    <x v="1"/>
    <x v="1"/>
    <n v="40000"/>
    <n v="0"/>
    <x v="0"/>
    <s v="Professional"/>
    <x v="1"/>
    <x v="0"/>
    <x v="0"/>
    <x v="0"/>
    <x v="0"/>
    <n v="40"/>
    <x v="1"/>
  </r>
  <r>
    <n v="23993"/>
    <x v="1"/>
    <x v="0"/>
    <n v="10000"/>
    <n v="0"/>
    <x v="1"/>
    <s v="Manual"/>
    <x v="1"/>
    <x v="1"/>
    <x v="0"/>
    <x v="1"/>
    <x v="3"/>
    <n v="26"/>
    <x v="1"/>
  </r>
  <r>
    <n v="14832"/>
    <x v="0"/>
    <x v="1"/>
    <n v="40000"/>
    <n v="1"/>
    <x v="0"/>
    <s v="Skilled Manual"/>
    <x v="0"/>
    <x v="0"/>
    <x v="0"/>
    <x v="0"/>
    <x v="0"/>
    <n v="42"/>
    <x v="1"/>
  </r>
  <r>
    <n v="16614"/>
    <x v="0"/>
    <x v="0"/>
    <n v="80000"/>
    <n v="0"/>
    <x v="0"/>
    <s v="Professional"/>
    <x v="0"/>
    <x v="4"/>
    <x v="4"/>
    <x v="1"/>
    <x v="2"/>
    <n v="32"/>
    <x v="0"/>
  </r>
  <r>
    <n v="20877"/>
    <x v="1"/>
    <x v="1"/>
    <n v="30000"/>
    <n v="1"/>
    <x v="0"/>
    <s v="Clerical"/>
    <x v="0"/>
    <x v="0"/>
    <x v="3"/>
    <x v="0"/>
    <x v="2"/>
    <n v="37"/>
    <x v="1"/>
  </r>
  <r>
    <n v="20729"/>
    <x v="0"/>
    <x v="0"/>
    <n v="40000"/>
    <n v="2"/>
    <x v="1"/>
    <s v="Clerical"/>
    <x v="1"/>
    <x v="1"/>
    <x v="0"/>
    <x v="0"/>
    <x v="2"/>
    <n v="34"/>
    <x v="0"/>
  </r>
  <r>
    <n v="22464"/>
    <x v="0"/>
    <x v="1"/>
    <n v="40000"/>
    <n v="0"/>
    <x v="4"/>
    <s v="Clerical"/>
    <x v="0"/>
    <x v="0"/>
    <x v="0"/>
    <x v="0"/>
    <x v="2"/>
    <n v="37"/>
    <x v="1"/>
  </r>
  <r>
    <n v="19475"/>
    <x v="0"/>
    <x v="0"/>
    <n v="40000"/>
    <n v="0"/>
    <x v="0"/>
    <s v="Professional"/>
    <x v="1"/>
    <x v="0"/>
    <x v="0"/>
    <x v="0"/>
    <x v="0"/>
    <n v="40"/>
    <x v="1"/>
  </r>
  <r>
    <n v="19675"/>
    <x v="0"/>
    <x v="1"/>
    <n v="20000"/>
    <n v="4"/>
    <x v="2"/>
    <s v="Skilled Manual"/>
    <x v="0"/>
    <x v="2"/>
    <x v="2"/>
    <x v="1"/>
    <x v="1"/>
    <n v="60"/>
    <x v="0"/>
  </r>
  <r>
    <n v="12728"/>
    <x v="1"/>
    <x v="1"/>
    <n v="30000"/>
    <n v="0"/>
    <x v="1"/>
    <s v="Clerical"/>
    <x v="1"/>
    <x v="1"/>
    <x v="3"/>
    <x v="0"/>
    <x v="3"/>
    <n v="27"/>
    <x v="0"/>
  </r>
  <r>
    <n v="26154"/>
    <x v="0"/>
    <x v="1"/>
    <n v="60000"/>
    <n v="1"/>
    <x v="1"/>
    <s v="Skilled Manual"/>
    <x v="0"/>
    <x v="1"/>
    <x v="2"/>
    <x v="1"/>
    <x v="0"/>
    <n v="43"/>
    <x v="1"/>
  </r>
  <r>
    <n v="29117"/>
    <x v="1"/>
    <x v="1"/>
    <n v="100000"/>
    <n v="1"/>
    <x v="0"/>
    <s v="Management"/>
    <x v="1"/>
    <x v="4"/>
    <x v="0"/>
    <x v="1"/>
    <x v="0"/>
    <n v="48"/>
    <x v="0"/>
  </r>
  <r>
    <n v="17845"/>
    <x v="1"/>
    <x v="0"/>
    <n v="20000"/>
    <n v="0"/>
    <x v="3"/>
    <s v="Manual"/>
    <x v="1"/>
    <x v="2"/>
    <x v="3"/>
    <x v="0"/>
    <x v="2"/>
    <n v="32"/>
    <x v="0"/>
  </r>
  <r>
    <n v="25058"/>
    <x v="0"/>
    <x v="1"/>
    <n v="100000"/>
    <n v="1"/>
    <x v="0"/>
    <s v="Management"/>
    <x v="0"/>
    <x v="4"/>
    <x v="1"/>
    <x v="1"/>
    <x v="0"/>
    <n v="47"/>
    <x v="0"/>
  </r>
  <r>
    <n v="23426"/>
    <x v="1"/>
    <x v="1"/>
    <n v="80000"/>
    <n v="5"/>
    <x v="4"/>
    <s v="Management"/>
    <x v="0"/>
    <x v="4"/>
    <x v="0"/>
    <x v="1"/>
    <x v="0"/>
    <n v="40"/>
    <x v="0"/>
  </r>
  <r>
    <n v="14798"/>
    <x v="1"/>
    <x v="0"/>
    <n v="10000"/>
    <n v="4"/>
    <x v="3"/>
    <s v="Manual"/>
    <x v="0"/>
    <x v="2"/>
    <x v="0"/>
    <x v="0"/>
    <x v="0"/>
    <n v="41"/>
    <x v="1"/>
  </r>
  <r>
    <n v="12664"/>
    <x v="0"/>
    <x v="0"/>
    <n v="130000"/>
    <n v="5"/>
    <x v="1"/>
    <s v="Professional"/>
    <x v="0"/>
    <x v="3"/>
    <x v="0"/>
    <x v="0"/>
    <x v="1"/>
    <n v="59"/>
    <x v="0"/>
  </r>
  <r>
    <n v="23979"/>
    <x v="1"/>
    <x v="1"/>
    <n v="10000"/>
    <n v="2"/>
    <x v="1"/>
    <s v="Manual"/>
    <x v="1"/>
    <x v="0"/>
    <x v="0"/>
    <x v="0"/>
    <x v="0"/>
    <n v="50"/>
    <x v="0"/>
  </r>
  <r>
    <n v="25605"/>
    <x v="1"/>
    <x v="0"/>
    <n v="20000"/>
    <n v="2"/>
    <x v="1"/>
    <s v="Manual"/>
    <x v="1"/>
    <x v="1"/>
    <x v="0"/>
    <x v="0"/>
    <x v="0"/>
    <n v="54"/>
    <x v="1"/>
  </r>
  <r>
    <n v="20797"/>
    <x v="0"/>
    <x v="0"/>
    <n v="10000"/>
    <n v="1"/>
    <x v="0"/>
    <s v="Manual"/>
    <x v="0"/>
    <x v="0"/>
    <x v="0"/>
    <x v="0"/>
    <x v="0"/>
    <n v="48"/>
    <x v="0"/>
  </r>
  <r>
    <n v="21980"/>
    <x v="1"/>
    <x v="0"/>
    <n v="60000"/>
    <n v="1"/>
    <x v="0"/>
    <s v="Professional"/>
    <x v="0"/>
    <x v="1"/>
    <x v="2"/>
    <x v="1"/>
    <x v="0"/>
    <n v="44"/>
    <x v="1"/>
  </r>
  <r>
    <n v="25460"/>
    <x v="0"/>
    <x v="0"/>
    <n v="20000"/>
    <n v="2"/>
    <x v="2"/>
    <s v="Manual"/>
    <x v="0"/>
    <x v="0"/>
    <x v="0"/>
    <x v="0"/>
    <x v="0"/>
    <n v="40"/>
    <x v="1"/>
  </r>
  <r>
    <n v="29181"/>
    <x v="1"/>
    <x v="0"/>
    <n v="60000"/>
    <n v="2"/>
    <x v="0"/>
    <s v="Professional"/>
    <x v="1"/>
    <x v="1"/>
    <x v="0"/>
    <x v="1"/>
    <x v="2"/>
    <n v="38"/>
    <x v="1"/>
  </r>
  <r>
    <n v="24279"/>
    <x v="1"/>
    <x v="1"/>
    <n v="40000"/>
    <n v="2"/>
    <x v="1"/>
    <s v="Skilled Manual"/>
    <x v="1"/>
    <x v="2"/>
    <x v="3"/>
    <x v="1"/>
    <x v="0"/>
    <n v="52"/>
    <x v="0"/>
  </r>
  <r>
    <n v="22402"/>
    <x v="0"/>
    <x v="1"/>
    <n v="10000"/>
    <n v="0"/>
    <x v="1"/>
    <s v="Manual"/>
    <x v="0"/>
    <x v="1"/>
    <x v="1"/>
    <x v="1"/>
    <x v="3"/>
    <n v="25"/>
    <x v="1"/>
  </r>
  <r>
    <n v="15465"/>
    <x v="0"/>
    <x v="0"/>
    <n v="10000"/>
    <n v="0"/>
    <x v="1"/>
    <s v="Manual"/>
    <x v="1"/>
    <x v="1"/>
    <x v="0"/>
    <x v="1"/>
    <x v="3"/>
    <n v="25"/>
    <x v="0"/>
  </r>
  <r>
    <n v="26757"/>
    <x v="1"/>
    <x v="1"/>
    <n v="90000"/>
    <n v="1"/>
    <x v="0"/>
    <s v="Professional"/>
    <x v="0"/>
    <x v="1"/>
    <x v="1"/>
    <x v="1"/>
    <x v="0"/>
    <n v="47"/>
    <x v="1"/>
  </r>
  <r>
    <n v="14233"/>
    <x v="1"/>
    <x v="1"/>
    <n v="100000"/>
    <n v="0"/>
    <x v="2"/>
    <s v="Management"/>
    <x v="0"/>
    <x v="4"/>
    <x v="4"/>
    <x v="1"/>
    <x v="2"/>
    <n v="35"/>
    <x v="0"/>
  </r>
  <r>
    <n v="14058"/>
    <x v="1"/>
    <x v="1"/>
    <n v="70000"/>
    <n v="0"/>
    <x v="0"/>
    <s v="Professional"/>
    <x v="1"/>
    <x v="1"/>
    <x v="2"/>
    <x v="1"/>
    <x v="0"/>
    <n v="41"/>
    <x v="1"/>
  </r>
  <r>
    <n v="12273"/>
    <x v="0"/>
    <x v="1"/>
    <n v="30000"/>
    <n v="1"/>
    <x v="0"/>
    <s v="Clerical"/>
    <x v="0"/>
    <x v="0"/>
    <x v="0"/>
    <x v="0"/>
    <x v="0"/>
    <n v="47"/>
    <x v="0"/>
  </r>
  <r>
    <n v="17203"/>
    <x v="0"/>
    <x v="0"/>
    <n v="130000"/>
    <n v="4"/>
    <x v="1"/>
    <s v="Professional"/>
    <x v="0"/>
    <x v="3"/>
    <x v="2"/>
    <x v="0"/>
    <x v="1"/>
    <n v="61"/>
    <x v="1"/>
  </r>
  <r>
    <n v="18144"/>
    <x v="0"/>
    <x v="0"/>
    <n v="80000"/>
    <n v="5"/>
    <x v="0"/>
    <s v="Management"/>
    <x v="0"/>
    <x v="2"/>
    <x v="1"/>
    <x v="0"/>
    <x v="1"/>
    <n v="61"/>
    <x v="0"/>
  </r>
  <r>
    <n v="23963"/>
    <x v="0"/>
    <x v="1"/>
    <n v="10000"/>
    <n v="0"/>
    <x v="3"/>
    <s v="Manual"/>
    <x v="1"/>
    <x v="2"/>
    <x v="0"/>
    <x v="0"/>
    <x v="2"/>
    <n v="33"/>
    <x v="0"/>
  </r>
  <r>
    <n v="17907"/>
    <x v="0"/>
    <x v="0"/>
    <n v="10000"/>
    <n v="0"/>
    <x v="1"/>
    <s v="Manual"/>
    <x v="0"/>
    <x v="1"/>
    <x v="1"/>
    <x v="1"/>
    <x v="3"/>
    <n v="27"/>
    <x v="0"/>
  </r>
  <r>
    <n v="19442"/>
    <x v="1"/>
    <x v="1"/>
    <n v="50000"/>
    <n v="0"/>
    <x v="4"/>
    <s v="Skilled Manual"/>
    <x v="0"/>
    <x v="0"/>
    <x v="0"/>
    <x v="0"/>
    <x v="2"/>
    <n v="37"/>
    <x v="1"/>
  </r>
  <r>
    <n v="17504"/>
    <x v="1"/>
    <x v="0"/>
    <n v="80000"/>
    <n v="2"/>
    <x v="1"/>
    <s v="Skilled Manual"/>
    <x v="0"/>
    <x v="2"/>
    <x v="2"/>
    <x v="1"/>
    <x v="0"/>
    <n v="52"/>
    <x v="1"/>
  </r>
  <r>
    <n v="12253"/>
    <x v="1"/>
    <x v="0"/>
    <n v="20000"/>
    <n v="0"/>
    <x v="1"/>
    <s v="Manual"/>
    <x v="0"/>
    <x v="0"/>
    <x v="0"/>
    <x v="1"/>
    <x v="3"/>
    <n v="29"/>
    <x v="1"/>
  </r>
  <r>
    <n v="27304"/>
    <x v="1"/>
    <x v="0"/>
    <n v="110000"/>
    <n v="2"/>
    <x v="1"/>
    <s v="Professional"/>
    <x v="1"/>
    <x v="4"/>
    <x v="2"/>
    <x v="0"/>
    <x v="0"/>
    <n v="48"/>
    <x v="0"/>
  </r>
  <r>
    <n v="14191"/>
    <x v="0"/>
    <x v="1"/>
    <n v="160000"/>
    <n v="4"/>
    <x v="1"/>
    <s v="Professional"/>
    <x v="1"/>
    <x v="2"/>
    <x v="4"/>
    <x v="0"/>
    <x v="1"/>
    <n v="55"/>
    <x v="1"/>
  </r>
  <r>
    <n v="12212"/>
    <x v="0"/>
    <x v="0"/>
    <n v="10000"/>
    <n v="0"/>
    <x v="4"/>
    <s v="Manual"/>
    <x v="0"/>
    <x v="0"/>
    <x v="0"/>
    <x v="0"/>
    <x v="2"/>
    <n v="37"/>
    <x v="1"/>
  </r>
  <r>
    <n v="25529"/>
    <x v="1"/>
    <x v="1"/>
    <n v="10000"/>
    <n v="1"/>
    <x v="4"/>
    <s v="Manual"/>
    <x v="0"/>
    <x v="0"/>
    <x v="0"/>
    <x v="0"/>
    <x v="0"/>
    <n v="44"/>
    <x v="0"/>
  </r>
  <r>
    <n v="22170"/>
    <x v="0"/>
    <x v="0"/>
    <n v="30000"/>
    <n v="3"/>
    <x v="1"/>
    <s v="Clerical"/>
    <x v="1"/>
    <x v="2"/>
    <x v="3"/>
    <x v="1"/>
    <x v="1"/>
    <n v="55"/>
    <x v="1"/>
  </r>
  <r>
    <n v="19445"/>
    <x v="0"/>
    <x v="0"/>
    <n v="10000"/>
    <n v="2"/>
    <x v="2"/>
    <s v="Manual"/>
    <x v="1"/>
    <x v="1"/>
    <x v="0"/>
    <x v="0"/>
    <x v="2"/>
    <n v="38"/>
    <x v="0"/>
  </r>
  <r>
    <n v="15265"/>
    <x v="1"/>
    <x v="1"/>
    <n v="40000"/>
    <n v="2"/>
    <x v="0"/>
    <s v="Management"/>
    <x v="0"/>
    <x v="2"/>
    <x v="2"/>
    <x v="1"/>
    <x v="1"/>
    <n v="66"/>
    <x v="1"/>
  </r>
  <r>
    <n v="28918"/>
    <x v="0"/>
    <x v="0"/>
    <n v="130000"/>
    <n v="4"/>
    <x v="2"/>
    <s v="Management"/>
    <x v="1"/>
    <x v="3"/>
    <x v="4"/>
    <x v="0"/>
    <x v="1"/>
    <n v="58"/>
    <x v="0"/>
  </r>
  <r>
    <n v="15799"/>
    <x v="0"/>
    <x v="0"/>
    <n v="90000"/>
    <n v="1"/>
    <x v="0"/>
    <s v="Professional"/>
    <x v="0"/>
    <x v="1"/>
    <x v="1"/>
    <x v="1"/>
    <x v="0"/>
    <n v="47"/>
    <x v="1"/>
  </r>
  <r>
    <n v="11047"/>
    <x v="0"/>
    <x v="0"/>
    <n v="30000"/>
    <n v="3"/>
    <x v="2"/>
    <s v="Skilled Manual"/>
    <x v="1"/>
    <x v="2"/>
    <x v="3"/>
    <x v="1"/>
    <x v="1"/>
    <n v="56"/>
    <x v="1"/>
  </r>
  <r>
    <n v="18151"/>
    <x v="1"/>
    <x v="1"/>
    <n v="80000"/>
    <n v="5"/>
    <x v="1"/>
    <s v="Professional"/>
    <x v="1"/>
    <x v="2"/>
    <x v="4"/>
    <x v="0"/>
    <x v="1"/>
    <n v="59"/>
    <x v="0"/>
  </r>
  <r>
    <n v="20606"/>
    <x v="0"/>
    <x v="0"/>
    <n v="70000"/>
    <n v="0"/>
    <x v="0"/>
    <s v="Professional"/>
    <x v="0"/>
    <x v="3"/>
    <x v="4"/>
    <x v="1"/>
    <x v="2"/>
    <n v="32"/>
    <x v="1"/>
  </r>
  <r>
    <n v="19482"/>
    <x v="0"/>
    <x v="1"/>
    <n v="30000"/>
    <n v="1"/>
    <x v="1"/>
    <s v="Clerical"/>
    <x v="0"/>
    <x v="1"/>
    <x v="0"/>
    <x v="0"/>
    <x v="0"/>
    <n v="44"/>
    <x v="1"/>
  </r>
  <r>
    <n v="16489"/>
    <x v="0"/>
    <x v="1"/>
    <n v="30000"/>
    <n v="3"/>
    <x v="2"/>
    <s v="Skilled Manual"/>
    <x v="0"/>
    <x v="2"/>
    <x v="2"/>
    <x v="1"/>
    <x v="1"/>
    <n v="55"/>
    <x v="0"/>
  </r>
  <r>
    <n v="26944"/>
    <x v="1"/>
    <x v="1"/>
    <n v="90000"/>
    <n v="2"/>
    <x v="2"/>
    <s v="Manual"/>
    <x v="0"/>
    <x v="0"/>
    <x v="0"/>
    <x v="0"/>
    <x v="2"/>
    <n v="36"/>
    <x v="1"/>
  </r>
  <r>
    <n v="15682"/>
    <x v="1"/>
    <x v="0"/>
    <n v="80000"/>
    <n v="5"/>
    <x v="0"/>
    <s v="Management"/>
    <x v="0"/>
    <x v="2"/>
    <x v="4"/>
    <x v="0"/>
    <x v="1"/>
    <n v="62"/>
    <x v="0"/>
  </r>
  <r>
    <n v="26032"/>
    <x v="0"/>
    <x v="0"/>
    <n v="70000"/>
    <n v="5"/>
    <x v="0"/>
    <s v="Professional"/>
    <x v="0"/>
    <x v="3"/>
    <x v="4"/>
    <x v="1"/>
    <x v="0"/>
    <n v="41"/>
    <x v="0"/>
  </r>
  <r>
    <n v="17843"/>
    <x v="1"/>
    <x v="0"/>
    <n v="10000"/>
    <n v="0"/>
    <x v="3"/>
    <s v="Manual"/>
    <x v="1"/>
    <x v="2"/>
    <x v="0"/>
    <x v="0"/>
    <x v="2"/>
    <n v="32"/>
    <x v="0"/>
  </r>
  <r>
    <n v="25559"/>
    <x v="1"/>
    <x v="1"/>
    <n v="20000"/>
    <n v="0"/>
    <x v="0"/>
    <s v="Clerical"/>
    <x v="0"/>
    <x v="0"/>
    <x v="0"/>
    <x v="1"/>
    <x v="3"/>
    <n v="25"/>
    <x v="1"/>
  </r>
  <r>
    <n v="16209"/>
    <x v="1"/>
    <x v="0"/>
    <n v="50000"/>
    <n v="0"/>
    <x v="4"/>
    <s v="Skilled Manual"/>
    <x v="0"/>
    <x v="0"/>
    <x v="3"/>
    <x v="0"/>
    <x v="2"/>
    <n v="36"/>
    <x v="0"/>
  </r>
  <r>
    <n v="11147"/>
    <x v="0"/>
    <x v="1"/>
    <n v="60000"/>
    <n v="2"/>
    <x v="4"/>
    <s v="Management"/>
    <x v="0"/>
    <x v="1"/>
    <x v="0"/>
    <x v="1"/>
    <x v="1"/>
    <n v="67"/>
    <x v="1"/>
  </r>
  <r>
    <n v="15214"/>
    <x v="1"/>
    <x v="0"/>
    <n v="100000"/>
    <n v="0"/>
    <x v="4"/>
    <s v="Management"/>
    <x v="1"/>
    <x v="1"/>
    <x v="3"/>
    <x v="1"/>
    <x v="2"/>
    <n v="39"/>
    <x v="1"/>
  </r>
  <r>
    <n v="11453"/>
    <x v="1"/>
    <x v="1"/>
    <n v="80000"/>
    <n v="0"/>
    <x v="0"/>
    <s v="Professional"/>
    <x v="1"/>
    <x v="4"/>
    <x v="4"/>
    <x v="1"/>
    <x v="2"/>
    <n v="33"/>
    <x v="1"/>
  </r>
  <r>
    <n v="24584"/>
    <x v="1"/>
    <x v="1"/>
    <n v="60000"/>
    <n v="0"/>
    <x v="0"/>
    <s v="Professional"/>
    <x v="1"/>
    <x v="4"/>
    <x v="1"/>
    <x v="1"/>
    <x v="2"/>
    <n v="31"/>
    <x v="0"/>
  </r>
  <r>
    <n v="12585"/>
    <x v="0"/>
    <x v="1"/>
    <n v="10000"/>
    <n v="1"/>
    <x v="2"/>
    <s v="Manual"/>
    <x v="0"/>
    <x v="0"/>
    <x v="1"/>
    <x v="1"/>
    <x v="3"/>
    <n v="27"/>
    <x v="1"/>
  </r>
  <r>
    <n v="18626"/>
    <x v="1"/>
    <x v="1"/>
    <n v="40000"/>
    <n v="2"/>
    <x v="1"/>
    <s v="Clerical"/>
    <x v="0"/>
    <x v="0"/>
    <x v="3"/>
    <x v="0"/>
    <x v="2"/>
    <n v="33"/>
    <x v="1"/>
  </r>
  <r>
    <n v="29298"/>
    <x v="1"/>
    <x v="0"/>
    <n v="60000"/>
    <n v="1"/>
    <x v="1"/>
    <s v="Skilled Manual"/>
    <x v="0"/>
    <x v="1"/>
    <x v="2"/>
    <x v="1"/>
    <x v="0"/>
    <n v="46"/>
    <x v="1"/>
  </r>
  <r>
    <n v="24842"/>
    <x v="1"/>
    <x v="0"/>
    <n v="90000"/>
    <n v="3"/>
    <x v="2"/>
    <s v="Professional"/>
    <x v="1"/>
    <x v="1"/>
    <x v="1"/>
    <x v="0"/>
    <x v="0"/>
    <n v="51"/>
    <x v="0"/>
  </r>
  <r>
    <n v="15657"/>
    <x v="0"/>
    <x v="1"/>
    <n v="30000"/>
    <n v="3"/>
    <x v="4"/>
    <s v="Clerical"/>
    <x v="0"/>
    <x v="0"/>
    <x v="0"/>
    <x v="0"/>
    <x v="0"/>
    <n v="46"/>
    <x v="1"/>
  </r>
  <r>
    <n v="11415"/>
    <x v="1"/>
    <x v="1"/>
    <n v="90000"/>
    <n v="5"/>
    <x v="1"/>
    <s v="Professional"/>
    <x v="1"/>
    <x v="2"/>
    <x v="4"/>
    <x v="0"/>
    <x v="1"/>
    <n v="62"/>
    <x v="0"/>
  </r>
  <r>
    <n v="28729"/>
    <x v="1"/>
    <x v="0"/>
    <n v="20000"/>
    <n v="0"/>
    <x v="3"/>
    <s v="Manual"/>
    <x v="0"/>
    <x v="2"/>
    <x v="3"/>
    <x v="0"/>
    <x v="3"/>
    <n v="26"/>
    <x v="1"/>
  </r>
  <r>
    <n v="22633"/>
    <x v="1"/>
    <x v="0"/>
    <n v="40000"/>
    <n v="0"/>
    <x v="4"/>
    <s v="Clerical"/>
    <x v="0"/>
    <x v="0"/>
    <x v="0"/>
    <x v="0"/>
    <x v="2"/>
    <n v="37"/>
    <x v="1"/>
  </r>
  <r>
    <n v="25649"/>
    <x v="1"/>
    <x v="0"/>
    <n v="30000"/>
    <n v="3"/>
    <x v="1"/>
    <s v="Clerical"/>
    <x v="0"/>
    <x v="0"/>
    <x v="0"/>
    <x v="0"/>
    <x v="0"/>
    <n v="42"/>
    <x v="1"/>
  </r>
  <r>
    <n v="14669"/>
    <x v="0"/>
    <x v="0"/>
    <n v="80000"/>
    <n v="4"/>
    <x v="4"/>
    <s v="Management"/>
    <x v="0"/>
    <x v="1"/>
    <x v="0"/>
    <x v="1"/>
    <x v="2"/>
    <n v="36"/>
    <x v="0"/>
  </r>
  <r>
    <n v="19299"/>
    <x v="0"/>
    <x v="0"/>
    <n v="50000"/>
    <n v="0"/>
    <x v="4"/>
    <s v="Skilled Manual"/>
    <x v="0"/>
    <x v="0"/>
    <x v="0"/>
    <x v="0"/>
    <x v="2"/>
    <n v="36"/>
    <x v="1"/>
  </r>
  <r>
    <n v="20946"/>
    <x v="1"/>
    <x v="0"/>
    <n v="30000"/>
    <n v="0"/>
    <x v="1"/>
    <s v="Clerical"/>
    <x v="1"/>
    <x v="1"/>
    <x v="1"/>
    <x v="0"/>
    <x v="2"/>
    <n v="30"/>
    <x v="0"/>
  </r>
  <r>
    <n v="11451"/>
    <x v="1"/>
    <x v="1"/>
    <n v="70000"/>
    <n v="0"/>
    <x v="0"/>
    <s v="Professional"/>
    <x v="1"/>
    <x v="3"/>
    <x v="4"/>
    <x v="1"/>
    <x v="2"/>
    <n v="31"/>
    <x v="1"/>
  </r>
  <r>
    <n v="25553"/>
    <x v="0"/>
    <x v="1"/>
    <n v="30000"/>
    <n v="1"/>
    <x v="0"/>
    <s v="Clerical"/>
    <x v="0"/>
    <x v="0"/>
    <x v="0"/>
    <x v="0"/>
    <x v="1"/>
    <n v="65"/>
    <x v="1"/>
  </r>
  <r>
    <n v="27951"/>
    <x v="1"/>
    <x v="1"/>
    <n v="80000"/>
    <n v="4"/>
    <x v="1"/>
    <s v="Professional"/>
    <x v="1"/>
    <x v="2"/>
    <x v="1"/>
    <x v="0"/>
    <x v="0"/>
    <n v="54"/>
    <x v="1"/>
  </r>
  <r>
    <n v="25026"/>
    <x v="0"/>
    <x v="1"/>
    <n v="20000"/>
    <n v="2"/>
    <x v="3"/>
    <s v="Clerical"/>
    <x v="0"/>
    <x v="4"/>
    <x v="2"/>
    <x v="1"/>
    <x v="0"/>
    <n v="54"/>
    <x v="0"/>
  </r>
  <r>
    <n v="13673"/>
    <x v="1"/>
    <x v="0"/>
    <n v="20000"/>
    <n v="0"/>
    <x v="3"/>
    <s v="Manual"/>
    <x v="1"/>
    <x v="2"/>
    <x v="0"/>
    <x v="0"/>
    <x v="3"/>
    <n v="25"/>
    <x v="0"/>
  </r>
  <r>
    <n v="16043"/>
    <x v="1"/>
    <x v="1"/>
    <n v="10000"/>
    <n v="1"/>
    <x v="0"/>
    <s v="Manual"/>
    <x v="0"/>
    <x v="0"/>
    <x v="0"/>
    <x v="0"/>
    <x v="0"/>
    <n v="48"/>
    <x v="0"/>
  </r>
  <r>
    <n v="22399"/>
    <x v="1"/>
    <x v="1"/>
    <n v="10000"/>
    <n v="0"/>
    <x v="1"/>
    <s v="Manual"/>
    <x v="0"/>
    <x v="1"/>
    <x v="3"/>
    <x v="1"/>
    <x v="3"/>
    <n v="26"/>
    <x v="1"/>
  </r>
  <r>
    <n v="27696"/>
    <x v="0"/>
    <x v="1"/>
    <n v="60000"/>
    <n v="1"/>
    <x v="0"/>
    <s v="Professional"/>
    <x v="0"/>
    <x v="1"/>
    <x v="2"/>
    <x v="1"/>
    <x v="0"/>
    <n v="43"/>
    <x v="1"/>
  </r>
  <r>
    <n v="25313"/>
    <x v="1"/>
    <x v="1"/>
    <n v="10000"/>
    <n v="0"/>
    <x v="3"/>
    <s v="Manual"/>
    <x v="1"/>
    <x v="2"/>
    <x v="3"/>
    <x v="0"/>
    <x v="2"/>
    <n v="35"/>
    <x v="0"/>
  </r>
  <r>
    <n v="13813"/>
    <x v="0"/>
    <x v="0"/>
    <n v="30000"/>
    <n v="3"/>
    <x v="1"/>
    <s v="Clerical"/>
    <x v="1"/>
    <x v="0"/>
    <x v="0"/>
    <x v="0"/>
    <x v="0"/>
    <n v="42"/>
    <x v="0"/>
  </r>
  <r>
    <n v="18711"/>
    <x v="1"/>
    <x v="0"/>
    <n v="70000"/>
    <n v="5"/>
    <x v="0"/>
    <s v="Professional"/>
    <x v="0"/>
    <x v="3"/>
    <x v="4"/>
    <x v="1"/>
    <x v="2"/>
    <n v="39"/>
    <x v="0"/>
  </r>
  <r>
    <n v="19650"/>
    <x v="0"/>
    <x v="0"/>
    <n v="30000"/>
    <n v="2"/>
    <x v="1"/>
    <s v="Clerical"/>
    <x v="1"/>
    <x v="2"/>
    <x v="0"/>
    <x v="1"/>
    <x v="1"/>
    <n v="67"/>
    <x v="0"/>
  </r>
  <r>
    <n v="14135"/>
    <x v="0"/>
    <x v="1"/>
    <n v="20000"/>
    <n v="1"/>
    <x v="1"/>
    <s v="Manual"/>
    <x v="0"/>
    <x v="0"/>
    <x v="3"/>
    <x v="0"/>
    <x v="2"/>
    <n v="35"/>
    <x v="0"/>
  </r>
  <r>
    <n v="12833"/>
    <x v="1"/>
    <x v="0"/>
    <n v="20000"/>
    <n v="3"/>
    <x v="2"/>
    <s v="Manual"/>
    <x v="0"/>
    <x v="1"/>
    <x v="0"/>
    <x v="0"/>
    <x v="0"/>
    <n v="42"/>
    <x v="1"/>
  </r>
  <r>
    <n v="26849"/>
    <x v="0"/>
    <x v="1"/>
    <n v="10000"/>
    <n v="3"/>
    <x v="3"/>
    <s v="Manual"/>
    <x v="0"/>
    <x v="2"/>
    <x v="0"/>
    <x v="0"/>
    <x v="0"/>
    <n v="43"/>
    <x v="0"/>
  </r>
  <r>
    <n v="20962"/>
    <x v="0"/>
    <x v="0"/>
    <n v="20000"/>
    <n v="1"/>
    <x v="4"/>
    <s v="Clerical"/>
    <x v="0"/>
    <x v="0"/>
    <x v="0"/>
    <x v="0"/>
    <x v="0"/>
    <n v="45"/>
    <x v="0"/>
  </r>
  <r>
    <n v="28915"/>
    <x v="1"/>
    <x v="1"/>
    <n v="80000"/>
    <n v="5"/>
    <x v="2"/>
    <s v="Management"/>
    <x v="0"/>
    <x v="4"/>
    <x v="4"/>
    <x v="0"/>
    <x v="1"/>
    <n v="57"/>
    <x v="0"/>
  </r>
  <r>
    <n v="22830"/>
    <x v="0"/>
    <x v="1"/>
    <n v="120000"/>
    <n v="4"/>
    <x v="1"/>
    <s v="Management"/>
    <x v="0"/>
    <x v="4"/>
    <x v="4"/>
    <x v="0"/>
    <x v="1"/>
    <n v="56"/>
    <x v="0"/>
  </r>
  <r>
    <n v="14777"/>
    <x v="0"/>
    <x v="0"/>
    <n v="40000"/>
    <n v="0"/>
    <x v="0"/>
    <s v="Clerical"/>
    <x v="0"/>
    <x v="0"/>
    <x v="0"/>
    <x v="0"/>
    <x v="2"/>
    <n v="38"/>
    <x v="1"/>
  </r>
  <r>
    <n v="12591"/>
    <x v="0"/>
    <x v="0"/>
    <n v="30000"/>
    <n v="4"/>
    <x v="4"/>
    <s v="Clerical"/>
    <x v="0"/>
    <x v="0"/>
    <x v="0"/>
    <x v="0"/>
    <x v="0"/>
    <n v="45"/>
    <x v="0"/>
  </r>
  <r>
    <n v="24174"/>
    <x v="0"/>
    <x v="1"/>
    <n v="20000"/>
    <n v="0"/>
    <x v="0"/>
    <s v="Clerical"/>
    <x v="0"/>
    <x v="0"/>
    <x v="0"/>
    <x v="1"/>
    <x v="3"/>
    <n v="27"/>
    <x v="1"/>
  </r>
  <r>
    <n v="24611"/>
    <x v="1"/>
    <x v="1"/>
    <n v="90000"/>
    <n v="0"/>
    <x v="0"/>
    <s v="Professional"/>
    <x v="1"/>
    <x v="3"/>
    <x v="4"/>
    <x v="1"/>
    <x v="2"/>
    <n v="35"/>
    <x v="1"/>
  </r>
  <r>
    <n v="11340"/>
    <x v="0"/>
    <x v="0"/>
    <n v="10000"/>
    <n v="1"/>
    <x v="4"/>
    <s v="Clerical"/>
    <x v="0"/>
    <x v="0"/>
    <x v="0"/>
    <x v="0"/>
    <x v="4"/>
    <n v="70"/>
    <x v="1"/>
  </r>
  <r>
    <n v="25693"/>
    <x v="1"/>
    <x v="0"/>
    <n v="30000"/>
    <n v="5"/>
    <x v="4"/>
    <s v="Clerical"/>
    <x v="0"/>
    <x v="0"/>
    <x v="0"/>
    <x v="0"/>
    <x v="0"/>
    <n v="44"/>
    <x v="1"/>
  </r>
  <r>
    <n v="25555"/>
    <x v="0"/>
    <x v="0"/>
    <n v="10000"/>
    <n v="0"/>
    <x v="1"/>
    <s v="Manual"/>
    <x v="1"/>
    <x v="1"/>
    <x v="0"/>
    <x v="1"/>
    <x v="3"/>
    <n v="26"/>
    <x v="1"/>
  </r>
  <r>
    <n v="22006"/>
    <x v="0"/>
    <x v="1"/>
    <n v="70000"/>
    <n v="5"/>
    <x v="1"/>
    <s v="Skilled Manual"/>
    <x v="0"/>
    <x v="4"/>
    <x v="2"/>
    <x v="1"/>
    <x v="0"/>
    <n v="46"/>
    <x v="0"/>
  </r>
  <r>
    <n v="20060"/>
    <x v="1"/>
    <x v="0"/>
    <n v="30000"/>
    <n v="0"/>
    <x v="2"/>
    <s v="Manual"/>
    <x v="1"/>
    <x v="1"/>
    <x v="1"/>
    <x v="0"/>
    <x v="2"/>
    <n v="34"/>
    <x v="1"/>
  </r>
  <r>
    <n v="17702"/>
    <x v="0"/>
    <x v="1"/>
    <n v="10000"/>
    <n v="1"/>
    <x v="4"/>
    <s v="Manual"/>
    <x v="0"/>
    <x v="0"/>
    <x v="0"/>
    <x v="0"/>
    <x v="2"/>
    <n v="37"/>
    <x v="0"/>
  </r>
  <r>
    <n v="12503"/>
    <x v="1"/>
    <x v="0"/>
    <n v="30000"/>
    <n v="3"/>
    <x v="1"/>
    <s v="Clerical"/>
    <x v="0"/>
    <x v="2"/>
    <x v="0"/>
    <x v="0"/>
    <x v="3"/>
    <n v="27"/>
    <x v="0"/>
  </r>
  <r>
    <n v="23908"/>
    <x v="1"/>
    <x v="1"/>
    <n v="30000"/>
    <n v="1"/>
    <x v="0"/>
    <s v="Clerical"/>
    <x v="1"/>
    <x v="1"/>
    <x v="0"/>
    <x v="0"/>
    <x v="2"/>
    <n v="39"/>
    <x v="1"/>
  </r>
  <r>
    <n v="22527"/>
    <x v="1"/>
    <x v="0"/>
    <n v="20000"/>
    <n v="0"/>
    <x v="2"/>
    <s v="Manual"/>
    <x v="1"/>
    <x v="1"/>
    <x v="1"/>
    <x v="0"/>
    <x v="3"/>
    <n v="29"/>
    <x v="0"/>
  </r>
  <r>
    <n v="19057"/>
    <x v="0"/>
    <x v="0"/>
    <n v="120000"/>
    <n v="3"/>
    <x v="0"/>
    <s v="Management"/>
    <x v="1"/>
    <x v="2"/>
    <x v="4"/>
    <x v="0"/>
    <x v="0"/>
    <n v="52"/>
    <x v="1"/>
  </r>
  <r>
    <n v="18494"/>
    <x v="0"/>
    <x v="1"/>
    <n v="110000"/>
    <n v="5"/>
    <x v="0"/>
    <s v="Management"/>
    <x v="0"/>
    <x v="3"/>
    <x v="1"/>
    <x v="1"/>
    <x v="0"/>
    <n v="48"/>
    <x v="1"/>
  </r>
  <r>
    <n v="11249"/>
    <x v="0"/>
    <x v="0"/>
    <n v="130000"/>
    <n v="3"/>
    <x v="1"/>
    <s v="Professional"/>
    <x v="0"/>
    <x v="4"/>
    <x v="0"/>
    <x v="0"/>
    <x v="0"/>
    <n v="51"/>
    <x v="1"/>
  </r>
  <r>
    <n v="21568"/>
    <x v="0"/>
    <x v="0"/>
    <n v="100000"/>
    <n v="0"/>
    <x v="2"/>
    <s v="Management"/>
    <x v="0"/>
    <x v="3"/>
    <x v="4"/>
    <x v="1"/>
    <x v="2"/>
    <n v="34"/>
    <x v="1"/>
  </r>
  <r>
    <n v="13981"/>
    <x v="0"/>
    <x v="0"/>
    <n v="10000"/>
    <n v="5"/>
    <x v="2"/>
    <s v="Skilled Manual"/>
    <x v="1"/>
    <x v="4"/>
    <x v="3"/>
    <x v="1"/>
    <x v="1"/>
    <n v="62"/>
    <x v="0"/>
  </r>
  <r>
    <n v="23432"/>
    <x v="1"/>
    <x v="1"/>
    <n v="70000"/>
    <n v="0"/>
    <x v="0"/>
    <s v="Professional"/>
    <x v="0"/>
    <x v="1"/>
    <x v="2"/>
    <x v="1"/>
    <x v="2"/>
    <n v="37"/>
    <x v="1"/>
  </r>
  <r>
    <n v="22931"/>
    <x v="0"/>
    <x v="1"/>
    <n v="100000"/>
    <n v="5"/>
    <x v="4"/>
    <s v="Management"/>
    <x v="1"/>
    <x v="1"/>
    <x v="3"/>
    <x v="1"/>
    <x v="4"/>
    <n v="78"/>
    <x v="1"/>
  </r>
  <r>
    <n v="18172"/>
    <x v="0"/>
    <x v="1"/>
    <n v="130000"/>
    <n v="4"/>
    <x v="2"/>
    <s v="Professional"/>
    <x v="0"/>
    <x v="4"/>
    <x v="0"/>
    <x v="0"/>
    <x v="1"/>
    <n v="55"/>
    <x v="0"/>
  </r>
  <r>
    <n v="12666"/>
    <x v="1"/>
    <x v="1"/>
    <n v="60000"/>
    <n v="0"/>
    <x v="0"/>
    <s v="Professional"/>
    <x v="1"/>
    <x v="3"/>
    <x v="1"/>
    <x v="1"/>
    <x v="2"/>
    <n v="31"/>
    <x v="0"/>
  </r>
  <r>
    <n v="20598"/>
    <x v="0"/>
    <x v="1"/>
    <n v="100000"/>
    <n v="3"/>
    <x v="3"/>
    <s v="Professional"/>
    <x v="0"/>
    <x v="0"/>
    <x v="4"/>
    <x v="0"/>
    <x v="1"/>
    <n v="59"/>
    <x v="1"/>
  </r>
  <r>
    <n v="21375"/>
    <x v="1"/>
    <x v="1"/>
    <n v="20000"/>
    <n v="2"/>
    <x v="3"/>
    <s v="Clerical"/>
    <x v="0"/>
    <x v="2"/>
    <x v="2"/>
    <x v="1"/>
    <x v="1"/>
    <n v="57"/>
    <x v="0"/>
  </r>
  <r>
    <n v="20839"/>
    <x v="1"/>
    <x v="0"/>
    <n v="30000"/>
    <n v="3"/>
    <x v="4"/>
    <s v="Clerical"/>
    <x v="0"/>
    <x v="0"/>
    <x v="0"/>
    <x v="0"/>
    <x v="0"/>
    <n v="47"/>
    <x v="1"/>
  </r>
  <r>
    <n v="21738"/>
    <x v="0"/>
    <x v="1"/>
    <n v="20000"/>
    <n v="1"/>
    <x v="4"/>
    <s v="Clerical"/>
    <x v="0"/>
    <x v="0"/>
    <x v="0"/>
    <x v="0"/>
    <x v="0"/>
    <n v="43"/>
    <x v="0"/>
  </r>
  <r>
    <n v="14164"/>
    <x v="1"/>
    <x v="0"/>
    <n v="50000"/>
    <n v="0"/>
    <x v="4"/>
    <s v="Skilled Manual"/>
    <x v="0"/>
    <x v="0"/>
    <x v="0"/>
    <x v="0"/>
    <x v="2"/>
    <n v="36"/>
    <x v="1"/>
  </r>
  <r>
    <n v="14193"/>
    <x v="1"/>
    <x v="0"/>
    <n v="100000"/>
    <n v="3"/>
    <x v="1"/>
    <s v="Management"/>
    <x v="0"/>
    <x v="3"/>
    <x v="4"/>
    <x v="0"/>
    <x v="1"/>
    <n v="56"/>
    <x v="0"/>
  </r>
  <r>
    <n v="12705"/>
    <x v="0"/>
    <x v="1"/>
    <n v="150000"/>
    <n v="0"/>
    <x v="0"/>
    <s v="Management"/>
    <x v="0"/>
    <x v="3"/>
    <x v="0"/>
    <x v="1"/>
    <x v="2"/>
    <n v="37"/>
    <x v="1"/>
  </r>
  <r>
    <n v="22672"/>
    <x v="1"/>
    <x v="0"/>
    <n v="30000"/>
    <n v="2"/>
    <x v="1"/>
    <s v="Clerical"/>
    <x v="0"/>
    <x v="0"/>
    <x v="0"/>
    <x v="0"/>
    <x v="0"/>
    <n v="43"/>
    <x v="0"/>
  </r>
  <r>
    <n v="26219"/>
    <x v="0"/>
    <x v="0"/>
    <n v="40000"/>
    <n v="1"/>
    <x v="0"/>
    <s v="Skilled Manual"/>
    <x v="0"/>
    <x v="1"/>
    <x v="3"/>
    <x v="0"/>
    <x v="2"/>
    <n v="33"/>
    <x v="1"/>
  </r>
  <r>
    <n v="28468"/>
    <x v="0"/>
    <x v="0"/>
    <n v="10000"/>
    <n v="2"/>
    <x v="1"/>
    <s v="Manual"/>
    <x v="0"/>
    <x v="0"/>
    <x v="3"/>
    <x v="0"/>
    <x v="0"/>
    <n v="51"/>
    <x v="0"/>
  </r>
  <r>
    <n v="23419"/>
    <x v="1"/>
    <x v="0"/>
    <n v="70000"/>
    <n v="5"/>
    <x v="0"/>
    <s v="Professional"/>
    <x v="0"/>
    <x v="4"/>
    <x v="4"/>
    <x v="1"/>
    <x v="2"/>
    <n v="39"/>
    <x v="0"/>
  </r>
  <r>
    <n v="17964"/>
    <x v="0"/>
    <x v="1"/>
    <n v="40000"/>
    <n v="0"/>
    <x v="4"/>
    <s v="Clerical"/>
    <x v="0"/>
    <x v="0"/>
    <x v="0"/>
    <x v="0"/>
    <x v="2"/>
    <n v="37"/>
    <x v="1"/>
  </r>
  <r>
    <n v="20919"/>
    <x v="1"/>
    <x v="0"/>
    <n v="30000"/>
    <n v="2"/>
    <x v="1"/>
    <s v="Clerical"/>
    <x v="0"/>
    <x v="2"/>
    <x v="0"/>
    <x v="0"/>
    <x v="0"/>
    <n v="42"/>
    <x v="0"/>
  </r>
  <r>
    <n v="20927"/>
    <x v="1"/>
    <x v="0"/>
    <n v="20000"/>
    <n v="5"/>
    <x v="2"/>
    <s v="Manual"/>
    <x v="0"/>
    <x v="2"/>
    <x v="0"/>
    <x v="0"/>
    <x v="3"/>
    <n v="27"/>
    <x v="0"/>
  </r>
  <r>
    <n v="13133"/>
    <x v="1"/>
    <x v="1"/>
    <n v="100000"/>
    <n v="5"/>
    <x v="0"/>
    <s v="Professional"/>
    <x v="0"/>
    <x v="1"/>
    <x v="2"/>
    <x v="1"/>
    <x v="0"/>
    <n v="47"/>
    <x v="1"/>
  </r>
  <r>
    <n v="19626"/>
    <x v="0"/>
    <x v="1"/>
    <n v="70000"/>
    <n v="5"/>
    <x v="1"/>
    <s v="Skilled Manual"/>
    <x v="0"/>
    <x v="4"/>
    <x v="2"/>
    <x v="1"/>
    <x v="0"/>
    <n v="45"/>
    <x v="0"/>
  </r>
  <r>
    <n v="21039"/>
    <x v="1"/>
    <x v="0"/>
    <n v="50000"/>
    <n v="0"/>
    <x v="4"/>
    <s v="Skilled Manual"/>
    <x v="1"/>
    <x v="0"/>
    <x v="0"/>
    <x v="0"/>
    <x v="2"/>
    <n v="37"/>
    <x v="1"/>
  </r>
  <r>
    <n v="12231"/>
    <x v="1"/>
    <x v="0"/>
    <n v="10000"/>
    <n v="2"/>
    <x v="1"/>
    <s v="Manual"/>
    <x v="0"/>
    <x v="0"/>
    <x v="0"/>
    <x v="0"/>
    <x v="0"/>
    <n v="51"/>
    <x v="1"/>
  </r>
  <r>
    <n v="25665"/>
    <x v="1"/>
    <x v="0"/>
    <n v="20000"/>
    <n v="0"/>
    <x v="2"/>
    <s v="Manual"/>
    <x v="1"/>
    <x v="1"/>
    <x v="3"/>
    <x v="0"/>
    <x v="3"/>
    <n v="28"/>
    <x v="0"/>
  </r>
  <r>
    <n v="24061"/>
    <x v="0"/>
    <x v="1"/>
    <n v="10000"/>
    <n v="4"/>
    <x v="3"/>
    <s v="Manual"/>
    <x v="0"/>
    <x v="1"/>
    <x v="0"/>
    <x v="0"/>
    <x v="0"/>
    <n v="40"/>
    <x v="1"/>
  </r>
  <r>
    <n v="26879"/>
    <x v="1"/>
    <x v="0"/>
    <n v="20000"/>
    <n v="0"/>
    <x v="2"/>
    <s v="Manual"/>
    <x v="1"/>
    <x v="1"/>
    <x v="1"/>
    <x v="0"/>
    <x v="2"/>
    <n v="30"/>
    <x v="0"/>
  </r>
  <r>
    <n v="12284"/>
    <x v="0"/>
    <x v="0"/>
    <n v="30000"/>
    <n v="0"/>
    <x v="0"/>
    <s v="Clerical"/>
    <x v="1"/>
    <x v="0"/>
    <x v="0"/>
    <x v="0"/>
    <x v="2"/>
    <n v="36"/>
    <x v="1"/>
  </r>
  <r>
    <n v="26654"/>
    <x v="0"/>
    <x v="0"/>
    <n v="90000"/>
    <n v="1"/>
    <x v="4"/>
    <s v="Management"/>
    <x v="0"/>
    <x v="0"/>
    <x v="0"/>
    <x v="1"/>
    <x v="2"/>
    <n v="37"/>
    <x v="1"/>
  </r>
  <r>
    <n v="14545"/>
    <x v="0"/>
    <x v="0"/>
    <n v="10000"/>
    <n v="2"/>
    <x v="1"/>
    <s v="Manual"/>
    <x v="0"/>
    <x v="0"/>
    <x v="3"/>
    <x v="0"/>
    <x v="0"/>
    <n v="49"/>
    <x v="0"/>
  </r>
  <r>
    <n v="24201"/>
    <x v="0"/>
    <x v="0"/>
    <n v="10000"/>
    <n v="2"/>
    <x v="2"/>
    <s v="Manual"/>
    <x v="0"/>
    <x v="0"/>
    <x v="0"/>
    <x v="0"/>
    <x v="2"/>
    <n v="37"/>
    <x v="1"/>
  </r>
  <r>
    <n v="20625"/>
    <x v="0"/>
    <x v="1"/>
    <n v="100000"/>
    <n v="0"/>
    <x v="2"/>
    <s v="Management"/>
    <x v="0"/>
    <x v="4"/>
    <x v="4"/>
    <x v="1"/>
    <x v="2"/>
    <n v="35"/>
    <x v="1"/>
  </r>
  <r>
    <n v="16390"/>
    <x v="1"/>
    <x v="1"/>
    <n v="30000"/>
    <n v="1"/>
    <x v="0"/>
    <s v="Clerical"/>
    <x v="1"/>
    <x v="0"/>
    <x v="0"/>
    <x v="0"/>
    <x v="2"/>
    <n v="38"/>
    <x v="1"/>
  </r>
  <r>
    <n v="14804"/>
    <x v="1"/>
    <x v="0"/>
    <n v="10000"/>
    <n v="3"/>
    <x v="3"/>
    <s v="Manual"/>
    <x v="0"/>
    <x v="2"/>
    <x v="0"/>
    <x v="0"/>
    <x v="0"/>
    <n v="43"/>
    <x v="0"/>
  </r>
  <r>
    <n v="12629"/>
    <x v="1"/>
    <x v="1"/>
    <n v="20000"/>
    <n v="1"/>
    <x v="1"/>
    <s v="Manual"/>
    <x v="1"/>
    <x v="0"/>
    <x v="0"/>
    <x v="0"/>
    <x v="2"/>
    <n v="37"/>
    <x v="0"/>
  </r>
  <r>
    <n v="14696"/>
    <x v="1"/>
    <x v="1"/>
    <n v="10000"/>
    <n v="0"/>
    <x v="3"/>
    <s v="Manual"/>
    <x v="1"/>
    <x v="2"/>
    <x v="0"/>
    <x v="0"/>
    <x v="2"/>
    <n v="34"/>
    <x v="0"/>
  </r>
  <r>
    <n v="22005"/>
    <x v="0"/>
    <x v="0"/>
    <n v="70000"/>
    <n v="5"/>
    <x v="1"/>
    <s v="Skilled Manual"/>
    <x v="1"/>
    <x v="4"/>
    <x v="2"/>
    <x v="1"/>
    <x v="0"/>
    <n v="46"/>
    <x v="0"/>
  </r>
  <r>
    <n v="14544"/>
    <x v="1"/>
    <x v="1"/>
    <n v="10000"/>
    <n v="1"/>
    <x v="1"/>
    <s v="Manual"/>
    <x v="0"/>
    <x v="0"/>
    <x v="0"/>
    <x v="0"/>
    <x v="0"/>
    <n v="49"/>
    <x v="0"/>
  </r>
  <r>
    <n v="14312"/>
    <x v="0"/>
    <x v="0"/>
    <n v="60000"/>
    <n v="1"/>
    <x v="1"/>
    <s v="Skilled Manual"/>
    <x v="0"/>
    <x v="1"/>
    <x v="2"/>
    <x v="1"/>
    <x v="0"/>
    <n v="45"/>
    <x v="0"/>
  </r>
  <r>
    <n v="29120"/>
    <x v="1"/>
    <x v="0"/>
    <n v="100000"/>
    <n v="1"/>
    <x v="0"/>
    <s v="Management"/>
    <x v="0"/>
    <x v="3"/>
    <x v="1"/>
    <x v="1"/>
    <x v="0"/>
    <n v="48"/>
    <x v="0"/>
  </r>
  <r>
    <n v="24187"/>
    <x v="1"/>
    <x v="0"/>
    <n v="30000"/>
    <n v="3"/>
    <x v="4"/>
    <s v="Clerical"/>
    <x v="1"/>
    <x v="0"/>
    <x v="0"/>
    <x v="0"/>
    <x v="0"/>
    <n v="46"/>
    <x v="1"/>
  </r>
  <r>
    <n v="15758"/>
    <x v="0"/>
    <x v="1"/>
    <n v="130000"/>
    <n v="0"/>
    <x v="4"/>
    <s v="Management"/>
    <x v="0"/>
    <x v="0"/>
    <x v="2"/>
    <x v="1"/>
    <x v="0"/>
    <n v="48"/>
    <x v="0"/>
  </r>
  <r>
    <n v="29094"/>
    <x v="0"/>
    <x v="1"/>
    <n v="30000"/>
    <n v="3"/>
    <x v="2"/>
    <s v="Skilled Manual"/>
    <x v="0"/>
    <x v="2"/>
    <x v="2"/>
    <x v="1"/>
    <x v="0"/>
    <n v="54"/>
    <x v="1"/>
  </r>
  <r>
    <n v="28319"/>
    <x v="1"/>
    <x v="0"/>
    <n v="60000"/>
    <n v="1"/>
    <x v="1"/>
    <s v="Skilled Manual"/>
    <x v="1"/>
    <x v="1"/>
    <x v="0"/>
    <x v="1"/>
    <x v="0"/>
    <n v="46"/>
    <x v="1"/>
  </r>
  <r>
    <n v="16406"/>
    <x v="0"/>
    <x v="1"/>
    <n v="40000"/>
    <n v="0"/>
    <x v="0"/>
    <s v="Clerical"/>
    <x v="1"/>
    <x v="0"/>
    <x v="0"/>
    <x v="0"/>
    <x v="2"/>
    <n v="38"/>
    <x v="1"/>
  </r>
  <r>
    <n v="20923"/>
    <x v="0"/>
    <x v="0"/>
    <n v="40000"/>
    <n v="1"/>
    <x v="0"/>
    <s v="Skilled Manual"/>
    <x v="0"/>
    <x v="0"/>
    <x v="0"/>
    <x v="0"/>
    <x v="0"/>
    <n v="42"/>
    <x v="1"/>
  </r>
  <r>
    <n v="11378"/>
    <x v="1"/>
    <x v="0"/>
    <n v="10000"/>
    <n v="1"/>
    <x v="2"/>
    <s v="Manual"/>
    <x v="1"/>
    <x v="1"/>
    <x v="1"/>
    <x v="0"/>
    <x v="0"/>
    <n v="46"/>
    <x v="1"/>
  </r>
  <r>
    <n v="20851"/>
    <x v="1"/>
    <x v="1"/>
    <n v="20000"/>
    <n v="0"/>
    <x v="1"/>
    <s v="Manual"/>
    <x v="1"/>
    <x v="1"/>
    <x v="1"/>
    <x v="0"/>
    <x v="2"/>
    <n v="36"/>
    <x v="1"/>
  </r>
  <r>
    <n v="21557"/>
    <x v="1"/>
    <x v="0"/>
    <n v="110000"/>
    <n v="0"/>
    <x v="1"/>
    <s v="Management"/>
    <x v="0"/>
    <x v="4"/>
    <x v="4"/>
    <x v="1"/>
    <x v="2"/>
    <n v="32"/>
    <x v="1"/>
  </r>
  <r>
    <n v="26663"/>
    <x v="1"/>
    <x v="0"/>
    <n v="60000"/>
    <n v="2"/>
    <x v="0"/>
    <s v="Professional"/>
    <x v="1"/>
    <x v="1"/>
    <x v="0"/>
    <x v="1"/>
    <x v="2"/>
    <n v="39"/>
    <x v="1"/>
  </r>
  <r>
    <n v="11896"/>
    <x v="0"/>
    <x v="1"/>
    <n v="100000"/>
    <n v="1"/>
    <x v="4"/>
    <s v="Management"/>
    <x v="0"/>
    <x v="0"/>
    <x v="1"/>
    <x v="1"/>
    <x v="2"/>
    <n v="36"/>
    <x v="1"/>
  </r>
  <r>
    <n v="14189"/>
    <x v="0"/>
    <x v="0"/>
    <n v="90000"/>
    <n v="4"/>
    <x v="2"/>
    <s v="Professional"/>
    <x v="1"/>
    <x v="2"/>
    <x v="1"/>
    <x v="0"/>
    <x v="0"/>
    <n v="54"/>
    <x v="1"/>
  </r>
  <r>
    <n v="13136"/>
    <x v="0"/>
    <x v="0"/>
    <n v="30000"/>
    <n v="2"/>
    <x v="1"/>
    <s v="Clerical"/>
    <x v="1"/>
    <x v="2"/>
    <x v="2"/>
    <x v="1"/>
    <x v="1"/>
    <n v="69"/>
    <x v="0"/>
  </r>
  <r>
    <n v="25906"/>
    <x v="1"/>
    <x v="0"/>
    <n v="10000"/>
    <n v="5"/>
    <x v="2"/>
    <s v="Skilled Manual"/>
    <x v="1"/>
    <x v="2"/>
    <x v="3"/>
    <x v="1"/>
    <x v="1"/>
    <n v="62"/>
    <x v="0"/>
  </r>
  <r>
    <n v="17926"/>
    <x v="1"/>
    <x v="0"/>
    <n v="40000"/>
    <n v="0"/>
    <x v="0"/>
    <s v="Clerical"/>
    <x v="1"/>
    <x v="0"/>
    <x v="0"/>
    <x v="1"/>
    <x v="3"/>
    <n v="28"/>
    <x v="1"/>
  </r>
  <r>
    <n v="26928"/>
    <x v="1"/>
    <x v="1"/>
    <n v="30000"/>
    <n v="1"/>
    <x v="0"/>
    <s v="Clerical"/>
    <x v="0"/>
    <x v="0"/>
    <x v="0"/>
    <x v="0"/>
    <x v="1"/>
    <n v="62"/>
    <x v="1"/>
  </r>
  <r>
    <n v="20897"/>
    <x v="0"/>
    <x v="0"/>
    <n v="30000"/>
    <n v="1"/>
    <x v="0"/>
    <s v="Skilled Manual"/>
    <x v="0"/>
    <x v="2"/>
    <x v="0"/>
    <x v="0"/>
    <x v="0"/>
    <n v="40"/>
    <x v="0"/>
  </r>
  <r>
    <n v="28207"/>
    <x v="0"/>
    <x v="1"/>
    <n v="80000"/>
    <n v="4"/>
    <x v="4"/>
    <s v="Management"/>
    <x v="0"/>
    <x v="1"/>
    <x v="0"/>
    <x v="1"/>
    <x v="2"/>
    <n v="36"/>
    <x v="1"/>
  </r>
  <r>
    <n v="25923"/>
    <x v="1"/>
    <x v="1"/>
    <n v="10000"/>
    <n v="2"/>
    <x v="3"/>
    <s v="Clerical"/>
    <x v="0"/>
    <x v="2"/>
    <x v="2"/>
    <x v="1"/>
    <x v="1"/>
    <n v="58"/>
    <x v="0"/>
  </r>
  <r>
    <n v="11000"/>
    <x v="0"/>
    <x v="1"/>
    <n v="90000"/>
    <n v="2"/>
    <x v="0"/>
    <s v="Professional"/>
    <x v="0"/>
    <x v="0"/>
    <x v="3"/>
    <x v="1"/>
    <x v="0"/>
    <n v="40"/>
    <x v="1"/>
  </r>
  <r>
    <n v="20974"/>
    <x v="0"/>
    <x v="1"/>
    <n v="10000"/>
    <n v="2"/>
    <x v="0"/>
    <s v="Clerical"/>
    <x v="0"/>
    <x v="1"/>
    <x v="0"/>
    <x v="0"/>
    <x v="1"/>
    <n v="66"/>
    <x v="0"/>
  </r>
  <r>
    <n v="28758"/>
    <x v="0"/>
    <x v="1"/>
    <n v="40000"/>
    <n v="2"/>
    <x v="1"/>
    <s v="Clerical"/>
    <x v="0"/>
    <x v="1"/>
    <x v="3"/>
    <x v="0"/>
    <x v="2"/>
    <n v="35"/>
    <x v="1"/>
  </r>
  <r>
    <n v="11381"/>
    <x v="0"/>
    <x v="0"/>
    <n v="20000"/>
    <n v="2"/>
    <x v="1"/>
    <s v="Manual"/>
    <x v="0"/>
    <x v="1"/>
    <x v="1"/>
    <x v="0"/>
    <x v="0"/>
    <n v="47"/>
    <x v="1"/>
  </r>
  <r>
    <n v="17522"/>
    <x v="0"/>
    <x v="1"/>
    <n v="120000"/>
    <n v="4"/>
    <x v="0"/>
    <s v="Management"/>
    <x v="0"/>
    <x v="1"/>
    <x v="1"/>
    <x v="1"/>
    <x v="0"/>
    <n v="47"/>
    <x v="0"/>
  </r>
  <r>
    <n v="21207"/>
    <x v="0"/>
    <x v="1"/>
    <n v="60000"/>
    <n v="1"/>
    <x v="1"/>
    <s v="Skilled Manual"/>
    <x v="0"/>
    <x v="1"/>
    <x v="2"/>
    <x v="1"/>
    <x v="0"/>
    <n v="46"/>
    <x v="0"/>
  </r>
  <r>
    <n v="28102"/>
    <x v="0"/>
    <x v="1"/>
    <n v="20000"/>
    <n v="4"/>
    <x v="2"/>
    <s v="Skilled Manual"/>
    <x v="0"/>
    <x v="2"/>
    <x v="2"/>
    <x v="1"/>
    <x v="1"/>
    <n v="58"/>
    <x v="1"/>
  </r>
  <r>
    <n v="23105"/>
    <x v="1"/>
    <x v="1"/>
    <n v="40000"/>
    <n v="3"/>
    <x v="3"/>
    <s v="Clerical"/>
    <x v="1"/>
    <x v="2"/>
    <x v="2"/>
    <x v="1"/>
    <x v="0"/>
    <n v="52"/>
    <x v="1"/>
  </r>
  <r>
    <n v="18740"/>
    <x v="0"/>
    <x v="1"/>
    <n v="80000"/>
    <n v="5"/>
    <x v="0"/>
    <s v="Professional"/>
    <x v="1"/>
    <x v="1"/>
    <x v="0"/>
    <x v="1"/>
    <x v="0"/>
    <n v="47"/>
    <x v="1"/>
  </r>
  <r>
    <n v="21213"/>
    <x v="1"/>
    <x v="1"/>
    <n v="70000"/>
    <n v="0"/>
    <x v="0"/>
    <s v="Professional"/>
    <x v="1"/>
    <x v="1"/>
    <x v="2"/>
    <x v="1"/>
    <x v="0"/>
    <n v="41"/>
    <x v="0"/>
  </r>
  <r>
    <n v="17352"/>
    <x v="0"/>
    <x v="1"/>
    <n v="50000"/>
    <n v="2"/>
    <x v="4"/>
    <s v="Management"/>
    <x v="0"/>
    <x v="1"/>
    <x v="2"/>
    <x v="1"/>
    <x v="1"/>
    <n v="64"/>
    <x v="1"/>
  </r>
  <r>
    <n v="14154"/>
    <x v="0"/>
    <x v="1"/>
    <n v="30000"/>
    <n v="0"/>
    <x v="0"/>
    <s v="Clerical"/>
    <x v="0"/>
    <x v="0"/>
    <x v="0"/>
    <x v="0"/>
    <x v="2"/>
    <n v="35"/>
    <x v="1"/>
  </r>
  <r>
    <n v="19066"/>
    <x v="0"/>
    <x v="1"/>
    <n v="130000"/>
    <n v="4"/>
    <x v="1"/>
    <s v="Professional"/>
    <x v="1"/>
    <x v="4"/>
    <x v="4"/>
    <x v="0"/>
    <x v="0"/>
    <n v="54"/>
    <x v="0"/>
  </r>
  <r>
    <n v="11386"/>
    <x v="0"/>
    <x v="0"/>
    <n v="30000"/>
    <n v="3"/>
    <x v="0"/>
    <s v="Clerical"/>
    <x v="0"/>
    <x v="0"/>
    <x v="0"/>
    <x v="0"/>
    <x v="0"/>
    <n v="45"/>
    <x v="0"/>
  </r>
  <r>
    <n v="20228"/>
    <x v="0"/>
    <x v="1"/>
    <n v="100000"/>
    <n v="0"/>
    <x v="4"/>
    <s v="Management"/>
    <x v="0"/>
    <x v="0"/>
    <x v="1"/>
    <x v="1"/>
    <x v="0"/>
    <n v="40"/>
    <x v="1"/>
  </r>
  <r>
    <n v="16675"/>
    <x v="1"/>
    <x v="0"/>
    <n v="160000"/>
    <n v="0"/>
    <x v="4"/>
    <s v="Management"/>
    <x v="1"/>
    <x v="4"/>
    <x v="0"/>
    <x v="1"/>
    <x v="0"/>
    <n v="47"/>
    <x v="1"/>
  </r>
  <r>
    <n v="16410"/>
    <x v="1"/>
    <x v="0"/>
    <n v="10000"/>
    <n v="4"/>
    <x v="3"/>
    <s v="Manual"/>
    <x v="0"/>
    <x v="2"/>
    <x v="0"/>
    <x v="0"/>
    <x v="0"/>
    <n v="41"/>
    <x v="1"/>
  </r>
  <r>
    <n v="27760"/>
    <x v="1"/>
    <x v="0"/>
    <n v="40000"/>
    <n v="0"/>
    <x v="4"/>
    <s v="Clerical"/>
    <x v="1"/>
    <x v="0"/>
    <x v="0"/>
    <x v="0"/>
    <x v="2"/>
    <n v="37"/>
    <x v="1"/>
  </r>
  <r>
    <n v="22930"/>
    <x v="0"/>
    <x v="1"/>
    <n v="90000"/>
    <n v="4"/>
    <x v="0"/>
    <s v="Professional"/>
    <x v="0"/>
    <x v="0"/>
    <x v="3"/>
    <x v="1"/>
    <x v="2"/>
    <n v="38"/>
    <x v="1"/>
  </r>
  <r>
    <n v="23780"/>
    <x v="1"/>
    <x v="1"/>
    <n v="40000"/>
    <n v="2"/>
    <x v="1"/>
    <s v="Clerical"/>
    <x v="1"/>
    <x v="2"/>
    <x v="0"/>
    <x v="0"/>
    <x v="2"/>
    <n v="36"/>
    <x v="1"/>
  </r>
  <r>
    <n v="20994"/>
    <x v="0"/>
    <x v="0"/>
    <n v="20000"/>
    <n v="0"/>
    <x v="0"/>
    <s v="Clerical"/>
    <x v="1"/>
    <x v="0"/>
    <x v="0"/>
    <x v="1"/>
    <x v="3"/>
    <n v="26"/>
    <x v="1"/>
  </r>
  <r>
    <n v="28379"/>
    <x v="0"/>
    <x v="1"/>
    <n v="30000"/>
    <n v="1"/>
    <x v="0"/>
    <s v="Skilled Manual"/>
    <x v="0"/>
    <x v="2"/>
    <x v="0"/>
    <x v="0"/>
    <x v="0"/>
    <n v="40"/>
    <x v="0"/>
  </r>
  <r>
    <n v="14865"/>
    <x v="1"/>
    <x v="1"/>
    <n v="40000"/>
    <n v="2"/>
    <x v="1"/>
    <s v="Clerical"/>
    <x v="0"/>
    <x v="2"/>
    <x v="3"/>
    <x v="0"/>
    <x v="2"/>
    <n v="36"/>
    <x v="0"/>
  </r>
  <r>
    <n v="12663"/>
    <x v="0"/>
    <x v="0"/>
    <n v="90000"/>
    <n v="5"/>
    <x v="3"/>
    <s v="Skilled Manual"/>
    <x v="0"/>
    <x v="2"/>
    <x v="4"/>
    <x v="0"/>
    <x v="1"/>
    <n v="59"/>
    <x v="0"/>
  </r>
  <r>
    <n v="24898"/>
    <x v="1"/>
    <x v="0"/>
    <n v="80000"/>
    <n v="0"/>
    <x v="0"/>
    <s v="Professional"/>
    <x v="0"/>
    <x v="4"/>
    <x v="4"/>
    <x v="1"/>
    <x v="2"/>
    <n v="32"/>
    <x v="0"/>
  </r>
  <r>
    <n v="19508"/>
    <x v="0"/>
    <x v="1"/>
    <n v="10000"/>
    <n v="0"/>
    <x v="3"/>
    <s v="Manual"/>
    <x v="1"/>
    <x v="2"/>
    <x v="0"/>
    <x v="0"/>
    <x v="2"/>
    <n v="30"/>
    <x v="0"/>
  </r>
  <r>
    <n v="11489"/>
    <x v="1"/>
    <x v="0"/>
    <n v="20000"/>
    <n v="0"/>
    <x v="3"/>
    <s v="Manual"/>
    <x v="1"/>
    <x v="2"/>
    <x v="3"/>
    <x v="0"/>
    <x v="2"/>
    <n v="35"/>
    <x v="1"/>
  </r>
  <r>
    <n v="18160"/>
    <x v="0"/>
    <x v="1"/>
    <n v="130000"/>
    <n v="3"/>
    <x v="2"/>
    <s v="Professional"/>
    <x v="0"/>
    <x v="3"/>
    <x v="2"/>
    <x v="0"/>
    <x v="0"/>
    <n v="51"/>
    <x v="1"/>
  </r>
  <r>
    <n v="25241"/>
    <x v="0"/>
    <x v="1"/>
    <n v="90000"/>
    <n v="2"/>
    <x v="0"/>
    <s v="Professional"/>
    <x v="0"/>
    <x v="1"/>
    <x v="2"/>
    <x v="1"/>
    <x v="0"/>
    <n v="47"/>
    <x v="0"/>
  </r>
  <r>
    <n v="24369"/>
    <x v="0"/>
    <x v="1"/>
    <n v="80000"/>
    <n v="5"/>
    <x v="4"/>
    <s v="Management"/>
    <x v="1"/>
    <x v="2"/>
    <x v="0"/>
    <x v="1"/>
    <x v="2"/>
    <n v="39"/>
    <x v="0"/>
  </r>
  <r>
    <n v="27165"/>
    <x v="1"/>
    <x v="1"/>
    <n v="20000"/>
    <n v="0"/>
    <x v="3"/>
    <s v="Manual"/>
    <x v="1"/>
    <x v="2"/>
    <x v="0"/>
    <x v="0"/>
    <x v="2"/>
    <n v="34"/>
    <x v="0"/>
  </r>
  <r>
    <n v="29424"/>
    <x v="0"/>
    <x v="1"/>
    <n v="10000"/>
    <n v="0"/>
    <x v="3"/>
    <s v="Manual"/>
    <x v="0"/>
    <x v="2"/>
    <x v="0"/>
    <x v="0"/>
    <x v="2"/>
    <n v="32"/>
    <x v="0"/>
  </r>
  <r>
    <n v="15926"/>
    <x v="1"/>
    <x v="0"/>
    <n v="120000"/>
    <n v="3"/>
    <x v="2"/>
    <s v="Professional"/>
    <x v="0"/>
    <x v="3"/>
    <x v="2"/>
    <x v="0"/>
    <x v="0"/>
    <n v="50"/>
    <x v="1"/>
  </r>
  <r>
    <n v="14554"/>
    <x v="0"/>
    <x v="1"/>
    <n v="20000"/>
    <n v="1"/>
    <x v="0"/>
    <s v="Clerical"/>
    <x v="0"/>
    <x v="0"/>
    <x v="0"/>
    <x v="0"/>
    <x v="1"/>
    <n v="66"/>
    <x v="0"/>
  </r>
  <r>
    <n v="16468"/>
    <x v="1"/>
    <x v="1"/>
    <n v="30000"/>
    <n v="0"/>
    <x v="1"/>
    <s v="Clerical"/>
    <x v="0"/>
    <x v="1"/>
    <x v="1"/>
    <x v="0"/>
    <x v="2"/>
    <n v="30"/>
    <x v="0"/>
  </r>
  <r>
    <n v="19174"/>
    <x v="1"/>
    <x v="0"/>
    <n v="30000"/>
    <n v="0"/>
    <x v="2"/>
    <s v="Manual"/>
    <x v="1"/>
    <x v="1"/>
    <x v="1"/>
    <x v="0"/>
    <x v="2"/>
    <n v="32"/>
    <x v="1"/>
  </r>
  <r>
    <n v="19183"/>
    <x v="1"/>
    <x v="1"/>
    <n v="10000"/>
    <n v="0"/>
    <x v="3"/>
    <s v="Manual"/>
    <x v="0"/>
    <x v="2"/>
    <x v="3"/>
    <x v="0"/>
    <x v="2"/>
    <n v="35"/>
    <x v="0"/>
  </r>
  <r>
    <n v="13683"/>
    <x v="1"/>
    <x v="0"/>
    <n v="30000"/>
    <n v="0"/>
    <x v="2"/>
    <s v="Manual"/>
    <x v="1"/>
    <x v="1"/>
    <x v="1"/>
    <x v="0"/>
    <x v="2"/>
    <n v="32"/>
    <x v="0"/>
  </r>
  <r>
    <n v="17848"/>
    <x v="1"/>
    <x v="1"/>
    <n v="30000"/>
    <n v="0"/>
    <x v="1"/>
    <s v="Clerical"/>
    <x v="1"/>
    <x v="1"/>
    <x v="1"/>
    <x v="0"/>
    <x v="2"/>
    <n v="31"/>
    <x v="1"/>
  </r>
  <r>
    <n v="17894"/>
    <x v="0"/>
    <x v="0"/>
    <n v="20000"/>
    <n v="1"/>
    <x v="0"/>
    <s v="Clerical"/>
    <x v="0"/>
    <x v="0"/>
    <x v="0"/>
    <x v="0"/>
    <x v="0"/>
    <n v="50"/>
    <x v="1"/>
  </r>
  <r>
    <n v="25651"/>
    <x v="0"/>
    <x v="1"/>
    <n v="40000"/>
    <n v="1"/>
    <x v="0"/>
    <s v="Skilled Manual"/>
    <x v="1"/>
    <x v="0"/>
    <x v="0"/>
    <x v="0"/>
    <x v="0"/>
    <n v="43"/>
    <x v="1"/>
  </r>
  <r>
    <n v="22936"/>
    <x v="1"/>
    <x v="0"/>
    <n v="60000"/>
    <n v="1"/>
    <x v="1"/>
    <s v="Skilled Manual"/>
    <x v="1"/>
    <x v="1"/>
    <x v="0"/>
    <x v="1"/>
    <x v="0"/>
    <n v="45"/>
    <x v="1"/>
  </r>
  <r>
    <n v="23915"/>
    <x v="0"/>
    <x v="1"/>
    <n v="20000"/>
    <n v="2"/>
    <x v="2"/>
    <s v="Manual"/>
    <x v="0"/>
    <x v="2"/>
    <x v="0"/>
    <x v="0"/>
    <x v="0"/>
    <n v="42"/>
    <x v="0"/>
  </r>
  <r>
    <n v="24121"/>
    <x v="1"/>
    <x v="0"/>
    <n v="30000"/>
    <n v="0"/>
    <x v="1"/>
    <s v="Clerical"/>
    <x v="1"/>
    <x v="1"/>
    <x v="0"/>
    <x v="0"/>
    <x v="3"/>
    <n v="29"/>
    <x v="1"/>
  </r>
  <r>
    <n v="27878"/>
    <x v="1"/>
    <x v="1"/>
    <n v="20000"/>
    <n v="0"/>
    <x v="1"/>
    <s v="Manual"/>
    <x v="1"/>
    <x v="0"/>
    <x v="0"/>
    <x v="1"/>
    <x v="3"/>
    <n v="28"/>
    <x v="1"/>
  </r>
  <r>
    <n v="13572"/>
    <x v="1"/>
    <x v="1"/>
    <n v="10000"/>
    <n v="3"/>
    <x v="2"/>
    <s v="Manual"/>
    <x v="0"/>
    <x v="0"/>
    <x v="0"/>
    <x v="0"/>
    <x v="2"/>
    <n v="37"/>
    <x v="1"/>
  </r>
  <r>
    <n v="27941"/>
    <x v="0"/>
    <x v="0"/>
    <n v="80000"/>
    <n v="4"/>
    <x v="1"/>
    <s v="Professional"/>
    <x v="0"/>
    <x v="2"/>
    <x v="1"/>
    <x v="0"/>
    <x v="0"/>
    <n v="53"/>
    <x v="0"/>
  </r>
  <r>
    <n v="26354"/>
    <x v="1"/>
    <x v="1"/>
    <n v="40000"/>
    <n v="0"/>
    <x v="4"/>
    <s v="Clerical"/>
    <x v="1"/>
    <x v="0"/>
    <x v="0"/>
    <x v="0"/>
    <x v="2"/>
    <n v="38"/>
    <x v="1"/>
  </r>
  <r>
    <n v="14785"/>
    <x v="1"/>
    <x v="1"/>
    <n v="30000"/>
    <n v="1"/>
    <x v="0"/>
    <s v="Clerical"/>
    <x v="1"/>
    <x v="1"/>
    <x v="3"/>
    <x v="0"/>
    <x v="2"/>
    <n v="39"/>
    <x v="0"/>
  </r>
  <r>
    <n v="17238"/>
    <x v="1"/>
    <x v="1"/>
    <n v="80000"/>
    <n v="0"/>
    <x v="0"/>
    <s v="Professional"/>
    <x v="0"/>
    <x v="4"/>
    <x v="4"/>
    <x v="1"/>
    <x v="2"/>
    <n v="32"/>
    <x v="0"/>
  </r>
  <r>
    <n v="23608"/>
    <x v="0"/>
    <x v="0"/>
    <n v="150000"/>
    <n v="3"/>
    <x v="2"/>
    <s v="Professional"/>
    <x v="0"/>
    <x v="4"/>
    <x v="0"/>
    <x v="0"/>
    <x v="0"/>
    <n v="51"/>
    <x v="1"/>
  </r>
  <r>
    <n v="22538"/>
    <x v="1"/>
    <x v="0"/>
    <n v="10000"/>
    <n v="0"/>
    <x v="3"/>
    <s v="Manual"/>
    <x v="0"/>
    <x v="2"/>
    <x v="3"/>
    <x v="0"/>
    <x v="2"/>
    <n v="33"/>
    <x v="0"/>
  </r>
  <r>
    <n v="12332"/>
    <x v="0"/>
    <x v="1"/>
    <n v="90000"/>
    <n v="4"/>
    <x v="2"/>
    <s v="Management"/>
    <x v="0"/>
    <x v="4"/>
    <x v="2"/>
    <x v="0"/>
    <x v="1"/>
    <n v="58"/>
    <x v="1"/>
  </r>
  <r>
    <n v="17230"/>
    <x v="0"/>
    <x v="1"/>
    <n v="80000"/>
    <n v="0"/>
    <x v="0"/>
    <s v="Professional"/>
    <x v="0"/>
    <x v="4"/>
    <x v="4"/>
    <x v="1"/>
    <x v="2"/>
    <n v="30"/>
    <x v="0"/>
  </r>
  <r>
    <n v="13082"/>
    <x v="1"/>
    <x v="1"/>
    <n v="130000"/>
    <n v="0"/>
    <x v="4"/>
    <s v="Management"/>
    <x v="0"/>
    <x v="0"/>
    <x v="1"/>
    <x v="1"/>
    <x v="0"/>
    <n v="48"/>
    <x v="1"/>
  </r>
  <r>
    <n v="22518"/>
    <x v="1"/>
    <x v="0"/>
    <n v="30000"/>
    <n v="3"/>
    <x v="1"/>
    <s v="Clerical"/>
    <x v="1"/>
    <x v="2"/>
    <x v="0"/>
    <x v="0"/>
    <x v="3"/>
    <n v="27"/>
    <x v="1"/>
  </r>
  <r>
    <n v="13687"/>
    <x v="0"/>
    <x v="1"/>
    <n v="40000"/>
    <n v="1"/>
    <x v="0"/>
    <s v="Skilled Manual"/>
    <x v="0"/>
    <x v="1"/>
    <x v="0"/>
    <x v="0"/>
    <x v="2"/>
    <n v="33"/>
    <x v="1"/>
  </r>
  <r>
    <n v="23571"/>
    <x v="0"/>
    <x v="0"/>
    <n v="40000"/>
    <n v="2"/>
    <x v="0"/>
    <s v="Management"/>
    <x v="0"/>
    <x v="2"/>
    <x v="0"/>
    <x v="1"/>
    <x v="1"/>
    <n v="66"/>
    <x v="1"/>
  </r>
  <r>
    <n v="19305"/>
    <x v="1"/>
    <x v="0"/>
    <n v="10000"/>
    <n v="2"/>
    <x v="2"/>
    <s v="Manual"/>
    <x v="0"/>
    <x v="1"/>
    <x v="0"/>
    <x v="0"/>
    <x v="2"/>
    <n v="38"/>
    <x v="1"/>
  </r>
  <r>
    <n v="22636"/>
    <x v="1"/>
    <x v="0"/>
    <n v="40000"/>
    <n v="0"/>
    <x v="0"/>
    <s v="Clerical"/>
    <x v="1"/>
    <x v="0"/>
    <x v="0"/>
    <x v="0"/>
    <x v="2"/>
    <n v="38"/>
    <x v="1"/>
  </r>
  <r>
    <n v="17310"/>
    <x v="0"/>
    <x v="1"/>
    <n v="60000"/>
    <n v="1"/>
    <x v="1"/>
    <s v="Skilled Manual"/>
    <x v="0"/>
    <x v="1"/>
    <x v="0"/>
    <x v="1"/>
    <x v="0"/>
    <n v="45"/>
    <x v="1"/>
  </r>
  <r>
    <n v="12133"/>
    <x v="0"/>
    <x v="0"/>
    <n v="130000"/>
    <n v="3"/>
    <x v="1"/>
    <s v="Professional"/>
    <x v="0"/>
    <x v="4"/>
    <x v="2"/>
    <x v="0"/>
    <x v="0"/>
    <n v="50"/>
    <x v="1"/>
  </r>
  <r>
    <n v="25918"/>
    <x v="1"/>
    <x v="0"/>
    <n v="30000"/>
    <n v="2"/>
    <x v="1"/>
    <s v="Clerical"/>
    <x v="1"/>
    <x v="2"/>
    <x v="2"/>
    <x v="1"/>
    <x v="1"/>
    <n v="60"/>
    <x v="1"/>
  </r>
  <r>
    <n v="25752"/>
    <x v="1"/>
    <x v="0"/>
    <n v="20000"/>
    <n v="2"/>
    <x v="1"/>
    <s v="Manual"/>
    <x v="1"/>
    <x v="1"/>
    <x v="0"/>
    <x v="0"/>
    <x v="0"/>
    <n v="53"/>
    <x v="1"/>
  </r>
  <r>
    <n v="17324"/>
    <x v="0"/>
    <x v="0"/>
    <n v="100000"/>
    <n v="4"/>
    <x v="0"/>
    <s v="Professional"/>
    <x v="0"/>
    <x v="1"/>
    <x v="4"/>
    <x v="1"/>
    <x v="0"/>
    <n v="46"/>
    <x v="0"/>
  </r>
  <r>
    <n v="22918"/>
    <x v="1"/>
    <x v="1"/>
    <n v="80000"/>
    <n v="5"/>
    <x v="4"/>
    <s v="Management"/>
    <x v="0"/>
    <x v="4"/>
    <x v="0"/>
    <x v="1"/>
    <x v="0"/>
    <n v="50"/>
    <x v="0"/>
  </r>
  <r>
    <n v="12510"/>
    <x v="0"/>
    <x v="1"/>
    <n v="40000"/>
    <n v="1"/>
    <x v="0"/>
    <s v="Skilled Manual"/>
    <x v="0"/>
    <x v="1"/>
    <x v="0"/>
    <x v="0"/>
    <x v="0"/>
    <n v="43"/>
    <x v="1"/>
  </r>
  <r>
    <n v="25512"/>
    <x v="1"/>
    <x v="1"/>
    <n v="20000"/>
    <n v="0"/>
    <x v="2"/>
    <s v="Manual"/>
    <x v="1"/>
    <x v="1"/>
    <x v="1"/>
    <x v="0"/>
    <x v="2"/>
    <n v="30"/>
    <x v="0"/>
  </r>
  <r>
    <n v="16179"/>
    <x v="1"/>
    <x v="0"/>
    <n v="80000"/>
    <n v="5"/>
    <x v="0"/>
    <s v="Professional"/>
    <x v="0"/>
    <x v="3"/>
    <x v="3"/>
    <x v="1"/>
    <x v="2"/>
    <n v="38"/>
    <x v="0"/>
  </r>
  <r>
    <n v="15628"/>
    <x v="0"/>
    <x v="0"/>
    <n v="40000"/>
    <n v="1"/>
    <x v="0"/>
    <s v="Skilled Manual"/>
    <x v="0"/>
    <x v="1"/>
    <x v="0"/>
    <x v="0"/>
    <x v="4"/>
    <n v="89"/>
    <x v="0"/>
  </r>
  <r>
    <n v="20977"/>
    <x v="0"/>
    <x v="1"/>
    <n v="20000"/>
    <n v="1"/>
    <x v="0"/>
    <s v="Clerical"/>
    <x v="0"/>
    <x v="0"/>
    <x v="0"/>
    <x v="0"/>
    <x v="1"/>
    <n v="64"/>
    <x v="1"/>
  </r>
  <r>
    <n v="18140"/>
    <x v="0"/>
    <x v="1"/>
    <n v="130000"/>
    <n v="3"/>
    <x v="1"/>
    <s v="Professional"/>
    <x v="1"/>
    <x v="4"/>
    <x v="2"/>
    <x v="0"/>
    <x v="0"/>
    <n v="51"/>
    <x v="1"/>
  </r>
  <r>
    <n v="20417"/>
    <x v="0"/>
    <x v="1"/>
    <n v="30000"/>
    <n v="3"/>
    <x v="1"/>
    <s v="Clerical"/>
    <x v="1"/>
    <x v="2"/>
    <x v="2"/>
    <x v="1"/>
    <x v="1"/>
    <n v="56"/>
    <x v="0"/>
  </r>
  <r>
    <n v="18267"/>
    <x v="0"/>
    <x v="1"/>
    <n v="60000"/>
    <n v="3"/>
    <x v="0"/>
    <s v="Professional"/>
    <x v="0"/>
    <x v="2"/>
    <x v="2"/>
    <x v="1"/>
    <x v="0"/>
    <n v="43"/>
    <x v="0"/>
  </r>
  <r>
    <n v="13620"/>
    <x v="1"/>
    <x v="1"/>
    <n v="70000"/>
    <n v="0"/>
    <x v="0"/>
    <s v="Professional"/>
    <x v="1"/>
    <x v="4"/>
    <x v="4"/>
    <x v="1"/>
    <x v="2"/>
    <n v="30"/>
    <x v="1"/>
  </r>
  <r>
    <n v="22974"/>
    <x v="0"/>
    <x v="0"/>
    <n v="30000"/>
    <n v="2"/>
    <x v="1"/>
    <s v="Clerical"/>
    <x v="0"/>
    <x v="2"/>
    <x v="2"/>
    <x v="1"/>
    <x v="1"/>
    <n v="69"/>
    <x v="0"/>
  </r>
  <r>
    <n v="13586"/>
    <x v="0"/>
    <x v="1"/>
    <n v="80000"/>
    <n v="4"/>
    <x v="1"/>
    <s v="Professional"/>
    <x v="0"/>
    <x v="2"/>
    <x v="4"/>
    <x v="0"/>
    <x v="0"/>
    <n v="53"/>
    <x v="0"/>
  </r>
  <r>
    <n v="17978"/>
    <x v="0"/>
    <x v="1"/>
    <n v="40000"/>
    <n v="0"/>
    <x v="4"/>
    <s v="Clerical"/>
    <x v="0"/>
    <x v="0"/>
    <x v="0"/>
    <x v="0"/>
    <x v="2"/>
    <n v="37"/>
    <x v="1"/>
  </r>
  <r>
    <n v="12581"/>
    <x v="1"/>
    <x v="0"/>
    <n v="10000"/>
    <n v="0"/>
    <x v="1"/>
    <s v="Manual"/>
    <x v="1"/>
    <x v="1"/>
    <x v="0"/>
    <x v="1"/>
    <x v="3"/>
    <n v="28"/>
    <x v="1"/>
  </r>
  <r>
    <n v="18018"/>
    <x v="1"/>
    <x v="1"/>
    <n v="30000"/>
    <n v="3"/>
    <x v="1"/>
    <s v="Clerical"/>
    <x v="0"/>
    <x v="0"/>
    <x v="0"/>
    <x v="0"/>
    <x v="0"/>
    <n v="43"/>
    <x v="0"/>
  </r>
  <r>
    <n v="28957"/>
    <x v="1"/>
    <x v="0"/>
    <n v="120000"/>
    <n v="0"/>
    <x v="3"/>
    <s v="Professional"/>
    <x v="0"/>
    <x v="3"/>
    <x v="4"/>
    <x v="1"/>
    <x v="2"/>
    <n v="34"/>
    <x v="1"/>
  </r>
  <r>
    <n v="13690"/>
    <x v="1"/>
    <x v="0"/>
    <n v="20000"/>
    <n v="0"/>
    <x v="3"/>
    <s v="Manual"/>
    <x v="1"/>
    <x v="2"/>
    <x v="3"/>
    <x v="0"/>
    <x v="2"/>
    <n v="34"/>
    <x v="1"/>
  </r>
  <r>
    <n v="12568"/>
    <x v="0"/>
    <x v="0"/>
    <n v="30000"/>
    <n v="1"/>
    <x v="0"/>
    <s v="Clerical"/>
    <x v="0"/>
    <x v="0"/>
    <x v="0"/>
    <x v="0"/>
    <x v="1"/>
    <n v="64"/>
    <x v="0"/>
  </r>
  <r>
    <n v="13122"/>
    <x v="0"/>
    <x v="0"/>
    <n v="80000"/>
    <n v="0"/>
    <x v="0"/>
    <s v="Professional"/>
    <x v="0"/>
    <x v="1"/>
    <x v="3"/>
    <x v="1"/>
    <x v="0"/>
    <n v="41"/>
    <x v="1"/>
  </r>
  <r>
    <n v="21184"/>
    <x v="1"/>
    <x v="1"/>
    <n v="70000"/>
    <n v="0"/>
    <x v="0"/>
    <s v="Professional"/>
    <x v="1"/>
    <x v="1"/>
    <x v="2"/>
    <x v="1"/>
    <x v="2"/>
    <n v="38"/>
    <x v="0"/>
  </r>
  <r>
    <n v="26150"/>
    <x v="1"/>
    <x v="0"/>
    <n v="70000"/>
    <n v="0"/>
    <x v="0"/>
    <s v="Professional"/>
    <x v="1"/>
    <x v="1"/>
    <x v="0"/>
    <x v="1"/>
    <x v="0"/>
    <n v="41"/>
    <x v="1"/>
  </r>
  <r>
    <n v="24151"/>
    <x v="1"/>
    <x v="1"/>
    <n v="20000"/>
    <n v="1"/>
    <x v="0"/>
    <s v="Clerical"/>
    <x v="1"/>
    <x v="0"/>
    <x v="0"/>
    <x v="0"/>
    <x v="0"/>
    <n v="51"/>
    <x v="0"/>
  </r>
  <r>
    <n v="23962"/>
    <x v="0"/>
    <x v="0"/>
    <n v="10000"/>
    <n v="0"/>
    <x v="3"/>
    <s v="Manual"/>
    <x v="0"/>
    <x v="2"/>
    <x v="3"/>
    <x v="0"/>
    <x v="2"/>
    <n v="32"/>
    <x v="0"/>
  </r>
  <r>
    <n v="17793"/>
    <x v="0"/>
    <x v="0"/>
    <n v="40000"/>
    <n v="0"/>
    <x v="0"/>
    <s v="Clerical"/>
    <x v="0"/>
    <x v="0"/>
    <x v="0"/>
    <x v="0"/>
    <x v="2"/>
    <n v="38"/>
    <x v="1"/>
  </r>
  <r>
    <n v="14926"/>
    <x v="0"/>
    <x v="1"/>
    <n v="30000"/>
    <n v="1"/>
    <x v="0"/>
    <s v="Clerical"/>
    <x v="0"/>
    <x v="0"/>
    <x v="0"/>
    <x v="0"/>
    <x v="2"/>
    <n v="38"/>
    <x v="1"/>
  </r>
  <r>
    <n v="16163"/>
    <x v="1"/>
    <x v="1"/>
    <n v="60000"/>
    <n v="2"/>
    <x v="0"/>
    <s v="Professional"/>
    <x v="0"/>
    <x v="1"/>
    <x v="1"/>
    <x v="1"/>
    <x v="2"/>
    <n v="38"/>
    <x v="1"/>
  </r>
  <r>
    <n v="21365"/>
    <x v="0"/>
    <x v="0"/>
    <n v="10000"/>
    <n v="2"/>
    <x v="3"/>
    <s v="Clerical"/>
    <x v="0"/>
    <x v="2"/>
    <x v="2"/>
    <x v="1"/>
    <x v="1"/>
    <n v="58"/>
    <x v="0"/>
  </r>
  <r>
    <n v="27771"/>
    <x v="1"/>
    <x v="1"/>
    <n v="30000"/>
    <n v="1"/>
    <x v="0"/>
    <s v="Clerical"/>
    <x v="0"/>
    <x v="1"/>
    <x v="3"/>
    <x v="0"/>
    <x v="2"/>
    <n v="39"/>
    <x v="1"/>
  </r>
  <r>
    <n v="26167"/>
    <x v="1"/>
    <x v="0"/>
    <n v="40000"/>
    <n v="2"/>
    <x v="0"/>
    <s v="Management"/>
    <x v="1"/>
    <x v="1"/>
    <x v="2"/>
    <x v="1"/>
    <x v="0"/>
    <n v="53"/>
    <x v="1"/>
  </r>
  <r>
    <n v="25792"/>
    <x v="1"/>
    <x v="0"/>
    <n v="110000"/>
    <n v="3"/>
    <x v="0"/>
    <s v="Management"/>
    <x v="0"/>
    <x v="3"/>
    <x v="4"/>
    <x v="0"/>
    <x v="0"/>
    <n v="53"/>
    <x v="0"/>
  </r>
  <r>
    <n v="11555"/>
    <x v="0"/>
    <x v="0"/>
    <n v="40000"/>
    <n v="1"/>
    <x v="0"/>
    <s v="Clerical"/>
    <x v="0"/>
    <x v="0"/>
    <x v="0"/>
    <x v="0"/>
    <x v="4"/>
    <n v="80"/>
    <x v="0"/>
  </r>
  <r>
    <n v="22381"/>
    <x v="0"/>
    <x v="1"/>
    <n v="10000"/>
    <n v="1"/>
    <x v="4"/>
    <s v="Manual"/>
    <x v="0"/>
    <x v="0"/>
    <x v="0"/>
    <x v="0"/>
    <x v="0"/>
    <n v="44"/>
    <x v="0"/>
  </r>
  <r>
    <n v="17882"/>
    <x v="0"/>
    <x v="1"/>
    <n v="20000"/>
    <n v="1"/>
    <x v="4"/>
    <s v="Clerical"/>
    <x v="0"/>
    <x v="0"/>
    <x v="0"/>
    <x v="0"/>
    <x v="0"/>
    <n v="44"/>
    <x v="0"/>
  </r>
  <r>
    <n v="22174"/>
    <x v="0"/>
    <x v="1"/>
    <n v="30000"/>
    <n v="3"/>
    <x v="2"/>
    <s v="Skilled Manual"/>
    <x v="0"/>
    <x v="2"/>
    <x v="2"/>
    <x v="1"/>
    <x v="0"/>
    <n v="54"/>
    <x v="1"/>
  </r>
  <r>
    <n v="22439"/>
    <x v="0"/>
    <x v="0"/>
    <n v="30000"/>
    <n v="0"/>
    <x v="0"/>
    <s v="Clerical"/>
    <x v="0"/>
    <x v="0"/>
    <x v="0"/>
    <x v="0"/>
    <x v="2"/>
    <n v="37"/>
    <x v="1"/>
  </r>
  <r>
    <n v="18012"/>
    <x v="0"/>
    <x v="0"/>
    <n v="40000"/>
    <n v="1"/>
    <x v="0"/>
    <s v="Skilled Manual"/>
    <x v="0"/>
    <x v="0"/>
    <x v="0"/>
    <x v="0"/>
    <x v="0"/>
    <n v="41"/>
    <x v="0"/>
  </r>
  <r>
    <n v="27582"/>
    <x v="1"/>
    <x v="0"/>
    <n v="90000"/>
    <n v="2"/>
    <x v="0"/>
    <s v="Professional"/>
    <x v="1"/>
    <x v="0"/>
    <x v="0"/>
    <x v="1"/>
    <x v="2"/>
    <n v="36"/>
    <x v="1"/>
  </r>
  <r>
    <n v="12744"/>
    <x v="1"/>
    <x v="0"/>
    <n v="40000"/>
    <n v="2"/>
    <x v="1"/>
    <s v="Clerical"/>
    <x v="0"/>
    <x v="0"/>
    <x v="0"/>
    <x v="0"/>
    <x v="2"/>
    <n v="33"/>
    <x v="0"/>
  </r>
  <r>
    <n v="22821"/>
    <x v="0"/>
    <x v="0"/>
    <n v="130000"/>
    <n v="3"/>
    <x v="1"/>
    <s v="Professional"/>
    <x v="0"/>
    <x v="3"/>
    <x v="0"/>
    <x v="0"/>
    <x v="0"/>
    <n v="52"/>
    <x v="0"/>
  </r>
  <r>
    <n v="20171"/>
    <x v="0"/>
    <x v="0"/>
    <n v="20000"/>
    <n v="2"/>
    <x v="1"/>
    <s v="Manual"/>
    <x v="0"/>
    <x v="1"/>
    <x v="0"/>
    <x v="0"/>
    <x v="0"/>
    <n v="46"/>
    <x v="1"/>
  </r>
  <r>
    <n v="11116"/>
    <x v="0"/>
    <x v="1"/>
    <n v="70000"/>
    <n v="5"/>
    <x v="1"/>
    <s v="Skilled Manual"/>
    <x v="0"/>
    <x v="2"/>
    <x v="2"/>
    <x v="1"/>
    <x v="0"/>
    <n v="43"/>
    <x v="0"/>
  </r>
  <r>
    <n v="20053"/>
    <x v="1"/>
    <x v="1"/>
    <n v="40000"/>
    <n v="2"/>
    <x v="1"/>
    <s v="Clerical"/>
    <x v="0"/>
    <x v="0"/>
    <x v="0"/>
    <x v="0"/>
    <x v="2"/>
    <n v="34"/>
    <x v="0"/>
  </r>
  <r>
    <n v="25266"/>
    <x v="1"/>
    <x v="0"/>
    <n v="30000"/>
    <n v="2"/>
    <x v="1"/>
    <s v="Clerical"/>
    <x v="1"/>
    <x v="2"/>
    <x v="2"/>
    <x v="1"/>
    <x v="1"/>
    <n v="67"/>
    <x v="0"/>
  </r>
  <r>
    <n v="17960"/>
    <x v="0"/>
    <x v="0"/>
    <n v="40000"/>
    <n v="0"/>
    <x v="4"/>
    <s v="Clerical"/>
    <x v="0"/>
    <x v="0"/>
    <x v="0"/>
    <x v="0"/>
    <x v="2"/>
    <n v="35"/>
    <x v="1"/>
  </r>
  <r>
    <n v="13961"/>
    <x v="0"/>
    <x v="0"/>
    <n v="80000"/>
    <n v="5"/>
    <x v="4"/>
    <s v="Management"/>
    <x v="0"/>
    <x v="4"/>
    <x v="0"/>
    <x v="1"/>
    <x v="0"/>
    <n v="40"/>
    <x v="0"/>
  </r>
  <r>
    <n v="11897"/>
    <x v="1"/>
    <x v="1"/>
    <n v="60000"/>
    <n v="2"/>
    <x v="0"/>
    <s v="Professional"/>
    <x v="1"/>
    <x v="1"/>
    <x v="0"/>
    <x v="1"/>
    <x v="2"/>
    <n v="37"/>
    <x v="1"/>
  </r>
  <r>
    <n v="11139"/>
    <x v="1"/>
    <x v="0"/>
    <n v="30000"/>
    <n v="2"/>
    <x v="1"/>
    <s v="Clerical"/>
    <x v="1"/>
    <x v="2"/>
    <x v="2"/>
    <x v="1"/>
    <x v="1"/>
    <n v="67"/>
    <x v="0"/>
  </r>
  <r>
    <n v="11576"/>
    <x v="0"/>
    <x v="1"/>
    <n v="30000"/>
    <n v="1"/>
    <x v="0"/>
    <s v="Skilled Manual"/>
    <x v="0"/>
    <x v="2"/>
    <x v="0"/>
    <x v="0"/>
    <x v="0"/>
    <n v="41"/>
    <x v="1"/>
  </r>
  <r>
    <n v="19255"/>
    <x v="1"/>
    <x v="1"/>
    <n v="10000"/>
    <n v="2"/>
    <x v="1"/>
    <s v="Manual"/>
    <x v="0"/>
    <x v="1"/>
    <x v="0"/>
    <x v="0"/>
    <x v="0"/>
    <n v="51"/>
    <x v="1"/>
  </r>
  <r>
    <n v="18153"/>
    <x v="0"/>
    <x v="0"/>
    <n v="100000"/>
    <n v="2"/>
    <x v="0"/>
    <s v="Management"/>
    <x v="0"/>
    <x v="3"/>
    <x v="4"/>
    <x v="0"/>
    <x v="1"/>
    <n v="59"/>
    <x v="0"/>
  </r>
  <r>
    <n v="14547"/>
    <x v="0"/>
    <x v="1"/>
    <n v="10000"/>
    <n v="2"/>
    <x v="1"/>
    <s v="Manual"/>
    <x v="0"/>
    <x v="0"/>
    <x v="3"/>
    <x v="0"/>
    <x v="0"/>
    <n v="51"/>
    <x v="0"/>
  </r>
  <r>
    <n v="24901"/>
    <x v="1"/>
    <x v="1"/>
    <n v="110000"/>
    <n v="0"/>
    <x v="1"/>
    <s v="Management"/>
    <x v="1"/>
    <x v="4"/>
    <x v="4"/>
    <x v="1"/>
    <x v="2"/>
    <n v="32"/>
    <x v="1"/>
  </r>
  <r>
    <n v="27169"/>
    <x v="1"/>
    <x v="1"/>
    <n v="30000"/>
    <n v="0"/>
    <x v="2"/>
    <s v="Manual"/>
    <x v="0"/>
    <x v="1"/>
    <x v="1"/>
    <x v="0"/>
    <x v="2"/>
    <n v="34"/>
    <x v="1"/>
  </r>
  <r>
    <n v="14805"/>
    <x v="1"/>
    <x v="0"/>
    <n v="10000"/>
    <n v="3"/>
    <x v="3"/>
    <s v="Manual"/>
    <x v="0"/>
    <x v="2"/>
    <x v="0"/>
    <x v="0"/>
    <x v="0"/>
    <n v="43"/>
    <x v="0"/>
  </r>
  <r>
    <n v="15822"/>
    <x v="0"/>
    <x v="1"/>
    <n v="40000"/>
    <n v="2"/>
    <x v="0"/>
    <s v="Management"/>
    <x v="0"/>
    <x v="2"/>
    <x v="0"/>
    <x v="1"/>
    <x v="1"/>
    <n v="67"/>
    <x v="0"/>
  </r>
  <r>
    <n v="19389"/>
    <x v="1"/>
    <x v="1"/>
    <n v="30000"/>
    <n v="0"/>
    <x v="1"/>
    <s v="Clerical"/>
    <x v="1"/>
    <x v="1"/>
    <x v="1"/>
    <x v="0"/>
    <x v="3"/>
    <n v="28"/>
    <x v="0"/>
  </r>
  <r>
    <n v="17048"/>
    <x v="1"/>
    <x v="0"/>
    <n v="90000"/>
    <n v="1"/>
    <x v="4"/>
    <s v="Management"/>
    <x v="0"/>
    <x v="0"/>
    <x v="0"/>
    <x v="1"/>
    <x v="2"/>
    <n v="36"/>
    <x v="1"/>
  </r>
  <r>
    <n v="22204"/>
    <x v="0"/>
    <x v="1"/>
    <n v="110000"/>
    <n v="4"/>
    <x v="0"/>
    <s v="Management"/>
    <x v="0"/>
    <x v="4"/>
    <x v="1"/>
    <x v="1"/>
    <x v="0"/>
    <n v="48"/>
    <x v="0"/>
  </r>
  <r>
    <n v="12718"/>
    <x v="1"/>
    <x v="0"/>
    <n v="30000"/>
    <n v="0"/>
    <x v="1"/>
    <s v="Clerical"/>
    <x v="0"/>
    <x v="1"/>
    <x v="1"/>
    <x v="0"/>
    <x v="2"/>
    <n v="31"/>
    <x v="0"/>
  </r>
  <r>
    <n v="15019"/>
    <x v="1"/>
    <x v="0"/>
    <n v="30000"/>
    <n v="3"/>
    <x v="2"/>
    <s v="Skilled Manual"/>
    <x v="0"/>
    <x v="2"/>
    <x v="2"/>
    <x v="1"/>
    <x v="1"/>
    <n v="55"/>
    <x v="0"/>
  </r>
  <r>
    <n v="28488"/>
    <x v="1"/>
    <x v="1"/>
    <n v="20000"/>
    <n v="0"/>
    <x v="1"/>
    <s v="Manual"/>
    <x v="0"/>
    <x v="0"/>
    <x v="0"/>
    <x v="1"/>
    <x v="3"/>
    <n v="28"/>
    <x v="1"/>
  </r>
  <r>
    <n v="21891"/>
    <x v="0"/>
    <x v="0"/>
    <n v="110000"/>
    <n v="0"/>
    <x v="2"/>
    <s v="Management"/>
    <x v="0"/>
    <x v="4"/>
    <x v="4"/>
    <x v="1"/>
    <x v="2"/>
    <n v="34"/>
    <x v="1"/>
  </r>
  <r>
    <n v="27814"/>
    <x v="1"/>
    <x v="0"/>
    <n v="30000"/>
    <n v="3"/>
    <x v="1"/>
    <s v="Clerical"/>
    <x v="1"/>
    <x v="1"/>
    <x v="0"/>
    <x v="0"/>
    <x v="3"/>
    <n v="26"/>
    <x v="0"/>
  </r>
  <r>
    <n v="22175"/>
    <x v="0"/>
    <x v="0"/>
    <n v="30000"/>
    <n v="3"/>
    <x v="2"/>
    <s v="Skilled Manual"/>
    <x v="0"/>
    <x v="2"/>
    <x v="2"/>
    <x v="1"/>
    <x v="0"/>
    <n v="53"/>
    <x v="1"/>
  </r>
  <r>
    <n v="29447"/>
    <x v="1"/>
    <x v="0"/>
    <n v="10000"/>
    <n v="2"/>
    <x v="0"/>
    <s v="Clerical"/>
    <x v="1"/>
    <x v="1"/>
    <x v="1"/>
    <x v="0"/>
    <x v="1"/>
    <n v="68"/>
    <x v="0"/>
  </r>
  <r>
    <n v="19784"/>
    <x v="0"/>
    <x v="0"/>
    <n v="80000"/>
    <n v="2"/>
    <x v="2"/>
    <s v="Skilled Manual"/>
    <x v="0"/>
    <x v="2"/>
    <x v="2"/>
    <x v="1"/>
    <x v="0"/>
    <n v="50"/>
    <x v="1"/>
  </r>
  <r>
    <n v="27824"/>
    <x v="1"/>
    <x v="0"/>
    <n v="30000"/>
    <n v="3"/>
    <x v="1"/>
    <s v="Clerical"/>
    <x v="0"/>
    <x v="2"/>
    <x v="0"/>
    <x v="0"/>
    <x v="3"/>
    <n v="28"/>
    <x v="1"/>
  </r>
  <r>
    <n v="24093"/>
    <x v="1"/>
    <x v="0"/>
    <n v="80000"/>
    <n v="0"/>
    <x v="4"/>
    <s v="Skilled Manual"/>
    <x v="1"/>
    <x v="0"/>
    <x v="0"/>
    <x v="0"/>
    <x v="0"/>
    <n v="40"/>
    <x v="1"/>
  </r>
  <r>
    <n v="19618"/>
    <x v="0"/>
    <x v="1"/>
    <n v="70000"/>
    <n v="5"/>
    <x v="1"/>
    <s v="Skilled Manual"/>
    <x v="0"/>
    <x v="2"/>
    <x v="0"/>
    <x v="1"/>
    <x v="0"/>
    <n v="44"/>
    <x v="0"/>
  </r>
  <r>
    <n v="21561"/>
    <x v="1"/>
    <x v="1"/>
    <n v="90000"/>
    <n v="0"/>
    <x v="0"/>
    <s v="Professional"/>
    <x v="1"/>
    <x v="4"/>
    <x v="4"/>
    <x v="1"/>
    <x v="2"/>
    <n v="34"/>
    <x v="1"/>
  </r>
  <r>
    <n v="11061"/>
    <x v="0"/>
    <x v="1"/>
    <n v="70000"/>
    <n v="2"/>
    <x v="1"/>
    <s v="Skilled Manual"/>
    <x v="0"/>
    <x v="2"/>
    <x v="2"/>
    <x v="1"/>
    <x v="0"/>
    <n v="52"/>
    <x v="1"/>
  </r>
  <r>
    <n v="26651"/>
    <x v="1"/>
    <x v="1"/>
    <n v="80000"/>
    <n v="4"/>
    <x v="4"/>
    <s v="Management"/>
    <x v="0"/>
    <x v="0"/>
    <x v="0"/>
    <x v="1"/>
    <x v="2"/>
    <n v="36"/>
    <x v="1"/>
  </r>
  <r>
    <n v="21108"/>
    <x v="0"/>
    <x v="0"/>
    <n v="40000"/>
    <n v="1"/>
    <x v="0"/>
    <s v="Skilled Manual"/>
    <x v="0"/>
    <x v="1"/>
    <x v="0"/>
    <x v="0"/>
    <x v="0"/>
    <n v="43"/>
    <x v="1"/>
  </r>
  <r>
    <n v="12731"/>
    <x v="1"/>
    <x v="1"/>
    <n v="30000"/>
    <n v="0"/>
    <x v="2"/>
    <s v="Manual"/>
    <x v="1"/>
    <x v="1"/>
    <x v="3"/>
    <x v="0"/>
    <x v="2"/>
    <n v="32"/>
    <x v="0"/>
  </r>
  <r>
    <n v="25307"/>
    <x v="0"/>
    <x v="0"/>
    <n v="40000"/>
    <n v="1"/>
    <x v="0"/>
    <s v="Skilled Manual"/>
    <x v="0"/>
    <x v="1"/>
    <x v="3"/>
    <x v="0"/>
    <x v="2"/>
    <n v="32"/>
    <x v="1"/>
  </r>
  <r>
    <n v="14278"/>
    <x v="0"/>
    <x v="0"/>
    <n v="130000"/>
    <n v="0"/>
    <x v="4"/>
    <s v="Management"/>
    <x v="0"/>
    <x v="1"/>
    <x v="4"/>
    <x v="1"/>
    <x v="0"/>
    <n v="48"/>
    <x v="0"/>
  </r>
  <r>
    <n v="20711"/>
    <x v="0"/>
    <x v="0"/>
    <n v="40000"/>
    <n v="1"/>
    <x v="0"/>
    <s v="Skilled Manual"/>
    <x v="0"/>
    <x v="0"/>
    <x v="3"/>
    <x v="0"/>
    <x v="2"/>
    <n v="32"/>
    <x v="1"/>
  </r>
  <r>
    <n v="11383"/>
    <x v="0"/>
    <x v="0"/>
    <n v="30000"/>
    <n v="3"/>
    <x v="4"/>
    <s v="Clerical"/>
    <x v="0"/>
    <x v="0"/>
    <x v="0"/>
    <x v="0"/>
    <x v="0"/>
    <n v="46"/>
    <x v="0"/>
  </r>
  <r>
    <n v="12497"/>
    <x v="0"/>
    <x v="0"/>
    <n v="40000"/>
    <n v="1"/>
    <x v="0"/>
    <s v="Skilled Manual"/>
    <x v="0"/>
    <x v="0"/>
    <x v="0"/>
    <x v="0"/>
    <x v="0"/>
    <n v="42"/>
    <x v="0"/>
  </r>
  <r>
    <n v="16559"/>
    <x v="1"/>
    <x v="0"/>
    <n v="10000"/>
    <n v="2"/>
    <x v="2"/>
    <s v="Manual"/>
    <x v="0"/>
    <x v="0"/>
    <x v="0"/>
    <x v="0"/>
    <x v="2"/>
    <n v="36"/>
    <x v="1"/>
  </r>
  <r>
    <n v="11585"/>
    <x v="0"/>
    <x v="0"/>
    <n v="40000"/>
    <n v="1"/>
    <x v="0"/>
    <s v="Skilled Manual"/>
    <x v="0"/>
    <x v="0"/>
    <x v="0"/>
    <x v="0"/>
    <x v="0"/>
    <n v="41"/>
    <x v="0"/>
  </r>
  <r>
    <n v="20277"/>
    <x v="0"/>
    <x v="0"/>
    <n v="30000"/>
    <n v="2"/>
    <x v="1"/>
    <s v="Clerical"/>
    <x v="1"/>
    <x v="2"/>
    <x v="0"/>
    <x v="1"/>
    <x v="1"/>
    <n v="69"/>
    <x v="0"/>
  </r>
  <r>
    <n v="26765"/>
    <x v="1"/>
    <x v="0"/>
    <n v="70000"/>
    <n v="5"/>
    <x v="1"/>
    <s v="Skilled Manual"/>
    <x v="0"/>
    <x v="2"/>
    <x v="2"/>
    <x v="1"/>
    <x v="0"/>
    <n v="45"/>
    <x v="0"/>
  </r>
  <r>
    <n v="12389"/>
    <x v="1"/>
    <x v="1"/>
    <n v="30000"/>
    <n v="0"/>
    <x v="2"/>
    <s v="Manual"/>
    <x v="1"/>
    <x v="1"/>
    <x v="1"/>
    <x v="0"/>
    <x v="2"/>
    <n v="34"/>
    <x v="0"/>
  </r>
  <r>
    <n v="13585"/>
    <x v="0"/>
    <x v="0"/>
    <n v="80000"/>
    <n v="4"/>
    <x v="1"/>
    <s v="Professional"/>
    <x v="1"/>
    <x v="1"/>
    <x v="1"/>
    <x v="0"/>
    <x v="0"/>
    <n v="53"/>
    <x v="1"/>
  </r>
  <r>
    <n v="26385"/>
    <x v="1"/>
    <x v="1"/>
    <n v="120000"/>
    <n v="3"/>
    <x v="2"/>
    <s v="Professional"/>
    <x v="1"/>
    <x v="3"/>
    <x v="2"/>
    <x v="0"/>
    <x v="0"/>
    <n v="50"/>
    <x v="0"/>
  </r>
  <r>
    <n v="12236"/>
    <x v="0"/>
    <x v="0"/>
    <n v="20000"/>
    <n v="1"/>
    <x v="1"/>
    <s v="Manual"/>
    <x v="0"/>
    <x v="0"/>
    <x v="0"/>
    <x v="0"/>
    <x v="1"/>
    <n v="65"/>
    <x v="0"/>
  </r>
  <r>
    <n v="21560"/>
    <x v="0"/>
    <x v="1"/>
    <n v="120000"/>
    <n v="0"/>
    <x v="3"/>
    <s v="Professional"/>
    <x v="0"/>
    <x v="3"/>
    <x v="4"/>
    <x v="1"/>
    <x v="2"/>
    <n v="32"/>
    <x v="1"/>
  </r>
  <r>
    <n v="21554"/>
    <x v="1"/>
    <x v="0"/>
    <n v="80000"/>
    <n v="0"/>
    <x v="0"/>
    <s v="Professional"/>
    <x v="1"/>
    <x v="4"/>
    <x v="4"/>
    <x v="1"/>
    <x v="2"/>
    <n v="33"/>
    <x v="0"/>
  </r>
  <r>
    <n v="13662"/>
    <x v="1"/>
    <x v="1"/>
    <n v="20000"/>
    <n v="0"/>
    <x v="3"/>
    <s v="Manual"/>
    <x v="0"/>
    <x v="2"/>
    <x v="3"/>
    <x v="0"/>
    <x v="2"/>
    <n v="31"/>
    <x v="1"/>
  </r>
  <r>
    <n v="13089"/>
    <x v="0"/>
    <x v="0"/>
    <n v="120000"/>
    <n v="1"/>
    <x v="0"/>
    <s v="Management"/>
    <x v="0"/>
    <x v="2"/>
    <x v="0"/>
    <x v="1"/>
    <x v="0"/>
    <n v="46"/>
    <x v="1"/>
  </r>
  <r>
    <n v="14791"/>
    <x v="0"/>
    <x v="0"/>
    <n v="40000"/>
    <n v="0"/>
    <x v="0"/>
    <s v="Clerical"/>
    <x v="0"/>
    <x v="0"/>
    <x v="0"/>
    <x v="0"/>
    <x v="2"/>
    <n v="39"/>
    <x v="1"/>
  </r>
  <r>
    <n v="19331"/>
    <x v="1"/>
    <x v="1"/>
    <n v="20000"/>
    <n v="2"/>
    <x v="2"/>
    <s v="Manual"/>
    <x v="0"/>
    <x v="1"/>
    <x v="0"/>
    <x v="0"/>
    <x v="0"/>
    <n v="40"/>
    <x v="0"/>
  </r>
  <r>
    <n v="17754"/>
    <x v="1"/>
    <x v="0"/>
    <n v="30000"/>
    <n v="3"/>
    <x v="0"/>
    <s v="Clerical"/>
    <x v="0"/>
    <x v="0"/>
    <x v="0"/>
    <x v="0"/>
    <x v="0"/>
    <n v="46"/>
    <x v="1"/>
  </r>
  <r>
    <n v="11149"/>
    <x v="0"/>
    <x v="1"/>
    <n v="40000"/>
    <n v="2"/>
    <x v="0"/>
    <s v="Management"/>
    <x v="0"/>
    <x v="2"/>
    <x v="0"/>
    <x v="1"/>
    <x v="1"/>
    <n v="65"/>
    <x v="0"/>
  </r>
  <r>
    <n v="16549"/>
    <x v="1"/>
    <x v="0"/>
    <n v="30000"/>
    <n v="3"/>
    <x v="0"/>
    <s v="Clerical"/>
    <x v="0"/>
    <x v="0"/>
    <x v="0"/>
    <x v="0"/>
    <x v="0"/>
    <n v="47"/>
    <x v="1"/>
  </r>
  <r>
    <n v="24305"/>
    <x v="1"/>
    <x v="1"/>
    <n v="100000"/>
    <n v="1"/>
    <x v="0"/>
    <s v="Management"/>
    <x v="1"/>
    <x v="4"/>
    <x v="0"/>
    <x v="1"/>
    <x v="0"/>
    <n v="46"/>
    <x v="1"/>
  </r>
  <r>
    <n v="18253"/>
    <x v="0"/>
    <x v="0"/>
    <n v="80000"/>
    <n v="5"/>
    <x v="4"/>
    <s v="Management"/>
    <x v="0"/>
    <x v="4"/>
    <x v="0"/>
    <x v="1"/>
    <x v="0"/>
    <n v="40"/>
    <x v="0"/>
  </r>
  <r>
    <n v="20147"/>
    <x v="0"/>
    <x v="0"/>
    <n v="30000"/>
    <n v="1"/>
    <x v="0"/>
    <s v="Clerical"/>
    <x v="0"/>
    <x v="0"/>
    <x v="0"/>
    <x v="0"/>
    <x v="1"/>
    <n v="65"/>
    <x v="0"/>
  </r>
  <r>
    <n v="15612"/>
    <x v="1"/>
    <x v="1"/>
    <n v="30000"/>
    <n v="0"/>
    <x v="2"/>
    <s v="Manual"/>
    <x v="1"/>
    <x v="1"/>
    <x v="3"/>
    <x v="0"/>
    <x v="3"/>
    <n v="28"/>
    <x v="0"/>
  </r>
  <r>
    <n v="28323"/>
    <x v="1"/>
    <x v="1"/>
    <n v="70000"/>
    <n v="0"/>
    <x v="0"/>
    <s v="Professional"/>
    <x v="1"/>
    <x v="2"/>
    <x v="2"/>
    <x v="1"/>
    <x v="0"/>
    <n v="43"/>
    <x v="1"/>
  </r>
  <r>
    <n v="22634"/>
    <x v="1"/>
    <x v="0"/>
    <n v="40000"/>
    <n v="0"/>
    <x v="4"/>
    <s v="Clerical"/>
    <x v="0"/>
    <x v="0"/>
    <x v="0"/>
    <x v="0"/>
    <x v="2"/>
    <n v="38"/>
    <x v="1"/>
  </r>
  <r>
    <n v="15665"/>
    <x v="0"/>
    <x v="0"/>
    <n v="30000"/>
    <n v="0"/>
    <x v="0"/>
    <s v="Clerical"/>
    <x v="0"/>
    <x v="0"/>
    <x v="0"/>
    <x v="0"/>
    <x v="0"/>
    <n v="47"/>
    <x v="1"/>
  </r>
  <r>
    <n v="27585"/>
    <x v="0"/>
    <x v="0"/>
    <n v="90000"/>
    <n v="2"/>
    <x v="0"/>
    <s v="Professional"/>
    <x v="1"/>
    <x v="0"/>
    <x v="0"/>
    <x v="1"/>
    <x v="2"/>
    <n v="36"/>
    <x v="1"/>
  </r>
  <r>
    <n v="19748"/>
    <x v="0"/>
    <x v="1"/>
    <n v="20000"/>
    <n v="4"/>
    <x v="2"/>
    <s v="Skilled Manual"/>
    <x v="1"/>
    <x v="2"/>
    <x v="3"/>
    <x v="1"/>
    <x v="1"/>
    <n v="60"/>
    <x v="0"/>
  </r>
  <r>
    <n v="21974"/>
    <x v="1"/>
    <x v="0"/>
    <n v="70000"/>
    <n v="0"/>
    <x v="0"/>
    <s v="Professional"/>
    <x v="0"/>
    <x v="1"/>
    <x v="2"/>
    <x v="1"/>
    <x v="0"/>
    <n v="42"/>
    <x v="1"/>
  </r>
  <r>
    <n v="14032"/>
    <x v="0"/>
    <x v="1"/>
    <n v="70000"/>
    <n v="2"/>
    <x v="2"/>
    <s v="Skilled Manual"/>
    <x v="1"/>
    <x v="2"/>
    <x v="3"/>
    <x v="1"/>
    <x v="0"/>
    <n v="50"/>
    <x v="1"/>
  </r>
  <r>
    <n v="22610"/>
    <x v="0"/>
    <x v="1"/>
    <n v="30000"/>
    <n v="0"/>
    <x v="0"/>
    <s v="Clerical"/>
    <x v="0"/>
    <x v="0"/>
    <x v="0"/>
    <x v="0"/>
    <x v="2"/>
    <n v="35"/>
    <x v="1"/>
  </r>
  <r>
    <n v="26984"/>
    <x v="0"/>
    <x v="1"/>
    <n v="40000"/>
    <n v="1"/>
    <x v="0"/>
    <s v="Skilled Manual"/>
    <x v="0"/>
    <x v="1"/>
    <x v="0"/>
    <x v="0"/>
    <x v="2"/>
    <n v="32"/>
    <x v="1"/>
  </r>
  <r>
    <n v="18294"/>
    <x v="0"/>
    <x v="0"/>
    <n v="90000"/>
    <n v="1"/>
    <x v="0"/>
    <s v="Professional"/>
    <x v="0"/>
    <x v="1"/>
    <x v="2"/>
    <x v="1"/>
    <x v="0"/>
    <n v="46"/>
    <x v="0"/>
  </r>
  <r>
    <n v="28564"/>
    <x v="1"/>
    <x v="0"/>
    <n v="40000"/>
    <n v="2"/>
    <x v="1"/>
    <s v="Clerical"/>
    <x v="0"/>
    <x v="0"/>
    <x v="3"/>
    <x v="0"/>
    <x v="2"/>
    <n v="33"/>
    <x v="1"/>
  </r>
  <r>
    <n v="28521"/>
    <x v="1"/>
    <x v="1"/>
    <n v="40000"/>
    <n v="0"/>
    <x v="4"/>
    <s v="Clerical"/>
    <x v="1"/>
    <x v="0"/>
    <x v="0"/>
    <x v="0"/>
    <x v="2"/>
    <n v="36"/>
    <x v="1"/>
  </r>
  <r>
    <n v="15450"/>
    <x v="0"/>
    <x v="1"/>
    <n v="10000"/>
    <n v="1"/>
    <x v="4"/>
    <s v="Clerical"/>
    <x v="0"/>
    <x v="0"/>
    <x v="0"/>
    <x v="0"/>
    <x v="4"/>
    <n v="70"/>
    <x v="0"/>
  </r>
  <r>
    <n v="25681"/>
    <x v="1"/>
    <x v="0"/>
    <n v="30000"/>
    <n v="0"/>
    <x v="1"/>
    <s v="Clerical"/>
    <x v="1"/>
    <x v="1"/>
    <x v="1"/>
    <x v="0"/>
    <x v="2"/>
    <n v="31"/>
    <x v="1"/>
  </r>
  <r>
    <n v="19491"/>
    <x v="1"/>
    <x v="1"/>
    <n v="30000"/>
    <n v="2"/>
    <x v="1"/>
    <s v="Clerical"/>
    <x v="0"/>
    <x v="2"/>
    <x v="0"/>
    <x v="0"/>
    <x v="0"/>
    <n v="42"/>
    <x v="0"/>
  </r>
  <r>
    <n v="26415"/>
    <x v="0"/>
    <x v="0"/>
    <n v="90000"/>
    <n v="4"/>
    <x v="3"/>
    <s v="Skilled Manual"/>
    <x v="0"/>
    <x v="3"/>
    <x v="4"/>
    <x v="0"/>
    <x v="1"/>
    <n v="58"/>
    <x v="0"/>
  </r>
  <r>
    <n v="12821"/>
    <x v="0"/>
    <x v="1"/>
    <n v="40000"/>
    <n v="0"/>
    <x v="0"/>
    <s v="Clerical"/>
    <x v="0"/>
    <x v="0"/>
    <x v="0"/>
    <x v="0"/>
    <x v="2"/>
    <n v="39"/>
    <x v="0"/>
  </r>
  <r>
    <n v="15629"/>
    <x v="1"/>
    <x v="0"/>
    <n v="10000"/>
    <n v="0"/>
    <x v="3"/>
    <s v="Manual"/>
    <x v="0"/>
    <x v="2"/>
    <x v="3"/>
    <x v="0"/>
    <x v="2"/>
    <n v="34"/>
    <x v="0"/>
  </r>
  <r>
    <n v="27835"/>
    <x v="0"/>
    <x v="1"/>
    <n v="20000"/>
    <n v="0"/>
    <x v="3"/>
    <s v="Manual"/>
    <x v="0"/>
    <x v="2"/>
    <x v="0"/>
    <x v="0"/>
    <x v="2"/>
    <n v="32"/>
    <x v="0"/>
  </r>
  <r>
    <n v="11738"/>
    <x v="0"/>
    <x v="1"/>
    <n v="60000"/>
    <n v="4"/>
    <x v="0"/>
    <s v="Professional"/>
    <x v="0"/>
    <x v="0"/>
    <x v="1"/>
    <x v="2"/>
    <x v="0"/>
    <n v="46"/>
    <x v="0"/>
  </r>
  <r>
    <n v="25065"/>
    <x v="0"/>
    <x v="1"/>
    <n v="70000"/>
    <n v="2"/>
    <x v="3"/>
    <s v="Skilled Manual"/>
    <x v="0"/>
    <x v="2"/>
    <x v="2"/>
    <x v="2"/>
    <x v="0"/>
    <n v="48"/>
    <x v="0"/>
  </r>
  <r>
    <n v="26238"/>
    <x v="1"/>
    <x v="0"/>
    <n v="40000"/>
    <n v="3"/>
    <x v="1"/>
    <s v="Clerical"/>
    <x v="0"/>
    <x v="1"/>
    <x v="3"/>
    <x v="2"/>
    <x v="2"/>
    <n v="31"/>
    <x v="1"/>
  </r>
  <r>
    <n v="23707"/>
    <x v="1"/>
    <x v="1"/>
    <n v="70000"/>
    <n v="5"/>
    <x v="0"/>
    <s v="Management"/>
    <x v="0"/>
    <x v="4"/>
    <x v="4"/>
    <x v="2"/>
    <x v="1"/>
    <n v="60"/>
    <x v="1"/>
  </r>
  <r>
    <n v="27650"/>
    <x v="0"/>
    <x v="1"/>
    <n v="70000"/>
    <n v="4"/>
    <x v="2"/>
    <s v="Professional"/>
    <x v="0"/>
    <x v="0"/>
    <x v="2"/>
    <x v="2"/>
    <x v="0"/>
    <n v="51"/>
    <x v="0"/>
  </r>
  <r>
    <n v="24981"/>
    <x v="0"/>
    <x v="1"/>
    <n v="60000"/>
    <n v="2"/>
    <x v="1"/>
    <s v="Professional"/>
    <x v="0"/>
    <x v="2"/>
    <x v="4"/>
    <x v="2"/>
    <x v="1"/>
    <n v="56"/>
    <x v="0"/>
  </r>
  <r>
    <n v="20678"/>
    <x v="1"/>
    <x v="0"/>
    <n v="60000"/>
    <n v="3"/>
    <x v="0"/>
    <s v="Skilled Manual"/>
    <x v="0"/>
    <x v="1"/>
    <x v="1"/>
    <x v="2"/>
    <x v="0"/>
    <n v="40"/>
    <x v="1"/>
  </r>
  <r>
    <n v="15302"/>
    <x v="1"/>
    <x v="0"/>
    <n v="70000"/>
    <n v="1"/>
    <x v="4"/>
    <s v="Professional"/>
    <x v="0"/>
    <x v="0"/>
    <x v="1"/>
    <x v="2"/>
    <x v="2"/>
    <n v="34"/>
    <x v="1"/>
  </r>
  <r>
    <n v="26012"/>
    <x v="0"/>
    <x v="1"/>
    <n v="80000"/>
    <n v="1"/>
    <x v="1"/>
    <s v="Skilled Manual"/>
    <x v="0"/>
    <x v="1"/>
    <x v="1"/>
    <x v="2"/>
    <x v="0"/>
    <n v="48"/>
    <x v="1"/>
  </r>
  <r>
    <n v="26575"/>
    <x v="1"/>
    <x v="0"/>
    <n v="40000"/>
    <n v="0"/>
    <x v="2"/>
    <s v="Skilled Manual"/>
    <x v="1"/>
    <x v="2"/>
    <x v="3"/>
    <x v="2"/>
    <x v="2"/>
    <n v="31"/>
    <x v="1"/>
  </r>
  <r>
    <n v="15559"/>
    <x v="0"/>
    <x v="1"/>
    <n v="60000"/>
    <n v="5"/>
    <x v="0"/>
    <s v="Professional"/>
    <x v="0"/>
    <x v="1"/>
    <x v="1"/>
    <x v="2"/>
    <x v="0"/>
    <n v="47"/>
    <x v="0"/>
  </r>
  <r>
    <n v="19235"/>
    <x v="0"/>
    <x v="0"/>
    <n v="50000"/>
    <n v="0"/>
    <x v="4"/>
    <s v="Skilled Manual"/>
    <x v="0"/>
    <x v="0"/>
    <x v="0"/>
    <x v="2"/>
    <x v="2"/>
    <n v="34"/>
    <x v="0"/>
  </r>
  <r>
    <n v="15275"/>
    <x v="0"/>
    <x v="1"/>
    <n v="40000"/>
    <n v="0"/>
    <x v="1"/>
    <s v="Skilled Manual"/>
    <x v="0"/>
    <x v="1"/>
    <x v="2"/>
    <x v="2"/>
    <x v="3"/>
    <n v="29"/>
    <x v="0"/>
  </r>
  <r>
    <n v="20339"/>
    <x v="0"/>
    <x v="0"/>
    <n v="130000"/>
    <n v="1"/>
    <x v="0"/>
    <s v="Management"/>
    <x v="0"/>
    <x v="3"/>
    <x v="1"/>
    <x v="2"/>
    <x v="0"/>
    <n v="44"/>
    <x v="1"/>
  </r>
  <r>
    <n v="25405"/>
    <x v="0"/>
    <x v="1"/>
    <n v="70000"/>
    <n v="2"/>
    <x v="0"/>
    <s v="Skilled Manual"/>
    <x v="0"/>
    <x v="1"/>
    <x v="1"/>
    <x v="2"/>
    <x v="2"/>
    <n v="38"/>
    <x v="1"/>
  </r>
  <r>
    <n v="15940"/>
    <x v="0"/>
    <x v="1"/>
    <n v="100000"/>
    <n v="4"/>
    <x v="1"/>
    <s v="Professional"/>
    <x v="0"/>
    <x v="3"/>
    <x v="0"/>
    <x v="2"/>
    <x v="0"/>
    <n v="40"/>
    <x v="0"/>
  </r>
  <r>
    <n v="25074"/>
    <x v="0"/>
    <x v="0"/>
    <n v="70000"/>
    <n v="4"/>
    <x v="0"/>
    <s v="Professional"/>
    <x v="0"/>
    <x v="2"/>
    <x v="1"/>
    <x v="2"/>
    <x v="0"/>
    <n v="42"/>
    <x v="1"/>
  </r>
  <r>
    <n v="24738"/>
    <x v="0"/>
    <x v="0"/>
    <n v="40000"/>
    <n v="1"/>
    <x v="1"/>
    <s v="Clerical"/>
    <x v="0"/>
    <x v="1"/>
    <x v="3"/>
    <x v="2"/>
    <x v="0"/>
    <n v="51"/>
    <x v="1"/>
  </r>
  <r>
    <n v="16337"/>
    <x v="0"/>
    <x v="1"/>
    <n v="60000"/>
    <n v="0"/>
    <x v="1"/>
    <s v="Skilled Manual"/>
    <x v="1"/>
    <x v="2"/>
    <x v="3"/>
    <x v="2"/>
    <x v="3"/>
    <n v="29"/>
    <x v="0"/>
  </r>
  <r>
    <n v="24357"/>
    <x v="0"/>
    <x v="1"/>
    <n v="80000"/>
    <n v="3"/>
    <x v="0"/>
    <s v="Professional"/>
    <x v="0"/>
    <x v="1"/>
    <x v="1"/>
    <x v="2"/>
    <x v="0"/>
    <n v="48"/>
    <x v="1"/>
  </r>
  <r>
    <n v="18613"/>
    <x v="1"/>
    <x v="1"/>
    <n v="70000"/>
    <n v="0"/>
    <x v="0"/>
    <s v="Professional"/>
    <x v="1"/>
    <x v="1"/>
    <x v="1"/>
    <x v="2"/>
    <x v="2"/>
    <n v="37"/>
    <x v="1"/>
  </r>
  <r>
    <n v="12207"/>
    <x v="1"/>
    <x v="1"/>
    <n v="80000"/>
    <n v="4"/>
    <x v="0"/>
    <s v="Management"/>
    <x v="0"/>
    <x v="0"/>
    <x v="2"/>
    <x v="2"/>
    <x v="1"/>
    <n v="66"/>
    <x v="1"/>
  </r>
  <r>
    <n v="18052"/>
    <x v="0"/>
    <x v="0"/>
    <n v="60000"/>
    <n v="1"/>
    <x v="1"/>
    <s v="Skilled Manual"/>
    <x v="0"/>
    <x v="1"/>
    <x v="0"/>
    <x v="2"/>
    <x v="0"/>
    <n v="45"/>
    <x v="1"/>
  </r>
  <r>
    <n v="13353"/>
    <x v="1"/>
    <x v="0"/>
    <n v="60000"/>
    <n v="4"/>
    <x v="4"/>
    <s v="Management"/>
    <x v="0"/>
    <x v="2"/>
    <x v="4"/>
    <x v="2"/>
    <x v="1"/>
    <n v="61"/>
    <x v="1"/>
  </r>
  <r>
    <n v="19399"/>
    <x v="1"/>
    <x v="1"/>
    <n v="40000"/>
    <n v="0"/>
    <x v="0"/>
    <s v="Professional"/>
    <x v="1"/>
    <x v="1"/>
    <x v="1"/>
    <x v="2"/>
    <x v="0"/>
    <n v="45"/>
    <x v="0"/>
  </r>
  <r>
    <n v="16154"/>
    <x v="0"/>
    <x v="0"/>
    <n v="70000"/>
    <n v="5"/>
    <x v="0"/>
    <s v="Professional"/>
    <x v="0"/>
    <x v="2"/>
    <x v="1"/>
    <x v="2"/>
    <x v="0"/>
    <n v="47"/>
    <x v="0"/>
  </r>
  <r>
    <n v="22219"/>
    <x v="0"/>
    <x v="0"/>
    <n v="60000"/>
    <n v="2"/>
    <x v="2"/>
    <s v="Professional"/>
    <x v="0"/>
    <x v="2"/>
    <x v="2"/>
    <x v="2"/>
    <x v="0"/>
    <n v="49"/>
    <x v="0"/>
  </r>
  <r>
    <n v="17269"/>
    <x v="1"/>
    <x v="1"/>
    <n v="60000"/>
    <n v="3"/>
    <x v="0"/>
    <s v="Professional"/>
    <x v="1"/>
    <x v="0"/>
    <x v="0"/>
    <x v="2"/>
    <x v="0"/>
    <n v="47"/>
    <x v="1"/>
  </r>
  <r>
    <n v="23586"/>
    <x v="0"/>
    <x v="0"/>
    <n v="80000"/>
    <n v="0"/>
    <x v="0"/>
    <s v="Management"/>
    <x v="0"/>
    <x v="1"/>
    <x v="3"/>
    <x v="2"/>
    <x v="2"/>
    <n v="34"/>
    <x v="1"/>
  </r>
  <r>
    <n v="15740"/>
    <x v="0"/>
    <x v="1"/>
    <n v="80000"/>
    <n v="5"/>
    <x v="0"/>
    <s v="Management"/>
    <x v="0"/>
    <x v="2"/>
    <x v="3"/>
    <x v="2"/>
    <x v="1"/>
    <n v="64"/>
    <x v="0"/>
  </r>
  <r>
    <n v="27638"/>
    <x v="1"/>
    <x v="1"/>
    <n v="100000"/>
    <n v="1"/>
    <x v="1"/>
    <s v="Professional"/>
    <x v="1"/>
    <x v="4"/>
    <x v="3"/>
    <x v="2"/>
    <x v="0"/>
    <n v="44"/>
    <x v="0"/>
  </r>
  <r>
    <n v="18976"/>
    <x v="1"/>
    <x v="1"/>
    <n v="40000"/>
    <n v="4"/>
    <x v="2"/>
    <s v="Professional"/>
    <x v="0"/>
    <x v="2"/>
    <x v="4"/>
    <x v="2"/>
    <x v="1"/>
    <n v="62"/>
    <x v="1"/>
  </r>
  <r>
    <n v="19413"/>
    <x v="1"/>
    <x v="1"/>
    <n v="60000"/>
    <n v="3"/>
    <x v="0"/>
    <s v="Professional"/>
    <x v="1"/>
    <x v="1"/>
    <x v="0"/>
    <x v="2"/>
    <x v="0"/>
    <n v="47"/>
    <x v="1"/>
  </r>
  <r>
    <n v="13283"/>
    <x v="0"/>
    <x v="1"/>
    <n v="80000"/>
    <n v="3"/>
    <x v="1"/>
    <s v="Professional"/>
    <x v="1"/>
    <x v="2"/>
    <x v="0"/>
    <x v="2"/>
    <x v="0"/>
    <n v="49"/>
    <x v="1"/>
  </r>
  <r>
    <n v="17471"/>
    <x v="1"/>
    <x v="0"/>
    <n v="80000"/>
    <n v="4"/>
    <x v="4"/>
    <s v="Management"/>
    <x v="0"/>
    <x v="2"/>
    <x v="2"/>
    <x v="2"/>
    <x v="1"/>
    <n v="67"/>
    <x v="0"/>
  </r>
  <r>
    <n v="16791"/>
    <x v="1"/>
    <x v="1"/>
    <n v="60000"/>
    <n v="5"/>
    <x v="0"/>
    <s v="Management"/>
    <x v="0"/>
    <x v="4"/>
    <x v="4"/>
    <x v="2"/>
    <x v="1"/>
    <n v="59"/>
    <x v="1"/>
  </r>
  <r>
    <n v="15382"/>
    <x v="0"/>
    <x v="0"/>
    <n v="110000"/>
    <n v="1"/>
    <x v="0"/>
    <s v="Management"/>
    <x v="0"/>
    <x v="2"/>
    <x v="3"/>
    <x v="2"/>
    <x v="0"/>
    <n v="44"/>
    <x v="0"/>
  </r>
  <r>
    <n v="11641"/>
    <x v="0"/>
    <x v="1"/>
    <n v="50000"/>
    <n v="1"/>
    <x v="0"/>
    <s v="Skilled Manual"/>
    <x v="0"/>
    <x v="0"/>
    <x v="0"/>
    <x v="2"/>
    <x v="2"/>
    <n v="36"/>
    <x v="0"/>
  </r>
  <r>
    <n v="11935"/>
    <x v="1"/>
    <x v="0"/>
    <n v="30000"/>
    <n v="0"/>
    <x v="1"/>
    <s v="Skilled Manual"/>
    <x v="0"/>
    <x v="1"/>
    <x v="2"/>
    <x v="2"/>
    <x v="3"/>
    <n v="28"/>
    <x v="0"/>
  </r>
  <r>
    <n v="13233"/>
    <x v="0"/>
    <x v="1"/>
    <n v="60000"/>
    <n v="2"/>
    <x v="1"/>
    <s v="Professional"/>
    <x v="0"/>
    <x v="1"/>
    <x v="4"/>
    <x v="2"/>
    <x v="1"/>
    <n v="57"/>
    <x v="1"/>
  </r>
  <r>
    <n v="25909"/>
    <x v="0"/>
    <x v="1"/>
    <n v="60000"/>
    <n v="0"/>
    <x v="1"/>
    <s v="Skilled Manual"/>
    <x v="0"/>
    <x v="1"/>
    <x v="2"/>
    <x v="2"/>
    <x v="3"/>
    <n v="27"/>
    <x v="1"/>
  </r>
  <r>
    <n v="14092"/>
    <x v="1"/>
    <x v="1"/>
    <n v="30000"/>
    <n v="0"/>
    <x v="3"/>
    <s v="Clerical"/>
    <x v="0"/>
    <x v="2"/>
    <x v="2"/>
    <x v="2"/>
    <x v="3"/>
    <n v="28"/>
    <x v="0"/>
  </r>
  <r>
    <n v="29143"/>
    <x v="1"/>
    <x v="0"/>
    <n v="60000"/>
    <n v="1"/>
    <x v="0"/>
    <s v="Professional"/>
    <x v="1"/>
    <x v="1"/>
    <x v="0"/>
    <x v="2"/>
    <x v="0"/>
    <n v="44"/>
    <x v="1"/>
  </r>
  <r>
    <n v="24941"/>
    <x v="0"/>
    <x v="1"/>
    <n v="60000"/>
    <n v="3"/>
    <x v="0"/>
    <s v="Management"/>
    <x v="0"/>
    <x v="2"/>
    <x v="4"/>
    <x v="2"/>
    <x v="1"/>
    <n v="66"/>
    <x v="0"/>
  </r>
  <r>
    <n v="24637"/>
    <x v="0"/>
    <x v="1"/>
    <n v="40000"/>
    <n v="4"/>
    <x v="2"/>
    <s v="Professional"/>
    <x v="0"/>
    <x v="2"/>
    <x v="4"/>
    <x v="2"/>
    <x v="1"/>
    <n v="64"/>
    <x v="0"/>
  </r>
  <r>
    <n v="23893"/>
    <x v="0"/>
    <x v="1"/>
    <n v="50000"/>
    <n v="3"/>
    <x v="0"/>
    <s v="Skilled Manual"/>
    <x v="0"/>
    <x v="4"/>
    <x v="4"/>
    <x v="2"/>
    <x v="0"/>
    <n v="41"/>
    <x v="0"/>
  </r>
  <r>
    <n v="13907"/>
    <x v="1"/>
    <x v="0"/>
    <n v="80000"/>
    <n v="3"/>
    <x v="0"/>
    <s v="Skilled Manual"/>
    <x v="0"/>
    <x v="1"/>
    <x v="0"/>
    <x v="2"/>
    <x v="0"/>
    <n v="41"/>
    <x v="1"/>
  </r>
  <r>
    <n v="14900"/>
    <x v="0"/>
    <x v="0"/>
    <n v="40000"/>
    <n v="1"/>
    <x v="1"/>
    <s v="Clerical"/>
    <x v="0"/>
    <x v="1"/>
    <x v="3"/>
    <x v="2"/>
    <x v="0"/>
    <n v="49"/>
    <x v="1"/>
  </r>
  <r>
    <n v="11262"/>
    <x v="0"/>
    <x v="0"/>
    <n v="80000"/>
    <n v="4"/>
    <x v="0"/>
    <s v="Management"/>
    <x v="0"/>
    <x v="0"/>
    <x v="0"/>
    <x v="2"/>
    <x v="0"/>
    <n v="42"/>
    <x v="0"/>
  </r>
  <r>
    <n v="22294"/>
    <x v="1"/>
    <x v="0"/>
    <n v="70000"/>
    <n v="0"/>
    <x v="0"/>
    <s v="Professional"/>
    <x v="1"/>
    <x v="1"/>
    <x v="1"/>
    <x v="2"/>
    <x v="2"/>
    <n v="37"/>
    <x v="1"/>
  </r>
  <r>
    <n v="12195"/>
    <x v="1"/>
    <x v="0"/>
    <n v="70000"/>
    <n v="3"/>
    <x v="4"/>
    <s v="Management"/>
    <x v="0"/>
    <x v="2"/>
    <x v="3"/>
    <x v="2"/>
    <x v="0"/>
    <n v="52"/>
    <x v="0"/>
  </r>
  <r>
    <n v="25375"/>
    <x v="0"/>
    <x v="1"/>
    <n v="50000"/>
    <n v="1"/>
    <x v="4"/>
    <s v="Skilled Manual"/>
    <x v="0"/>
    <x v="0"/>
    <x v="3"/>
    <x v="2"/>
    <x v="2"/>
    <n v="34"/>
    <x v="0"/>
  </r>
  <r>
    <n v="11143"/>
    <x v="0"/>
    <x v="1"/>
    <n v="40000"/>
    <n v="0"/>
    <x v="2"/>
    <s v="Skilled Manual"/>
    <x v="0"/>
    <x v="2"/>
    <x v="2"/>
    <x v="2"/>
    <x v="3"/>
    <n v="29"/>
    <x v="0"/>
  </r>
  <r>
    <n v="25898"/>
    <x v="0"/>
    <x v="0"/>
    <n v="70000"/>
    <n v="2"/>
    <x v="2"/>
    <s v="Professional"/>
    <x v="0"/>
    <x v="2"/>
    <x v="1"/>
    <x v="2"/>
    <x v="0"/>
    <n v="53"/>
    <x v="0"/>
  </r>
  <r>
    <n v="24397"/>
    <x v="1"/>
    <x v="1"/>
    <n v="120000"/>
    <n v="2"/>
    <x v="0"/>
    <s v="Management"/>
    <x v="1"/>
    <x v="3"/>
    <x v="3"/>
    <x v="2"/>
    <x v="0"/>
    <n v="40"/>
    <x v="0"/>
  </r>
  <r>
    <n v="19758"/>
    <x v="1"/>
    <x v="1"/>
    <n v="60000"/>
    <n v="0"/>
    <x v="1"/>
    <s v="Skilled Manual"/>
    <x v="1"/>
    <x v="2"/>
    <x v="3"/>
    <x v="2"/>
    <x v="3"/>
    <n v="29"/>
    <x v="0"/>
  </r>
  <r>
    <n v="15529"/>
    <x v="0"/>
    <x v="1"/>
    <n v="60000"/>
    <n v="4"/>
    <x v="0"/>
    <s v="Professional"/>
    <x v="0"/>
    <x v="2"/>
    <x v="1"/>
    <x v="2"/>
    <x v="0"/>
    <n v="43"/>
    <x v="1"/>
  </r>
  <r>
    <n v="19884"/>
    <x v="0"/>
    <x v="1"/>
    <n v="60000"/>
    <n v="2"/>
    <x v="2"/>
    <s v="Professional"/>
    <x v="0"/>
    <x v="2"/>
    <x v="1"/>
    <x v="2"/>
    <x v="1"/>
    <n v="55"/>
    <x v="1"/>
  </r>
  <r>
    <n v="18674"/>
    <x v="1"/>
    <x v="0"/>
    <n v="80000"/>
    <n v="4"/>
    <x v="4"/>
    <s v="Skilled Manual"/>
    <x v="1"/>
    <x v="0"/>
    <x v="0"/>
    <x v="2"/>
    <x v="0"/>
    <n v="48"/>
    <x v="0"/>
  </r>
  <r>
    <n v="13453"/>
    <x v="0"/>
    <x v="0"/>
    <n v="130000"/>
    <n v="3"/>
    <x v="0"/>
    <s v="Management"/>
    <x v="0"/>
    <x v="4"/>
    <x v="0"/>
    <x v="2"/>
    <x v="0"/>
    <n v="45"/>
    <x v="1"/>
  </r>
  <r>
    <n v="14063"/>
    <x v="1"/>
    <x v="0"/>
    <n v="70000"/>
    <n v="0"/>
    <x v="0"/>
    <s v="Professional"/>
    <x v="1"/>
    <x v="1"/>
    <x v="0"/>
    <x v="1"/>
    <x v="0"/>
    <n v="42"/>
    <x v="1"/>
  </r>
  <r>
    <n v="27393"/>
    <x v="0"/>
    <x v="0"/>
    <n v="50000"/>
    <n v="4"/>
    <x v="0"/>
    <s v="Management"/>
    <x v="0"/>
    <x v="2"/>
    <x v="4"/>
    <x v="2"/>
    <x v="1"/>
    <n v="63"/>
    <x v="0"/>
  </r>
  <r>
    <n v="14417"/>
    <x v="1"/>
    <x v="1"/>
    <n v="60000"/>
    <n v="3"/>
    <x v="2"/>
    <s v="Professional"/>
    <x v="0"/>
    <x v="2"/>
    <x v="4"/>
    <x v="2"/>
    <x v="0"/>
    <n v="54"/>
    <x v="1"/>
  </r>
  <r>
    <n v="17533"/>
    <x v="0"/>
    <x v="1"/>
    <n v="40000"/>
    <n v="3"/>
    <x v="1"/>
    <s v="Professional"/>
    <x v="1"/>
    <x v="2"/>
    <x v="2"/>
    <x v="2"/>
    <x v="4"/>
    <n v="73"/>
    <x v="1"/>
  </r>
  <r>
    <n v="18580"/>
    <x v="0"/>
    <x v="0"/>
    <n v="60000"/>
    <n v="2"/>
    <x v="4"/>
    <s v="Professional"/>
    <x v="0"/>
    <x v="0"/>
    <x v="1"/>
    <x v="2"/>
    <x v="0"/>
    <n v="40"/>
    <x v="1"/>
  </r>
  <r>
    <n v="17025"/>
    <x v="1"/>
    <x v="1"/>
    <n v="50000"/>
    <n v="0"/>
    <x v="1"/>
    <s v="Skilled Manual"/>
    <x v="1"/>
    <x v="1"/>
    <x v="1"/>
    <x v="2"/>
    <x v="2"/>
    <n v="39"/>
    <x v="1"/>
  </r>
  <r>
    <n v="25293"/>
    <x v="0"/>
    <x v="1"/>
    <n v="80000"/>
    <n v="4"/>
    <x v="0"/>
    <s v="Management"/>
    <x v="0"/>
    <x v="0"/>
    <x v="3"/>
    <x v="2"/>
    <x v="0"/>
    <n v="42"/>
    <x v="0"/>
  </r>
  <r>
    <n v="24725"/>
    <x v="0"/>
    <x v="0"/>
    <n v="40000"/>
    <n v="3"/>
    <x v="1"/>
    <s v="Clerical"/>
    <x v="0"/>
    <x v="0"/>
    <x v="3"/>
    <x v="2"/>
    <x v="2"/>
    <n v="31"/>
    <x v="0"/>
  </r>
  <r>
    <n v="23200"/>
    <x v="0"/>
    <x v="0"/>
    <n v="50000"/>
    <n v="3"/>
    <x v="0"/>
    <s v="Skilled Manual"/>
    <x v="0"/>
    <x v="2"/>
    <x v="0"/>
    <x v="2"/>
    <x v="0"/>
    <n v="41"/>
    <x v="0"/>
  </r>
  <r>
    <n v="15895"/>
    <x v="1"/>
    <x v="0"/>
    <n v="60000"/>
    <n v="2"/>
    <x v="0"/>
    <s v="Management"/>
    <x v="0"/>
    <x v="0"/>
    <x v="4"/>
    <x v="2"/>
    <x v="1"/>
    <n v="58"/>
    <x v="0"/>
  </r>
  <r>
    <n v="18577"/>
    <x v="0"/>
    <x v="0"/>
    <n v="60000"/>
    <n v="0"/>
    <x v="4"/>
    <s v="Professional"/>
    <x v="0"/>
    <x v="0"/>
    <x v="0"/>
    <x v="2"/>
    <x v="0"/>
    <n v="40"/>
    <x v="0"/>
  </r>
  <r>
    <n v="27218"/>
    <x v="0"/>
    <x v="0"/>
    <n v="20000"/>
    <n v="2"/>
    <x v="3"/>
    <s v="Clerical"/>
    <x v="1"/>
    <x v="0"/>
    <x v="0"/>
    <x v="2"/>
    <x v="0"/>
    <n v="48"/>
    <x v="0"/>
  </r>
  <r>
    <n v="18560"/>
    <x v="0"/>
    <x v="0"/>
    <n v="70000"/>
    <n v="2"/>
    <x v="4"/>
    <s v="Professional"/>
    <x v="0"/>
    <x v="0"/>
    <x v="1"/>
    <x v="2"/>
    <x v="2"/>
    <n v="34"/>
    <x v="1"/>
  </r>
  <r>
    <n v="25006"/>
    <x v="1"/>
    <x v="0"/>
    <n v="30000"/>
    <n v="0"/>
    <x v="1"/>
    <s v="Skilled Manual"/>
    <x v="0"/>
    <x v="1"/>
    <x v="2"/>
    <x v="2"/>
    <x v="3"/>
    <n v="28"/>
    <x v="0"/>
  </r>
  <r>
    <n v="17369"/>
    <x v="1"/>
    <x v="1"/>
    <n v="30000"/>
    <n v="0"/>
    <x v="1"/>
    <s v="Skilled Manual"/>
    <x v="0"/>
    <x v="1"/>
    <x v="2"/>
    <x v="2"/>
    <x v="3"/>
    <n v="27"/>
    <x v="0"/>
  </r>
  <r>
    <n v="14495"/>
    <x v="0"/>
    <x v="1"/>
    <n v="40000"/>
    <n v="3"/>
    <x v="1"/>
    <s v="Professional"/>
    <x v="1"/>
    <x v="2"/>
    <x v="2"/>
    <x v="2"/>
    <x v="0"/>
    <n v="54"/>
    <x v="1"/>
  </r>
  <r>
    <n v="18847"/>
    <x v="0"/>
    <x v="0"/>
    <n v="60000"/>
    <n v="2"/>
    <x v="4"/>
    <s v="Management"/>
    <x v="0"/>
    <x v="2"/>
    <x v="2"/>
    <x v="2"/>
    <x v="4"/>
    <n v="70"/>
    <x v="0"/>
  </r>
  <r>
    <n v="14754"/>
    <x v="0"/>
    <x v="1"/>
    <n v="40000"/>
    <n v="1"/>
    <x v="1"/>
    <s v="Clerical"/>
    <x v="0"/>
    <x v="1"/>
    <x v="3"/>
    <x v="2"/>
    <x v="0"/>
    <n v="48"/>
    <x v="1"/>
  </r>
  <r>
    <n v="23378"/>
    <x v="0"/>
    <x v="1"/>
    <n v="70000"/>
    <n v="1"/>
    <x v="1"/>
    <s v="Skilled Manual"/>
    <x v="0"/>
    <x v="1"/>
    <x v="1"/>
    <x v="2"/>
    <x v="0"/>
    <n v="44"/>
    <x v="1"/>
  </r>
  <r>
    <n v="26452"/>
    <x v="1"/>
    <x v="1"/>
    <n v="50000"/>
    <n v="3"/>
    <x v="4"/>
    <s v="Management"/>
    <x v="0"/>
    <x v="2"/>
    <x v="4"/>
    <x v="2"/>
    <x v="1"/>
    <n v="69"/>
    <x v="0"/>
  </r>
  <r>
    <n v="20370"/>
    <x v="0"/>
    <x v="1"/>
    <n v="70000"/>
    <n v="3"/>
    <x v="3"/>
    <s v="Skilled Manual"/>
    <x v="0"/>
    <x v="2"/>
    <x v="2"/>
    <x v="2"/>
    <x v="0"/>
    <n v="52"/>
    <x v="0"/>
  </r>
  <r>
    <n v="20528"/>
    <x v="0"/>
    <x v="1"/>
    <n v="40000"/>
    <n v="2"/>
    <x v="3"/>
    <s v="Skilled Manual"/>
    <x v="0"/>
    <x v="2"/>
    <x v="1"/>
    <x v="2"/>
    <x v="1"/>
    <n v="55"/>
    <x v="0"/>
  </r>
  <r>
    <n v="23549"/>
    <x v="1"/>
    <x v="1"/>
    <n v="30000"/>
    <n v="0"/>
    <x v="2"/>
    <s v="Skilled Manual"/>
    <x v="0"/>
    <x v="2"/>
    <x v="2"/>
    <x v="2"/>
    <x v="2"/>
    <n v="30"/>
    <x v="0"/>
  </r>
  <r>
    <n v="21751"/>
    <x v="0"/>
    <x v="1"/>
    <n v="60000"/>
    <n v="3"/>
    <x v="4"/>
    <s v="Management"/>
    <x v="0"/>
    <x v="2"/>
    <x v="3"/>
    <x v="2"/>
    <x v="1"/>
    <n v="63"/>
    <x v="0"/>
  </r>
  <r>
    <n v="21266"/>
    <x v="1"/>
    <x v="0"/>
    <n v="80000"/>
    <n v="0"/>
    <x v="0"/>
    <s v="Management"/>
    <x v="0"/>
    <x v="1"/>
    <x v="3"/>
    <x v="2"/>
    <x v="2"/>
    <n v="34"/>
    <x v="1"/>
  </r>
  <r>
    <n v="13388"/>
    <x v="1"/>
    <x v="1"/>
    <n v="60000"/>
    <n v="2"/>
    <x v="1"/>
    <s v="Professional"/>
    <x v="0"/>
    <x v="1"/>
    <x v="4"/>
    <x v="2"/>
    <x v="1"/>
    <n v="56"/>
    <x v="0"/>
  </r>
  <r>
    <n v="18752"/>
    <x v="1"/>
    <x v="0"/>
    <n v="40000"/>
    <n v="0"/>
    <x v="2"/>
    <s v="Skilled Manual"/>
    <x v="0"/>
    <x v="1"/>
    <x v="2"/>
    <x v="2"/>
    <x v="2"/>
    <n v="31"/>
    <x v="0"/>
  </r>
  <r>
    <n v="16917"/>
    <x v="0"/>
    <x v="1"/>
    <n v="120000"/>
    <n v="1"/>
    <x v="0"/>
    <s v="Management"/>
    <x v="0"/>
    <x v="3"/>
    <x v="0"/>
    <x v="2"/>
    <x v="2"/>
    <n v="38"/>
    <x v="0"/>
  </r>
  <r>
    <n v="15313"/>
    <x v="0"/>
    <x v="1"/>
    <n v="60000"/>
    <n v="4"/>
    <x v="0"/>
    <s v="Management"/>
    <x v="0"/>
    <x v="2"/>
    <x v="1"/>
    <x v="2"/>
    <x v="1"/>
    <n v="59"/>
    <x v="0"/>
  </r>
  <r>
    <n v="25329"/>
    <x v="1"/>
    <x v="0"/>
    <n v="40000"/>
    <n v="3"/>
    <x v="1"/>
    <s v="Clerical"/>
    <x v="1"/>
    <x v="2"/>
    <x v="0"/>
    <x v="2"/>
    <x v="2"/>
    <n v="32"/>
    <x v="0"/>
  </r>
  <r>
    <n v="20380"/>
    <x v="0"/>
    <x v="0"/>
    <n v="60000"/>
    <n v="3"/>
    <x v="4"/>
    <s v="Management"/>
    <x v="0"/>
    <x v="2"/>
    <x v="4"/>
    <x v="2"/>
    <x v="1"/>
    <n v="69"/>
    <x v="0"/>
  </r>
  <r>
    <n v="23089"/>
    <x v="0"/>
    <x v="1"/>
    <n v="40000"/>
    <n v="0"/>
    <x v="1"/>
    <s v="Skilled Manual"/>
    <x v="0"/>
    <x v="1"/>
    <x v="2"/>
    <x v="2"/>
    <x v="3"/>
    <n v="28"/>
    <x v="0"/>
  </r>
  <r>
    <n v="13749"/>
    <x v="0"/>
    <x v="1"/>
    <n v="80000"/>
    <n v="4"/>
    <x v="4"/>
    <s v="Skilled Manual"/>
    <x v="0"/>
    <x v="0"/>
    <x v="3"/>
    <x v="2"/>
    <x v="0"/>
    <n v="47"/>
    <x v="0"/>
  </r>
  <r>
    <n v="24943"/>
    <x v="0"/>
    <x v="1"/>
    <n v="60000"/>
    <n v="3"/>
    <x v="0"/>
    <s v="Management"/>
    <x v="0"/>
    <x v="2"/>
    <x v="4"/>
    <x v="2"/>
    <x v="1"/>
    <n v="66"/>
    <x v="0"/>
  </r>
  <r>
    <n v="28667"/>
    <x v="1"/>
    <x v="1"/>
    <n v="70000"/>
    <n v="2"/>
    <x v="0"/>
    <s v="Skilled Manual"/>
    <x v="1"/>
    <x v="1"/>
    <x v="0"/>
    <x v="2"/>
    <x v="2"/>
    <n v="37"/>
    <x v="1"/>
  </r>
  <r>
    <n v="15194"/>
    <x v="1"/>
    <x v="1"/>
    <n v="120000"/>
    <n v="2"/>
    <x v="0"/>
    <s v="Management"/>
    <x v="1"/>
    <x v="4"/>
    <x v="0"/>
    <x v="2"/>
    <x v="2"/>
    <n v="39"/>
    <x v="1"/>
  </r>
  <r>
    <n v="17436"/>
    <x v="0"/>
    <x v="1"/>
    <n v="60000"/>
    <n v="2"/>
    <x v="2"/>
    <s v="Professional"/>
    <x v="1"/>
    <x v="2"/>
    <x v="3"/>
    <x v="2"/>
    <x v="0"/>
    <n v="51"/>
    <x v="0"/>
  </r>
  <r>
    <n v="18935"/>
    <x v="0"/>
    <x v="0"/>
    <n v="130000"/>
    <n v="0"/>
    <x v="4"/>
    <s v="Management"/>
    <x v="0"/>
    <x v="4"/>
    <x v="3"/>
    <x v="2"/>
    <x v="0"/>
    <n v="40"/>
    <x v="0"/>
  </r>
  <r>
    <n v="16871"/>
    <x v="0"/>
    <x v="0"/>
    <n v="90000"/>
    <n v="2"/>
    <x v="2"/>
    <s v="Professional"/>
    <x v="0"/>
    <x v="1"/>
    <x v="4"/>
    <x v="2"/>
    <x v="0"/>
    <n v="51"/>
    <x v="1"/>
  </r>
  <r>
    <n v="12100"/>
    <x v="1"/>
    <x v="1"/>
    <n v="60000"/>
    <n v="2"/>
    <x v="0"/>
    <s v="Management"/>
    <x v="0"/>
    <x v="0"/>
    <x v="4"/>
    <x v="2"/>
    <x v="1"/>
    <n v="57"/>
    <x v="0"/>
  </r>
  <r>
    <n v="23158"/>
    <x v="0"/>
    <x v="0"/>
    <n v="60000"/>
    <n v="1"/>
    <x v="4"/>
    <s v="Professional"/>
    <x v="1"/>
    <x v="0"/>
    <x v="0"/>
    <x v="2"/>
    <x v="2"/>
    <n v="35"/>
    <x v="1"/>
  </r>
  <r>
    <n v="18545"/>
    <x v="0"/>
    <x v="1"/>
    <n v="40000"/>
    <n v="4"/>
    <x v="2"/>
    <s v="Professional"/>
    <x v="1"/>
    <x v="2"/>
    <x v="4"/>
    <x v="2"/>
    <x v="1"/>
    <n v="61"/>
    <x v="1"/>
  </r>
  <r>
    <n v="18391"/>
    <x v="1"/>
    <x v="0"/>
    <n v="80000"/>
    <n v="5"/>
    <x v="1"/>
    <s v="Professional"/>
    <x v="0"/>
    <x v="2"/>
    <x v="2"/>
    <x v="2"/>
    <x v="0"/>
    <n v="44"/>
    <x v="0"/>
  </r>
  <r>
    <n v="19812"/>
    <x v="1"/>
    <x v="0"/>
    <n v="70000"/>
    <n v="2"/>
    <x v="1"/>
    <s v="Professional"/>
    <x v="0"/>
    <x v="0"/>
    <x v="2"/>
    <x v="2"/>
    <x v="0"/>
    <n v="49"/>
    <x v="1"/>
  </r>
  <r>
    <n v="27660"/>
    <x v="0"/>
    <x v="1"/>
    <n v="80000"/>
    <n v="4"/>
    <x v="4"/>
    <s v="Management"/>
    <x v="0"/>
    <x v="2"/>
    <x v="2"/>
    <x v="2"/>
    <x v="4"/>
    <n v="70"/>
    <x v="0"/>
  </r>
  <r>
    <n v="18058"/>
    <x v="1"/>
    <x v="0"/>
    <n v="20000"/>
    <n v="3"/>
    <x v="2"/>
    <s v="Skilled Manual"/>
    <x v="0"/>
    <x v="2"/>
    <x v="1"/>
    <x v="2"/>
    <x v="4"/>
    <n v="78"/>
    <x v="0"/>
  </r>
  <r>
    <n v="20343"/>
    <x v="0"/>
    <x v="0"/>
    <n v="90000"/>
    <n v="4"/>
    <x v="1"/>
    <s v="Professional"/>
    <x v="0"/>
    <x v="1"/>
    <x v="3"/>
    <x v="2"/>
    <x v="0"/>
    <n v="45"/>
    <x v="0"/>
  </r>
  <r>
    <n v="28997"/>
    <x v="1"/>
    <x v="1"/>
    <n v="40000"/>
    <n v="2"/>
    <x v="2"/>
    <s v="Professional"/>
    <x v="1"/>
    <x v="1"/>
    <x v="1"/>
    <x v="2"/>
    <x v="1"/>
    <n v="58"/>
    <x v="1"/>
  </r>
  <r>
    <n v="24398"/>
    <x v="0"/>
    <x v="1"/>
    <n v="130000"/>
    <n v="1"/>
    <x v="4"/>
    <s v="Management"/>
    <x v="0"/>
    <x v="3"/>
    <x v="0"/>
    <x v="2"/>
    <x v="0"/>
    <n v="41"/>
    <x v="0"/>
  </r>
  <r>
    <n v="19002"/>
    <x v="0"/>
    <x v="0"/>
    <n v="60000"/>
    <n v="2"/>
    <x v="1"/>
    <s v="Professional"/>
    <x v="0"/>
    <x v="1"/>
    <x v="1"/>
    <x v="2"/>
    <x v="1"/>
    <n v="57"/>
    <x v="1"/>
  </r>
  <r>
    <n v="28609"/>
    <x v="0"/>
    <x v="1"/>
    <n v="30000"/>
    <n v="2"/>
    <x v="2"/>
    <s v="Skilled Manual"/>
    <x v="1"/>
    <x v="2"/>
    <x v="0"/>
    <x v="2"/>
    <x v="0"/>
    <n v="49"/>
    <x v="0"/>
  </r>
  <r>
    <n v="29231"/>
    <x v="1"/>
    <x v="1"/>
    <n v="80000"/>
    <n v="4"/>
    <x v="1"/>
    <s v="Professional"/>
    <x v="1"/>
    <x v="2"/>
    <x v="0"/>
    <x v="2"/>
    <x v="0"/>
    <n v="43"/>
    <x v="0"/>
  </r>
  <r>
    <n v="18858"/>
    <x v="1"/>
    <x v="1"/>
    <n v="60000"/>
    <n v="2"/>
    <x v="3"/>
    <s v="Skilled Manual"/>
    <x v="0"/>
    <x v="2"/>
    <x v="2"/>
    <x v="2"/>
    <x v="0"/>
    <n v="52"/>
    <x v="1"/>
  </r>
  <r>
    <n v="20000"/>
    <x v="0"/>
    <x v="1"/>
    <n v="60000"/>
    <n v="1"/>
    <x v="4"/>
    <s v="Professional"/>
    <x v="0"/>
    <x v="0"/>
    <x v="0"/>
    <x v="2"/>
    <x v="2"/>
    <n v="35"/>
    <x v="1"/>
  </r>
  <r>
    <n v="25261"/>
    <x v="0"/>
    <x v="1"/>
    <n v="40000"/>
    <n v="0"/>
    <x v="2"/>
    <s v="Skilled Manual"/>
    <x v="0"/>
    <x v="2"/>
    <x v="2"/>
    <x v="2"/>
    <x v="3"/>
    <n v="27"/>
    <x v="0"/>
  </r>
  <r>
    <n v="17458"/>
    <x v="1"/>
    <x v="1"/>
    <n v="70000"/>
    <n v="3"/>
    <x v="2"/>
    <s v="Professional"/>
    <x v="0"/>
    <x v="0"/>
    <x v="2"/>
    <x v="2"/>
    <x v="0"/>
    <n v="52"/>
    <x v="1"/>
  </r>
  <r>
    <n v="11644"/>
    <x v="1"/>
    <x v="1"/>
    <n v="40000"/>
    <n v="2"/>
    <x v="0"/>
    <s v="Skilled Manual"/>
    <x v="0"/>
    <x v="0"/>
    <x v="1"/>
    <x v="2"/>
    <x v="2"/>
    <n v="36"/>
    <x v="0"/>
  </r>
  <r>
    <n v="16145"/>
    <x v="1"/>
    <x v="0"/>
    <n v="70000"/>
    <n v="5"/>
    <x v="4"/>
    <s v="Professional"/>
    <x v="0"/>
    <x v="4"/>
    <x v="4"/>
    <x v="2"/>
    <x v="0"/>
    <n v="46"/>
    <x v="1"/>
  </r>
  <r>
    <n v="16890"/>
    <x v="0"/>
    <x v="1"/>
    <n v="60000"/>
    <n v="3"/>
    <x v="3"/>
    <s v="Skilled Manual"/>
    <x v="0"/>
    <x v="2"/>
    <x v="2"/>
    <x v="2"/>
    <x v="0"/>
    <n v="52"/>
    <x v="1"/>
  </r>
  <r>
    <n v="25983"/>
    <x v="0"/>
    <x v="1"/>
    <n v="70000"/>
    <n v="0"/>
    <x v="0"/>
    <s v="Professional"/>
    <x v="1"/>
    <x v="1"/>
    <x v="0"/>
    <x v="2"/>
    <x v="0"/>
    <n v="43"/>
    <x v="0"/>
  </r>
  <r>
    <n v="14633"/>
    <x v="0"/>
    <x v="1"/>
    <n v="60000"/>
    <n v="1"/>
    <x v="1"/>
    <s v="Skilled Manual"/>
    <x v="0"/>
    <x v="1"/>
    <x v="1"/>
    <x v="2"/>
    <x v="0"/>
    <n v="44"/>
    <x v="0"/>
  </r>
  <r>
    <n v="22994"/>
    <x v="0"/>
    <x v="0"/>
    <n v="80000"/>
    <n v="0"/>
    <x v="0"/>
    <s v="Management"/>
    <x v="0"/>
    <x v="1"/>
    <x v="3"/>
    <x v="2"/>
    <x v="2"/>
    <n v="34"/>
    <x v="1"/>
  </r>
  <r>
    <n v="22983"/>
    <x v="1"/>
    <x v="0"/>
    <n v="30000"/>
    <n v="0"/>
    <x v="3"/>
    <s v="Clerical"/>
    <x v="0"/>
    <x v="2"/>
    <x v="2"/>
    <x v="2"/>
    <x v="3"/>
    <n v="27"/>
    <x v="0"/>
  </r>
  <r>
    <n v="25184"/>
    <x v="1"/>
    <x v="1"/>
    <n v="110000"/>
    <n v="1"/>
    <x v="1"/>
    <s v="Professional"/>
    <x v="0"/>
    <x v="3"/>
    <x v="2"/>
    <x v="2"/>
    <x v="0"/>
    <n v="45"/>
    <x v="1"/>
  </r>
  <r>
    <n v="14469"/>
    <x v="0"/>
    <x v="0"/>
    <n v="100000"/>
    <n v="3"/>
    <x v="1"/>
    <s v="Professional"/>
    <x v="0"/>
    <x v="3"/>
    <x v="3"/>
    <x v="2"/>
    <x v="0"/>
    <n v="45"/>
    <x v="0"/>
  </r>
  <r>
    <n v="11538"/>
    <x v="1"/>
    <x v="0"/>
    <n v="60000"/>
    <n v="4"/>
    <x v="4"/>
    <s v="Skilled Manual"/>
    <x v="1"/>
    <x v="0"/>
    <x v="0"/>
    <x v="2"/>
    <x v="0"/>
    <n v="47"/>
    <x v="1"/>
  </r>
  <r>
    <n v="16245"/>
    <x v="1"/>
    <x v="0"/>
    <n v="80000"/>
    <n v="4"/>
    <x v="4"/>
    <s v="Skilled Manual"/>
    <x v="0"/>
    <x v="0"/>
    <x v="3"/>
    <x v="2"/>
    <x v="0"/>
    <n v="47"/>
    <x v="0"/>
  </r>
  <r>
    <n v="17858"/>
    <x v="0"/>
    <x v="1"/>
    <n v="40000"/>
    <n v="4"/>
    <x v="2"/>
    <s v="Skilled Manual"/>
    <x v="0"/>
    <x v="2"/>
    <x v="1"/>
    <x v="2"/>
    <x v="0"/>
    <n v="44"/>
    <x v="1"/>
  </r>
  <r>
    <n v="25347"/>
    <x v="1"/>
    <x v="0"/>
    <n v="20000"/>
    <n v="3"/>
    <x v="3"/>
    <s v="Clerical"/>
    <x v="1"/>
    <x v="2"/>
    <x v="0"/>
    <x v="2"/>
    <x v="0"/>
    <n v="49"/>
    <x v="0"/>
  </r>
  <r>
    <n v="15814"/>
    <x v="1"/>
    <x v="0"/>
    <n v="40000"/>
    <n v="0"/>
    <x v="2"/>
    <s v="Skilled Manual"/>
    <x v="0"/>
    <x v="1"/>
    <x v="2"/>
    <x v="2"/>
    <x v="2"/>
    <n v="30"/>
    <x v="0"/>
  </r>
  <r>
    <n v="11259"/>
    <x v="0"/>
    <x v="0"/>
    <n v="100000"/>
    <n v="4"/>
    <x v="1"/>
    <s v="Professional"/>
    <x v="0"/>
    <x v="3"/>
    <x v="1"/>
    <x v="2"/>
    <x v="0"/>
    <n v="41"/>
    <x v="1"/>
  </r>
  <r>
    <n v="11200"/>
    <x v="0"/>
    <x v="1"/>
    <n v="70000"/>
    <n v="4"/>
    <x v="0"/>
    <s v="Management"/>
    <x v="0"/>
    <x v="1"/>
    <x v="3"/>
    <x v="2"/>
    <x v="1"/>
    <n v="58"/>
    <x v="0"/>
  </r>
  <r>
    <n v="25101"/>
    <x v="0"/>
    <x v="1"/>
    <n v="60000"/>
    <n v="5"/>
    <x v="0"/>
    <s v="Professional"/>
    <x v="0"/>
    <x v="1"/>
    <x v="1"/>
    <x v="2"/>
    <x v="0"/>
    <n v="47"/>
    <x v="0"/>
  </r>
  <r>
    <n v="21801"/>
    <x v="0"/>
    <x v="0"/>
    <n v="70000"/>
    <n v="4"/>
    <x v="1"/>
    <s v="Professional"/>
    <x v="0"/>
    <x v="1"/>
    <x v="3"/>
    <x v="2"/>
    <x v="1"/>
    <n v="55"/>
    <x v="0"/>
  </r>
  <r>
    <n v="25943"/>
    <x v="1"/>
    <x v="0"/>
    <n v="70000"/>
    <n v="0"/>
    <x v="1"/>
    <s v="Skilled Manual"/>
    <x v="1"/>
    <x v="2"/>
    <x v="0"/>
    <x v="2"/>
    <x v="3"/>
    <n v="27"/>
    <x v="1"/>
  </r>
  <r>
    <n v="22127"/>
    <x v="0"/>
    <x v="1"/>
    <n v="60000"/>
    <n v="3"/>
    <x v="4"/>
    <s v="Management"/>
    <x v="0"/>
    <x v="2"/>
    <x v="3"/>
    <x v="2"/>
    <x v="1"/>
    <n v="67"/>
    <x v="0"/>
  </r>
  <r>
    <n v="20414"/>
    <x v="0"/>
    <x v="0"/>
    <n v="60000"/>
    <n v="0"/>
    <x v="1"/>
    <s v="Skilled Manual"/>
    <x v="0"/>
    <x v="2"/>
    <x v="2"/>
    <x v="2"/>
    <x v="3"/>
    <n v="29"/>
    <x v="0"/>
  </r>
  <r>
    <n v="23672"/>
    <x v="0"/>
    <x v="0"/>
    <n v="60000"/>
    <n v="3"/>
    <x v="4"/>
    <s v="Management"/>
    <x v="0"/>
    <x v="2"/>
    <x v="3"/>
    <x v="2"/>
    <x v="1"/>
    <n v="67"/>
    <x v="0"/>
  </r>
  <r>
    <n v="29255"/>
    <x v="1"/>
    <x v="1"/>
    <n v="80000"/>
    <n v="3"/>
    <x v="1"/>
    <s v="Professional"/>
    <x v="1"/>
    <x v="1"/>
    <x v="3"/>
    <x v="2"/>
    <x v="0"/>
    <n v="51"/>
    <x v="1"/>
  </r>
  <r>
    <n v="28815"/>
    <x v="0"/>
    <x v="0"/>
    <n v="50000"/>
    <n v="1"/>
    <x v="4"/>
    <s v="Skilled Manual"/>
    <x v="0"/>
    <x v="0"/>
    <x v="0"/>
    <x v="2"/>
    <x v="2"/>
    <n v="35"/>
    <x v="0"/>
  </r>
  <r>
    <n v="27753"/>
    <x v="0"/>
    <x v="1"/>
    <n v="40000"/>
    <n v="0"/>
    <x v="2"/>
    <s v="Skilled Manual"/>
    <x v="1"/>
    <x v="2"/>
    <x v="3"/>
    <x v="2"/>
    <x v="2"/>
    <n v="30"/>
    <x v="0"/>
  </r>
  <r>
    <n v="27643"/>
    <x v="1"/>
    <x v="1"/>
    <n v="70000"/>
    <n v="5"/>
    <x v="1"/>
    <s v="Professional"/>
    <x v="0"/>
    <x v="4"/>
    <x v="1"/>
    <x v="2"/>
    <x v="0"/>
    <n v="44"/>
    <x v="0"/>
  </r>
  <r>
    <n v="13754"/>
    <x v="1"/>
    <x v="0"/>
    <n v="80000"/>
    <n v="4"/>
    <x v="4"/>
    <s v="Skilled Manual"/>
    <x v="0"/>
    <x v="0"/>
    <x v="3"/>
    <x v="2"/>
    <x v="0"/>
    <n v="48"/>
    <x v="0"/>
  </r>
  <r>
    <n v="22088"/>
    <x v="0"/>
    <x v="0"/>
    <n v="130000"/>
    <n v="1"/>
    <x v="0"/>
    <s v="Management"/>
    <x v="0"/>
    <x v="2"/>
    <x v="0"/>
    <x v="2"/>
    <x v="0"/>
    <n v="45"/>
    <x v="1"/>
  </r>
  <r>
    <n v="27388"/>
    <x v="0"/>
    <x v="1"/>
    <n v="60000"/>
    <n v="3"/>
    <x v="0"/>
    <s v="Management"/>
    <x v="1"/>
    <x v="2"/>
    <x v="3"/>
    <x v="2"/>
    <x v="1"/>
    <n v="66"/>
    <x v="0"/>
  </r>
  <r>
    <n v="24745"/>
    <x v="1"/>
    <x v="0"/>
    <n v="30000"/>
    <n v="2"/>
    <x v="2"/>
    <s v="Skilled Manual"/>
    <x v="1"/>
    <x v="2"/>
    <x v="0"/>
    <x v="2"/>
    <x v="0"/>
    <n v="49"/>
    <x v="0"/>
  </r>
  <r>
    <n v="29237"/>
    <x v="1"/>
    <x v="0"/>
    <n v="120000"/>
    <n v="4"/>
    <x v="1"/>
    <s v="Professional"/>
    <x v="0"/>
    <x v="4"/>
    <x v="2"/>
    <x v="2"/>
    <x v="0"/>
    <n v="43"/>
    <x v="1"/>
  </r>
  <r>
    <n v="15272"/>
    <x v="1"/>
    <x v="1"/>
    <n v="40000"/>
    <n v="0"/>
    <x v="2"/>
    <s v="Skilled Manual"/>
    <x v="1"/>
    <x v="2"/>
    <x v="3"/>
    <x v="2"/>
    <x v="2"/>
    <n v="30"/>
    <x v="0"/>
  </r>
  <r>
    <n v="18949"/>
    <x v="1"/>
    <x v="1"/>
    <n v="70000"/>
    <n v="0"/>
    <x v="4"/>
    <s v="Management"/>
    <x v="0"/>
    <x v="2"/>
    <x v="2"/>
    <x v="2"/>
    <x v="4"/>
    <n v="74"/>
    <x v="1"/>
  </r>
  <r>
    <n v="14507"/>
    <x v="0"/>
    <x v="1"/>
    <n v="100000"/>
    <n v="2"/>
    <x v="4"/>
    <s v="Management"/>
    <x v="0"/>
    <x v="4"/>
    <x v="3"/>
    <x v="2"/>
    <x v="1"/>
    <n v="65"/>
    <x v="0"/>
  </r>
  <r>
    <n v="25886"/>
    <x v="0"/>
    <x v="0"/>
    <n v="60000"/>
    <n v="2"/>
    <x v="1"/>
    <s v="Professional"/>
    <x v="0"/>
    <x v="2"/>
    <x v="1"/>
    <x v="2"/>
    <x v="1"/>
    <n v="56"/>
    <x v="1"/>
  </r>
  <r>
    <n v="21441"/>
    <x v="0"/>
    <x v="1"/>
    <n v="50000"/>
    <n v="4"/>
    <x v="0"/>
    <s v="Management"/>
    <x v="0"/>
    <x v="2"/>
    <x v="4"/>
    <x v="2"/>
    <x v="1"/>
    <n v="64"/>
    <x v="0"/>
  </r>
  <r>
    <n v="21741"/>
    <x v="0"/>
    <x v="0"/>
    <n v="70000"/>
    <n v="3"/>
    <x v="1"/>
    <s v="Professional"/>
    <x v="0"/>
    <x v="2"/>
    <x v="2"/>
    <x v="2"/>
    <x v="0"/>
    <n v="50"/>
    <x v="1"/>
  </r>
  <r>
    <n v="14572"/>
    <x v="0"/>
    <x v="0"/>
    <n v="70000"/>
    <n v="3"/>
    <x v="4"/>
    <s v="Professional"/>
    <x v="0"/>
    <x v="0"/>
    <x v="1"/>
    <x v="2"/>
    <x v="2"/>
    <n v="35"/>
    <x v="1"/>
  </r>
  <r>
    <n v="23368"/>
    <x v="0"/>
    <x v="0"/>
    <n v="60000"/>
    <n v="5"/>
    <x v="0"/>
    <s v="Skilled Manual"/>
    <x v="0"/>
    <x v="4"/>
    <x v="4"/>
    <x v="2"/>
    <x v="0"/>
    <n v="41"/>
    <x v="0"/>
  </r>
  <r>
    <n v="16217"/>
    <x v="1"/>
    <x v="0"/>
    <n v="60000"/>
    <n v="0"/>
    <x v="4"/>
    <s v="Skilled Manual"/>
    <x v="0"/>
    <x v="0"/>
    <x v="0"/>
    <x v="2"/>
    <x v="2"/>
    <n v="39"/>
    <x v="0"/>
  </r>
  <r>
    <n v="16247"/>
    <x v="1"/>
    <x v="0"/>
    <n v="60000"/>
    <n v="4"/>
    <x v="4"/>
    <s v="Skilled Manual"/>
    <x v="1"/>
    <x v="0"/>
    <x v="3"/>
    <x v="2"/>
    <x v="0"/>
    <n v="47"/>
    <x v="0"/>
  </r>
  <r>
    <n v="22010"/>
    <x v="1"/>
    <x v="1"/>
    <n v="40000"/>
    <n v="0"/>
    <x v="2"/>
    <s v="Skilled Manual"/>
    <x v="0"/>
    <x v="2"/>
    <x v="2"/>
    <x v="2"/>
    <x v="2"/>
    <n v="31"/>
    <x v="0"/>
  </r>
  <r>
    <n v="25872"/>
    <x v="1"/>
    <x v="0"/>
    <n v="70000"/>
    <n v="2"/>
    <x v="0"/>
    <s v="Management"/>
    <x v="1"/>
    <x v="1"/>
    <x v="1"/>
    <x v="2"/>
    <x v="1"/>
    <n v="58"/>
    <x v="1"/>
  </r>
  <r>
    <n v="19164"/>
    <x v="1"/>
    <x v="0"/>
    <n v="70000"/>
    <n v="0"/>
    <x v="0"/>
    <s v="Professional"/>
    <x v="1"/>
    <x v="1"/>
    <x v="1"/>
    <x v="2"/>
    <x v="2"/>
    <n v="38"/>
    <x v="1"/>
  </r>
  <r>
    <n v="18435"/>
    <x v="1"/>
    <x v="0"/>
    <n v="70000"/>
    <n v="5"/>
    <x v="4"/>
    <s v="Management"/>
    <x v="0"/>
    <x v="2"/>
    <x v="4"/>
    <x v="2"/>
    <x v="1"/>
    <n v="67"/>
    <x v="1"/>
  </r>
  <r>
    <n v="14284"/>
    <x v="1"/>
    <x v="1"/>
    <n v="60000"/>
    <n v="0"/>
    <x v="1"/>
    <s v="Professional"/>
    <x v="1"/>
    <x v="2"/>
    <x v="3"/>
    <x v="2"/>
    <x v="2"/>
    <n v="32"/>
    <x v="1"/>
  </r>
  <r>
    <n v="11287"/>
    <x v="0"/>
    <x v="1"/>
    <n v="70000"/>
    <n v="5"/>
    <x v="1"/>
    <s v="Professional"/>
    <x v="1"/>
    <x v="4"/>
    <x v="2"/>
    <x v="2"/>
    <x v="0"/>
    <n v="45"/>
    <x v="0"/>
  </r>
  <r>
    <n v="13066"/>
    <x v="1"/>
    <x v="1"/>
    <n v="30000"/>
    <n v="0"/>
    <x v="2"/>
    <s v="Skilled Manual"/>
    <x v="1"/>
    <x v="2"/>
    <x v="3"/>
    <x v="2"/>
    <x v="2"/>
    <n v="31"/>
    <x v="1"/>
  </r>
  <r>
    <n v="29106"/>
    <x v="1"/>
    <x v="1"/>
    <n v="40000"/>
    <n v="0"/>
    <x v="2"/>
    <s v="Skilled Manual"/>
    <x v="1"/>
    <x v="2"/>
    <x v="3"/>
    <x v="2"/>
    <x v="2"/>
    <n v="31"/>
    <x v="1"/>
  </r>
  <r>
    <n v="26236"/>
    <x v="0"/>
    <x v="0"/>
    <n v="40000"/>
    <n v="3"/>
    <x v="1"/>
    <s v="Clerical"/>
    <x v="0"/>
    <x v="1"/>
    <x v="0"/>
    <x v="2"/>
    <x v="2"/>
    <n v="31"/>
    <x v="0"/>
  </r>
  <r>
    <n v="17531"/>
    <x v="0"/>
    <x v="1"/>
    <n v="60000"/>
    <n v="2"/>
    <x v="2"/>
    <s v="Professional"/>
    <x v="1"/>
    <x v="2"/>
    <x v="2"/>
    <x v="2"/>
    <x v="0"/>
    <n v="50"/>
    <x v="0"/>
  </r>
  <r>
    <n v="12964"/>
    <x v="0"/>
    <x v="1"/>
    <n v="70000"/>
    <n v="1"/>
    <x v="1"/>
    <s v="Skilled Manual"/>
    <x v="0"/>
    <x v="1"/>
    <x v="0"/>
    <x v="2"/>
    <x v="0"/>
    <n v="44"/>
    <x v="0"/>
  </r>
  <r>
    <n v="19133"/>
    <x v="1"/>
    <x v="1"/>
    <n v="50000"/>
    <n v="2"/>
    <x v="0"/>
    <s v="Skilled Manual"/>
    <x v="0"/>
    <x v="1"/>
    <x v="1"/>
    <x v="2"/>
    <x v="2"/>
    <n v="38"/>
    <x v="1"/>
  </r>
  <r>
    <n v="24643"/>
    <x v="1"/>
    <x v="0"/>
    <n v="60000"/>
    <n v="4"/>
    <x v="0"/>
    <s v="Management"/>
    <x v="0"/>
    <x v="2"/>
    <x v="4"/>
    <x v="2"/>
    <x v="1"/>
    <n v="63"/>
    <x v="0"/>
  </r>
  <r>
    <n v="21599"/>
    <x v="0"/>
    <x v="0"/>
    <n v="60000"/>
    <n v="1"/>
    <x v="4"/>
    <s v="Professional"/>
    <x v="0"/>
    <x v="0"/>
    <x v="1"/>
    <x v="2"/>
    <x v="2"/>
    <n v="36"/>
    <x v="1"/>
  </r>
  <r>
    <n v="22976"/>
    <x v="1"/>
    <x v="1"/>
    <n v="40000"/>
    <n v="0"/>
    <x v="2"/>
    <s v="Skilled Manual"/>
    <x v="1"/>
    <x v="2"/>
    <x v="0"/>
    <x v="2"/>
    <x v="3"/>
    <n v="28"/>
    <x v="1"/>
  </r>
  <r>
    <n v="27637"/>
    <x v="1"/>
    <x v="0"/>
    <n v="100000"/>
    <n v="1"/>
    <x v="1"/>
    <s v="Professional"/>
    <x v="1"/>
    <x v="4"/>
    <x v="3"/>
    <x v="2"/>
    <x v="0"/>
    <n v="44"/>
    <x v="0"/>
  </r>
  <r>
    <n v="11890"/>
    <x v="0"/>
    <x v="0"/>
    <n v="70000"/>
    <n v="5"/>
    <x v="4"/>
    <s v="Professional"/>
    <x v="0"/>
    <x v="1"/>
    <x v="0"/>
    <x v="2"/>
    <x v="0"/>
    <n v="47"/>
    <x v="0"/>
  </r>
  <r>
    <n v="28580"/>
    <x v="0"/>
    <x v="0"/>
    <n v="80000"/>
    <n v="0"/>
    <x v="4"/>
    <s v="Skilled Manual"/>
    <x v="0"/>
    <x v="0"/>
    <x v="3"/>
    <x v="2"/>
    <x v="0"/>
    <n v="40"/>
    <x v="1"/>
  </r>
  <r>
    <n v="14443"/>
    <x v="0"/>
    <x v="1"/>
    <n v="130000"/>
    <n v="1"/>
    <x v="4"/>
    <s v="Management"/>
    <x v="0"/>
    <x v="3"/>
    <x v="0"/>
    <x v="2"/>
    <x v="0"/>
    <n v="40"/>
    <x v="0"/>
  </r>
  <r>
    <n v="17864"/>
    <x v="0"/>
    <x v="0"/>
    <n v="60000"/>
    <n v="1"/>
    <x v="1"/>
    <s v="Skilled Manual"/>
    <x v="0"/>
    <x v="1"/>
    <x v="1"/>
    <x v="2"/>
    <x v="0"/>
    <n v="46"/>
    <x v="1"/>
  </r>
  <r>
    <n v="20505"/>
    <x v="0"/>
    <x v="0"/>
    <n v="40000"/>
    <n v="5"/>
    <x v="2"/>
    <s v="Professional"/>
    <x v="1"/>
    <x v="2"/>
    <x v="4"/>
    <x v="2"/>
    <x v="1"/>
    <n v="61"/>
    <x v="0"/>
  </r>
  <r>
    <n v="14592"/>
    <x v="0"/>
    <x v="0"/>
    <n v="60000"/>
    <n v="0"/>
    <x v="4"/>
    <s v="Professional"/>
    <x v="0"/>
    <x v="0"/>
    <x v="0"/>
    <x v="2"/>
    <x v="0"/>
    <n v="40"/>
    <x v="0"/>
  </r>
  <r>
    <n v="22227"/>
    <x v="0"/>
    <x v="0"/>
    <n v="60000"/>
    <n v="2"/>
    <x v="2"/>
    <s v="Professional"/>
    <x v="0"/>
    <x v="2"/>
    <x v="2"/>
    <x v="2"/>
    <x v="0"/>
    <n v="50"/>
    <x v="0"/>
  </r>
  <r>
    <n v="21471"/>
    <x v="0"/>
    <x v="1"/>
    <n v="70000"/>
    <n v="2"/>
    <x v="1"/>
    <s v="Professional"/>
    <x v="0"/>
    <x v="1"/>
    <x v="4"/>
    <x v="2"/>
    <x v="1"/>
    <n v="59"/>
    <x v="0"/>
  </r>
  <r>
    <n v="22252"/>
    <x v="1"/>
    <x v="0"/>
    <n v="60000"/>
    <n v="1"/>
    <x v="4"/>
    <s v="Professional"/>
    <x v="0"/>
    <x v="0"/>
    <x v="1"/>
    <x v="2"/>
    <x v="2"/>
    <n v="36"/>
    <x v="1"/>
  </r>
  <r>
    <n v="21260"/>
    <x v="1"/>
    <x v="0"/>
    <n v="40000"/>
    <n v="0"/>
    <x v="2"/>
    <s v="Skilled Manual"/>
    <x v="0"/>
    <x v="2"/>
    <x v="2"/>
    <x v="2"/>
    <x v="2"/>
    <n v="30"/>
    <x v="0"/>
  </r>
  <r>
    <n v="11817"/>
    <x v="1"/>
    <x v="0"/>
    <n v="70000"/>
    <n v="4"/>
    <x v="4"/>
    <s v="Professional"/>
    <x v="0"/>
    <x v="0"/>
    <x v="1"/>
    <x v="2"/>
    <x v="2"/>
    <n v="35"/>
    <x v="1"/>
  </r>
  <r>
    <n v="19223"/>
    <x v="0"/>
    <x v="0"/>
    <n v="30000"/>
    <n v="2"/>
    <x v="2"/>
    <s v="Skilled Manual"/>
    <x v="0"/>
    <x v="2"/>
    <x v="3"/>
    <x v="2"/>
    <x v="0"/>
    <n v="48"/>
    <x v="0"/>
  </r>
  <r>
    <n v="18517"/>
    <x v="0"/>
    <x v="1"/>
    <n v="100000"/>
    <n v="3"/>
    <x v="0"/>
    <s v="Management"/>
    <x v="0"/>
    <x v="3"/>
    <x v="0"/>
    <x v="2"/>
    <x v="0"/>
    <n v="41"/>
    <x v="0"/>
  </r>
  <r>
    <n v="21717"/>
    <x v="0"/>
    <x v="1"/>
    <n v="40000"/>
    <n v="2"/>
    <x v="1"/>
    <s v="Clerical"/>
    <x v="0"/>
    <x v="1"/>
    <x v="0"/>
    <x v="2"/>
    <x v="0"/>
    <n v="47"/>
    <x v="0"/>
  </r>
  <r>
    <n v="13760"/>
    <x v="0"/>
    <x v="1"/>
    <n v="60000"/>
    <n v="4"/>
    <x v="4"/>
    <s v="Skilled Manual"/>
    <x v="1"/>
    <x v="0"/>
    <x v="0"/>
    <x v="2"/>
    <x v="0"/>
    <n v="47"/>
    <x v="0"/>
  </r>
  <r>
    <n v="18145"/>
    <x v="0"/>
    <x v="1"/>
    <n v="80000"/>
    <n v="5"/>
    <x v="0"/>
    <s v="Management"/>
    <x v="1"/>
    <x v="2"/>
    <x v="1"/>
    <x v="0"/>
    <x v="1"/>
    <n v="62"/>
    <x v="0"/>
  </r>
  <r>
    <n v="21770"/>
    <x v="0"/>
    <x v="1"/>
    <n v="60000"/>
    <n v="4"/>
    <x v="0"/>
    <s v="Management"/>
    <x v="0"/>
    <x v="2"/>
    <x v="4"/>
    <x v="2"/>
    <x v="1"/>
    <n v="60"/>
    <x v="0"/>
  </r>
  <r>
    <n v="11165"/>
    <x v="0"/>
    <x v="0"/>
    <n v="60000"/>
    <n v="0"/>
    <x v="1"/>
    <s v="Skilled Manual"/>
    <x v="1"/>
    <x v="1"/>
    <x v="3"/>
    <x v="2"/>
    <x v="2"/>
    <n v="33"/>
    <x v="0"/>
  </r>
  <r>
    <n v="16377"/>
    <x v="1"/>
    <x v="0"/>
    <n v="80000"/>
    <n v="4"/>
    <x v="4"/>
    <s v="Skilled Manual"/>
    <x v="1"/>
    <x v="0"/>
    <x v="0"/>
    <x v="2"/>
    <x v="0"/>
    <n v="47"/>
    <x v="0"/>
  </r>
  <r>
    <n v="26248"/>
    <x v="0"/>
    <x v="1"/>
    <n v="20000"/>
    <n v="3"/>
    <x v="3"/>
    <s v="Clerical"/>
    <x v="1"/>
    <x v="2"/>
    <x v="0"/>
    <x v="2"/>
    <x v="0"/>
    <n v="52"/>
    <x v="0"/>
  </r>
  <r>
    <n v="23461"/>
    <x v="0"/>
    <x v="0"/>
    <n v="90000"/>
    <n v="5"/>
    <x v="1"/>
    <s v="Professional"/>
    <x v="0"/>
    <x v="4"/>
    <x v="1"/>
    <x v="2"/>
    <x v="0"/>
    <n v="40"/>
    <x v="0"/>
  </r>
  <r>
    <n v="29133"/>
    <x v="1"/>
    <x v="0"/>
    <n v="60000"/>
    <n v="4"/>
    <x v="0"/>
    <s v="Skilled Manual"/>
    <x v="1"/>
    <x v="2"/>
    <x v="0"/>
    <x v="2"/>
    <x v="0"/>
    <n v="42"/>
    <x v="0"/>
  </r>
  <r>
    <n v="27673"/>
    <x v="1"/>
    <x v="0"/>
    <n v="60000"/>
    <n v="3"/>
    <x v="4"/>
    <s v="Management"/>
    <x v="0"/>
    <x v="2"/>
    <x v="2"/>
    <x v="2"/>
    <x v="0"/>
    <n v="53"/>
    <x v="1"/>
  </r>
  <r>
    <n v="12774"/>
    <x v="0"/>
    <x v="0"/>
    <n v="40000"/>
    <n v="1"/>
    <x v="1"/>
    <s v="Clerical"/>
    <x v="0"/>
    <x v="1"/>
    <x v="3"/>
    <x v="2"/>
    <x v="0"/>
    <n v="51"/>
    <x v="1"/>
  </r>
  <r>
    <n v="18910"/>
    <x v="1"/>
    <x v="1"/>
    <n v="30000"/>
    <n v="0"/>
    <x v="1"/>
    <s v="Skilled Manual"/>
    <x v="0"/>
    <x v="2"/>
    <x v="2"/>
    <x v="2"/>
    <x v="2"/>
    <n v="30"/>
    <x v="0"/>
  </r>
  <r>
    <n v="11699"/>
    <x v="1"/>
    <x v="1"/>
    <n v="60000"/>
    <n v="0"/>
    <x v="0"/>
    <s v="Skilled Manual"/>
    <x v="1"/>
    <x v="2"/>
    <x v="0"/>
    <x v="2"/>
    <x v="2"/>
    <n v="30"/>
    <x v="0"/>
  </r>
  <r>
    <n v="16725"/>
    <x v="0"/>
    <x v="1"/>
    <n v="30000"/>
    <n v="0"/>
    <x v="2"/>
    <s v="Skilled Manual"/>
    <x v="0"/>
    <x v="2"/>
    <x v="2"/>
    <x v="2"/>
    <x v="3"/>
    <n v="26"/>
    <x v="0"/>
  </r>
  <r>
    <n v="28269"/>
    <x v="1"/>
    <x v="0"/>
    <n v="130000"/>
    <n v="1"/>
    <x v="0"/>
    <s v="Management"/>
    <x v="1"/>
    <x v="1"/>
    <x v="1"/>
    <x v="2"/>
    <x v="0"/>
    <n v="45"/>
    <x v="0"/>
  </r>
  <r>
    <n v="23144"/>
    <x v="0"/>
    <x v="1"/>
    <n v="50000"/>
    <n v="1"/>
    <x v="0"/>
    <s v="Skilled Manual"/>
    <x v="0"/>
    <x v="0"/>
    <x v="0"/>
    <x v="2"/>
    <x v="2"/>
    <n v="34"/>
    <x v="1"/>
  </r>
  <r>
    <n v="23376"/>
    <x v="0"/>
    <x v="1"/>
    <n v="70000"/>
    <n v="1"/>
    <x v="0"/>
    <s v="Professional"/>
    <x v="0"/>
    <x v="1"/>
    <x v="1"/>
    <x v="2"/>
    <x v="0"/>
    <n v="44"/>
    <x v="1"/>
  </r>
  <r>
    <n v="25970"/>
    <x v="1"/>
    <x v="0"/>
    <n v="60000"/>
    <n v="4"/>
    <x v="0"/>
    <s v="Skilled Manual"/>
    <x v="1"/>
    <x v="2"/>
    <x v="0"/>
    <x v="2"/>
    <x v="0"/>
    <n v="41"/>
    <x v="1"/>
  </r>
  <r>
    <n v="28068"/>
    <x v="1"/>
    <x v="0"/>
    <n v="80000"/>
    <n v="3"/>
    <x v="4"/>
    <s v="Professional"/>
    <x v="1"/>
    <x v="0"/>
    <x v="0"/>
    <x v="2"/>
    <x v="2"/>
    <n v="36"/>
    <x v="1"/>
  </r>
  <r>
    <n v="18390"/>
    <x v="0"/>
    <x v="1"/>
    <n v="80000"/>
    <n v="5"/>
    <x v="1"/>
    <s v="Professional"/>
    <x v="0"/>
    <x v="2"/>
    <x v="0"/>
    <x v="2"/>
    <x v="0"/>
    <n v="44"/>
    <x v="0"/>
  </r>
  <r>
    <n v="29112"/>
    <x v="1"/>
    <x v="1"/>
    <n v="60000"/>
    <n v="0"/>
    <x v="1"/>
    <s v="Professional"/>
    <x v="1"/>
    <x v="2"/>
    <x v="3"/>
    <x v="2"/>
    <x v="2"/>
    <n v="30"/>
    <x v="0"/>
  </r>
  <r>
    <n v="14090"/>
    <x v="0"/>
    <x v="0"/>
    <n v="30000"/>
    <n v="0"/>
    <x v="3"/>
    <s v="Clerical"/>
    <x v="1"/>
    <x v="2"/>
    <x v="0"/>
    <x v="2"/>
    <x v="3"/>
    <n v="28"/>
    <x v="0"/>
  </r>
  <r>
    <n v="27040"/>
    <x v="0"/>
    <x v="1"/>
    <n v="20000"/>
    <n v="2"/>
    <x v="3"/>
    <s v="Clerical"/>
    <x v="0"/>
    <x v="2"/>
    <x v="3"/>
    <x v="2"/>
    <x v="0"/>
    <n v="49"/>
    <x v="0"/>
  </r>
  <r>
    <n v="23479"/>
    <x v="1"/>
    <x v="1"/>
    <n v="90000"/>
    <n v="0"/>
    <x v="1"/>
    <s v="Professional"/>
    <x v="1"/>
    <x v="2"/>
    <x v="0"/>
    <x v="2"/>
    <x v="0"/>
    <n v="43"/>
    <x v="1"/>
  </r>
  <r>
    <n v="16795"/>
    <x v="0"/>
    <x v="0"/>
    <n v="70000"/>
    <n v="4"/>
    <x v="0"/>
    <s v="Management"/>
    <x v="0"/>
    <x v="1"/>
    <x v="3"/>
    <x v="2"/>
    <x v="1"/>
    <n v="59"/>
    <x v="0"/>
  </r>
  <r>
    <n v="22014"/>
    <x v="1"/>
    <x v="1"/>
    <n v="30000"/>
    <n v="0"/>
    <x v="2"/>
    <s v="Skilled Manual"/>
    <x v="0"/>
    <x v="2"/>
    <x v="2"/>
    <x v="2"/>
    <x v="3"/>
    <n v="26"/>
    <x v="0"/>
  </r>
  <r>
    <n v="13314"/>
    <x v="0"/>
    <x v="1"/>
    <n v="120000"/>
    <n v="1"/>
    <x v="2"/>
    <s v="Professional"/>
    <x v="0"/>
    <x v="3"/>
    <x v="2"/>
    <x v="2"/>
    <x v="0"/>
    <n v="46"/>
    <x v="1"/>
  </r>
  <r>
    <n v="11619"/>
    <x v="1"/>
    <x v="0"/>
    <n v="50000"/>
    <n v="0"/>
    <x v="4"/>
    <s v="Skilled Manual"/>
    <x v="0"/>
    <x v="0"/>
    <x v="3"/>
    <x v="2"/>
    <x v="2"/>
    <n v="33"/>
    <x v="0"/>
  </r>
  <r>
    <n v="29132"/>
    <x v="1"/>
    <x v="0"/>
    <n v="40000"/>
    <n v="0"/>
    <x v="0"/>
    <s v="Professional"/>
    <x v="0"/>
    <x v="1"/>
    <x v="1"/>
    <x v="2"/>
    <x v="0"/>
    <n v="42"/>
    <x v="1"/>
  </r>
  <r>
    <n v="11199"/>
    <x v="0"/>
    <x v="0"/>
    <n v="70000"/>
    <n v="4"/>
    <x v="0"/>
    <s v="Management"/>
    <x v="0"/>
    <x v="1"/>
    <x v="4"/>
    <x v="2"/>
    <x v="1"/>
    <n v="59"/>
    <x v="0"/>
  </r>
  <r>
    <n v="20296"/>
    <x v="1"/>
    <x v="0"/>
    <n v="60000"/>
    <n v="0"/>
    <x v="1"/>
    <s v="Skilled Manual"/>
    <x v="1"/>
    <x v="1"/>
    <x v="3"/>
    <x v="2"/>
    <x v="2"/>
    <n v="33"/>
    <x v="1"/>
  </r>
  <r>
    <n v="17546"/>
    <x v="0"/>
    <x v="0"/>
    <n v="70000"/>
    <n v="1"/>
    <x v="1"/>
    <s v="Skilled Manual"/>
    <x v="0"/>
    <x v="1"/>
    <x v="0"/>
    <x v="2"/>
    <x v="0"/>
    <n v="44"/>
    <x v="1"/>
  </r>
  <r>
    <n v="18069"/>
    <x v="0"/>
    <x v="1"/>
    <n v="70000"/>
    <n v="5"/>
    <x v="0"/>
    <s v="Management"/>
    <x v="0"/>
    <x v="3"/>
    <x v="4"/>
    <x v="2"/>
    <x v="1"/>
    <n v="60"/>
    <x v="0"/>
  </r>
  <r>
    <n v="23712"/>
    <x v="1"/>
    <x v="0"/>
    <n v="70000"/>
    <n v="2"/>
    <x v="0"/>
    <s v="Management"/>
    <x v="0"/>
    <x v="1"/>
    <x v="4"/>
    <x v="2"/>
    <x v="1"/>
    <n v="59"/>
    <x v="0"/>
  </r>
  <r>
    <n v="23358"/>
    <x v="0"/>
    <x v="1"/>
    <n v="60000"/>
    <n v="0"/>
    <x v="2"/>
    <s v="Professional"/>
    <x v="0"/>
    <x v="2"/>
    <x v="2"/>
    <x v="2"/>
    <x v="2"/>
    <n v="32"/>
    <x v="1"/>
  </r>
  <r>
    <n v="20518"/>
    <x v="0"/>
    <x v="0"/>
    <n v="70000"/>
    <n v="2"/>
    <x v="1"/>
    <s v="Professional"/>
    <x v="0"/>
    <x v="1"/>
    <x v="4"/>
    <x v="2"/>
    <x v="1"/>
    <n v="58"/>
    <x v="0"/>
  </r>
  <r>
    <n v="28026"/>
    <x v="0"/>
    <x v="0"/>
    <n v="40000"/>
    <n v="2"/>
    <x v="2"/>
    <s v="Professional"/>
    <x v="1"/>
    <x v="2"/>
    <x v="1"/>
    <x v="2"/>
    <x v="1"/>
    <n v="59"/>
    <x v="0"/>
  </r>
  <r>
    <n v="11669"/>
    <x v="1"/>
    <x v="0"/>
    <n v="70000"/>
    <n v="2"/>
    <x v="0"/>
    <s v="Skilled Manual"/>
    <x v="0"/>
    <x v="1"/>
    <x v="1"/>
    <x v="2"/>
    <x v="2"/>
    <n v="38"/>
    <x v="0"/>
  </r>
  <r>
    <n v="16020"/>
    <x v="0"/>
    <x v="1"/>
    <n v="40000"/>
    <n v="0"/>
    <x v="2"/>
    <s v="Skilled Manual"/>
    <x v="0"/>
    <x v="2"/>
    <x v="2"/>
    <x v="2"/>
    <x v="3"/>
    <n v="28"/>
    <x v="1"/>
  </r>
  <r>
    <n v="27090"/>
    <x v="0"/>
    <x v="0"/>
    <n v="60000"/>
    <n v="1"/>
    <x v="4"/>
    <s v="Professional"/>
    <x v="0"/>
    <x v="0"/>
    <x v="1"/>
    <x v="2"/>
    <x v="2"/>
    <n v="37"/>
    <x v="1"/>
  </r>
  <r>
    <n v="27198"/>
    <x v="1"/>
    <x v="0"/>
    <n v="80000"/>
    <n v="0"/>
    <x v="4"/>
    <s v="Skilled Manual"/>
    <x v="1"/>
    <x v="0"/>
    <x v="0"/>
    <x v="2"/>
    <x v="0"/>
    <n v="40"/>
    <x v="0"/>
  </r>
  <r>
    <n v="19661"/>
    <x v="1"/>
    <x v="1"/>
    <n v="90000"/>
    <n v="4"/>
    <x v="0"/>
    <s v="Management"/>
    <x v="0"/>
    <x v="1"/>
    <x v="3"/>
    <x v="2"/>
    <x v="2"/>
    <n v="38"/>
    <x v="1"/>
  </r>
  <r>
    <n v="26327"/>
    <x v="0"/>
    <x v="1"/>
    <n v="70000"/>
    <n v="4"/>
    <x v="4"/>
    <s v="Professional"/>
    <x v="0"/>
    <x v="0"/>
    <x v="1"/>
    <x v="2"/>
    <x v="2"/>
    <n v="36"/>
    <x v="1"/>
  </r>
  <r>
    <n v="26341"/>
    <x v="0"/>
    <x v="0"/>
    <n v="70000"/>
    <n v="5"/>
    <x v="4"/>
    <s v="Professional"/>
    <x v="0"/>
    <x v="2"/>
    <x v="0"/>
    <x v="2"/>
    <x v="2"/>
    <n v="37"/>
    <x v="0"/>
  </r>
  <r>
    <n v="24958"/>
    <x v="1"/>
    <x v="0"/>
    <n v="40000"/>
    <n v="5"/>
    <x v="2"/>
    <s v="Professional"/>
    <x v="1"/>
    <x v="4"/>
    <x v="1"/>
    <x v="2"/>
    <x v="1"/>
    <n v="60"/>
    <x v="1"/>
  </r>
  <r>
    <n v="13287"/>
    <x v="1"/>
    <x v="1"/>
    <n v="110000"/>
    <n v="4"/>
    <x v="0"/>
    <s v="Management"/>
    <x v="0"/>
    <x v="3"/>
    <x v="2"/>
    <x v="2"/>
    <x v="0"/>
    <n v="42"/>
    <x v="1"/>
  </r>
  <r>
    <n v="14493"/>
    <x v="1"/>
    <x v="0"/>
    <n v="70000"/>
    <n v="3"/>
    <x v="4"/>
    <s v="Management"/>
    <x v="1"/>
    <x v="2"/>
    <x v="3"/>
    <x v="2"/>
    <x v="0"/>
    <n v="53"/>
    <x v="0"/>
  </r>
  <r>
    <n v="26678"/>
    <x v="1"/>
    <x v="0"/>
    <n v="80000"/>
    <n v="2"/>
    <x v="3"/>
    <s v="Skilled Manual"/>
    <x v="0"/>
    <x v="2"/>
    <x v="2"/>
    <x v="2"/>
    <x v="0"/>
    <n v="49"/>
    <x v="0"/>
  </r>
  <r>
    <n v="23275"/>
    <x v="0"/>
    <x v="1"/>
    <n v="30000"/>
    <n v="2"/>
    <x v="2"/>
    <s v="Skilled Manual"/>
    <x v="0"/>
    <x v="2"/>
    <x v="3"/>
    <x v="2"/>
    <x v="0"/>
    <n v="49"/>
    <x v="0"/>
  </r>
  <r>
    <n v="11270"/>
    <x v="0"/>
    <x v="1"/>
    <n v="130000"/>
    <n v="2"/>
    <x v="4"/>
    <s v="Management"/>
    <x v="0"/>
    <x v="4"/>
    <x v="0"/>
    <x v="2"/>
    <x v="0"/>
    <n v="42"/>
    <x v="1"/>
  </r>
  <r>
    <n v="20084"/>
    <x v="0"/>
    <x v="1"/>
    <n v="20000"/>
    <n v="2"/>
    <x v="2"/>
    <s v="Manual"/>
    <x v="1"/>
    <x v="2"/>
    <x v="0"/>
    <x v="2"/>
    <x v="0"/>
    <n v="53"/>
    <x v="0"/>
  </r>
  <r>
    <n v="16144"/>
    <x v="0"/>
    <x v="1"/>
    <n v="70000"/>
    <n v="1"/>
    <x v="4"/>
    <s v="Professional"/>
    <x v="0"/>
    <x v="1"/>
    <x v="0"/>
    <x v="2"/>
    <x v="0"/>
    <n v="46"/>
    <x v="1"/>
  </r>
  <r>
    <n v="27731"/>
    <x v="0"/>
    <x v="1"/>
    <n v="40000"/>
    <n v="0"/>
    <x v="2"/>
    <s v="Skilled Manual"/>
    <x v="0"/>
    <x v="2"/>
    <x v="2"/>
    <x v="2"/>
    <x v="3"/>
    <n v="27"/>
    <x v="0"/>
  </r>
  <r>
    <n v="11886"/>
    <x v="0"/>
    <x v="0"/>
    <n v="60000"/>
    <n v="3"/>
    <x v="0"/>
    <s v="Professional"/>
    <x v="0"/>
    <x v="1"/>
    <x v="0"/>
    <x v="2"/>
    <x v="0"/>
    <n v="48"/>
    <x v="1"/>
  </r>
  <r>
    <n v="24324"/>
    <x v="1"/>
    <x v="0"/>
    <n v="60000"/>
    <n v="4"/>
    <x v="0"/>
    <s v="Skilled Manual"/>
    <x v="0"/>
    <x v="2"/>
    <x v="1"/>
    <x v="2"/>
    <x v="0"/>
    <n v="41"/>
    <x v="1"/>
  </r>
  <r>
    <n v="22220"/>
    <x v="0"/>
    <x v="1"/>
    <n v="60000"/>
    <n v="2"/>
    <x v="2"/>
    <s v="Professional"/>
    <x v="1"/>
    <x v="2"/>
    <x v="3"/>
    <x v="2"/>
    <x v="0"/>
    <n v="49"/>
    <x v="1"/>
  </r>
  <r>
    <n v="26625"/>
    <x v="1"/>
    <x v="0"/>
    <n v="60000"/>
    <n v="0"/>
    <x v="4"/>
    <s v="Professional"/>
    <x v="0"/>
    <x v="1"/>
    <x v="1"/>
    <x v="2"/>
    <x v="2"/>
    <n v="38"/>
    <x v="1"/>
  </r>
  <r>
    <n v="23027"/>
    <x v="1"/>
    <x v="1"/>
    <n v="130000"/>
    <n v="1"/>
    <x v="0"/>
    <s v="Management"/>
    <x v="1"/>
    <x v="3"/>
    <x v="0"/>
    <x v="2"/>
    <x v="0"/>
    <n v="44"/>
    <x v="0"/>
  </r>
  <r>
    <n v="16867"/>
    <x v="1"/>
    <x v="0"/>
    <n v="130000"/>
    <n v="1"/>
    <x v="0"/>
    <s v="Management"/>
    <x v="1"/>
    <x v="4"/>
    <x v="0"/>
    <x v="2"/>
    <x v="0"/>
    <n v="45"/>
    <x v="1"/>
  </r>
  <r>
    <n v="14514"/>
    <x v="1"/>
    <x v="0"/>
    <n v="30000"/>
    <n v="0"/>
    <x v="1"/>
    <s v="Skilled Manual"/>
    <x v="0"/>
    <x v="1"/>
    <x v="2"/>
    <x v="2"/>
    <x v="3"/>
    <n v="26"/>
    <x v="0"/>
  </r>
  <r>
    <n v="19634"/>
    <x v="0"/>
    <x v="1"/>
    <n v="40000"/>
    <n v="0"/>
    <x v="2"/>
    <s v="Skilled Manual"/>
    <x v="0"/>
    <x v="1"/>
    <x v="2"/>
    <x v="2"/>
    <x v="2"/>
    <n v="31"/>
    <x v="0"/>
  </r>
  <r>
    <n v="18504"/>
    <x v="0"/>
    <x v="1"/>
    <n v="70000"/>
    <n v="2"/>
    <x v="3"/>
    <s v="Skilled Manual"/>
    <x v="1"/>
    <x v="2"/>
    <x v="3"/>
    <x v="2"/>
    <x v="0"/>
    <n v="49"/>
    <x v="0"/>
  </r>
  <r>
    <n v="28799"/>
    <x v="1"/>
    <x v="0"/>
    <n v="40000"/>
    <n v="2"/>
    <x v="1"/>
    <s v="Clerical"/>
    <x v="1"/>
    <x v="1"/>
    <x v="3"/>
    <x v="2"/>
    <x v="0"/>
    <n v="47"/>
    <x v="1"/>
  </r>
  <r>
    <n v="11225"/>
    <x v="0"/>
    <x v="0"/>
    <n v="60000"/>
    <n v="2"/>
    <x v="1"/>
    <s v="Professional"/>
    <x v="0"/>
    <x v="1"/>
    <x v="4"/>
    <x v="2"/>
    <x v="1"/>
    <n v="55"/>
    <x v="0"/>
  </r>
  <r>
    <n v="17657"/>
    <x v="0"/>
    <x v="1"/>
    <n v="40000"/>
    <n v="4"/>
    <x v="1"/>
    <s v="Clerical"/>
    <x v="1"/>
    <x v="0"/>
    <x v="0"/>
    <x v="2"/>
    <x v="2"/>
    <n v="30"/>
    <x v="0"/>
  </r>
  <r>
    <n v="14913"/>
    <x v="0"/>
    <x v="0"/>
    <n v="40000"/>
    <n v="1"/>
    <x v="1"/>
    <s v="Clerical"/>
    <x v="0"/>
    <x v="1"/>
    <x v="3"/>
    <x v="2"/>
    <x v="0"/>
    <n v="48"/>
    <x v="1"/>
  </r>
  <r>
    <n v="14077"/>
    <x v="1"/>
    <x v="1"/>
    <n v="30000"/>
    <n v="0"/>
    <x v="2"/>
    <s v="Skilled Manual"/>
    <x v="0"/>
    <x v="2"/>
    <x v="2"/>
    <x v="2"/>
    <x v="2"/>
    <n v="30"/>
    <x v="0"/>
  </r>
  <r>
    <n v="13296"/>
    <x v="0"/>
    <x v="1"/>
    <n v="110000"/>
    <n v="1"/>
    <x v="0"/>
    <s v="Management"/>
    <x v="0"/>
    <x v="4"/>
    <x v="2"/>
    <x v="2"/>
    <x v="0"/>
    <n v="45"/>
    <x v="0"/>
  </r>
  <r>
    <n v="20535"/>
    <x v="0"/>
    <x v="0"/>
    <n v="70000"/>
    <n v="4"/>
    <x v="1"/>
    <s v="Professional"/>
    <x v="0"/>
    <x v="1"/>
    <x v="4"/>
    <x v="2"/>
    <x v="1"/>
    <n v="56"/>
    <x v="0"/>
  </r>
  <r>
    <n v="12452"/>
    <x v="0"/>
    <x v="1"/>
    <n v="60000"/>
    <n v="4"/>
    <x v="4"/>
    <s v="Skilled Manual"/>
    <x v="0"/>
    <x v="0"/>
    <x v="3"/>
    <x v="2"/>
    <x v="0"/>
    <n v="47"/>
    <x v="1"/>
  </r>
  <r>
    <n v="28043"/>
    <x v="0"/>
    <x v="0"/>
    <n v="60000"/>
    <n v="2"/>
    <x v="0"/>
    <s v="Management"/>
    <x v="0"/>
    <x v="0"/>
    <x v="4"/>
    <x v="2"/>
    <x v="1"/>
    <n v="56"/>
    <x v="0"/>
  </r>
  <r>
    <n v="12957"/>
    <x v="1"/>
    <x v="0"/>
    <n v="70000"/>
    <n v="1"/>
    <x v="0"/>
    <s v="Professional"/>
    <x v="1"/>
    <x v="1"/>
    <x v="0"/>
    <x v="2"/>
    <x v="0"/>
    <n v="44"/>
    <x v="0"/>
  </r>
  <r>
    <n v="15412"/>
    <x v="0"/>
    <x v="1"/>
    <n v="130000"/>
    <n v="2"/>
    <x v="4"/>
    <s v="Management"/>
    <x v="0"/>
    <x v="4"/>
    <x v="1"/>
    <x v="2"/>
    <x v="1"/>
    <n v="69"/>
    <x v="0"/>
  </r>
  <r>
    <n v="20514"/>
    <x v="0"/>
    <x v="0"/>
    <n v="70000"/>
    <n v="2"/>
    <x v="1"/>
    <s v="Professional"/>
    <x v="0"/>
    <x v="1"/>
    <x v="1"/>
    <x v="2"/>
    <x v="1"/>
    <n v="59"/>
    <x v="0"/>
  </r>
  <r>
    <n v="20758"/>
    <x v="0"/>
    <x v="1"/>
    <n v="30000"/>
    <n v="2"/>
    <x v="2"/>
    <s v="Skilled Manual"/>
    <x v="0"/>
    <x v="2"/>
    <x v="3"/>
    <x v="2"/>
    <x v="0"/>
    <n v="50"/>
    <x v="0"/>
  </r>
  <r>
    <n v="11801"/>
    <x v="0"/>
    <x v="1"/>
    <n v="60000"/>
    <n v="1"/>
    <x v="4"/>
    <s v="Professional"/>
    <x v="0"/>
    <x v="0"/>
    <x v="1"/>
    <x v="2"/>
    <x v="2"/>
    <n v="36"/>
    <x v="0"/>
  </r>
  <r>
    <n v="22211"/>
    <x v="0"/>
    <x v="1"/>
    <n v="60000"/>
    <n v="0"/>
    <x v="1"/>
    <s v="Professional"/>
    <x v="0"/>
    <x v="2"/>
    <x v="2"/>
    <x v="2"/>
    <x v="2"/>
    <n v="32"/>
    <x v="0"/>
  </r>
  <r>
    <n v="28087"/>
    <x v="1"/>
    <x v="0"/>
    <n v="40000"/>
    <n v="0"/>
    <x v="1"/>
    <s v="Skilled Manual"/>
    <x v="1"/>
    <x v="1"/>
    <x v="3"/>
    <x v="2"/>
    <x v="3"/>
    <n v="27"/>
    <x v="0"/>
  </r>
  <r>
    <n v="23668"/>
    <x v="0"/>
    <x v="0"/>
    <n v="40000"/>
    <n v="4"/>
    <x v="2"/>
    <s v="Professional"/>
    <x v="0"/>
    <x v="2"/>
    <x v="2"/>
    <x v="2"/>
    <x v="1"/>
    <n v="59"/>
    <x v="1"/>
  </r>
  <r>
    <n v="27441"/>
    <x v="0"/>
    <x v="1"/>
    <n v="60000"/>
    <n v="3"/>
    <x v="2"/>
    <s v="Professional"/>
    <x v="1"/>
    <x v="2"/>
    <x v="1"/>
    <x v="2"/>
    <x v="0"/>
    <n v="53"/>
    <x v="0"/>
  </r>
  <r>
    <n v="27261"/>
    <x v="0"/>
    <x v="1"/>
    <n v="40000"/>
    <n v="1"/>
    <x v="0"/>
    <s v="Skilled Manual"/>
    <x v="1"/>
    <x v="1"/>
    <x v="0"/>
    <x v="2"/>
    <x v="2"/>
    <n v="36"/>
    <x v="1"/>
  </r>
  <r>
    <n v="18649"/>
    <x v="1"/>
    <x v="1"/>
    <n v="30000"/>
    <n v="1"/>
    <x v="2"/>
    <s v="Clerical"/>
    <x v="0"/>
    <x v="2"/>
    <x v="3"/>
    <x v="2"/>
    <x v="0"/>
    <n v="51"/>
    <x v="1"/>
  </r>
  <r>
    <n v="21714"/>
    <x v="1"/>
    <x v="0"/>
    <n v="80000"/>
    <n v="5"/>
    <x v="4"/>
    <s v="Skilled Manual"/>
    <x v="1"/>
    <x v="0"/>
    <x v="0"/>
    <x v="2"/>
    <x v="0"/>
    <n v="47"/>
    <x v="0"/>
  </r>
  <r>
    <n v="23217"/>
    <x v="1"/>
    <x v="0"/>
    <n v="60000"/>
    <n v="3"/>
    <x v="4"/>
    <s v="Professional"/>
    <x v="0"/>
    <x v="0"/>
    <x v="1"/>
    <x v="2"/>
    <x v="0"/>
    <n v="43"/>
    <x v="1"/>
  </r>
  <r>
    <n v="23797"/>
    <x v="1"/>
    <x v="1"/>
    <n v="20000"/>
    <n v="3"/>
    <x v="3"/>
    <s v="Clerical"/>
    <x v="1"/>
    <x v="2"/>
    <x v="0"/>
    <x v="2"/>
    <x v="0"/>
    <n v="50"/>
    <x v="0"/>
  </r>
  <r>
    <n v="13216"/>
    <x v="0"/>
    <x v="0"/>
    <n v="60000"/>
    <n v="5"/>
    <x v="0"/>
    <s v="Management"/>
    <x v="0"/>
    <x v="4"/>
    <x v="4"/>
    <x v="2"/>
    <x v="1"/>
    <n v="59"/>
    <x v="0"/>
  </r>
  <r>
    <n v="20657"/>
    <x v="1"/>
    <x v="1"/>
    <n v="50000"/>
    <n v="2"/>
    <x v="0"/>
    <s v="Skilled Manual"/>
    <x v="0"/>
    <x v="0"/>
    <x v="1"/>
    <x v="2"/>
    <x v="2"/>
    <n v="37"/>
    <x v="1"/>
  </r>
  <r>
    <n v="12882"/>
    <x v="0"/>
    <x v="1"/>
    <n v="50000"/>
    <n v="1"/>
    <x v="4"/>
    <s v="Skilled Manual"/>
    <x v="0"/>
    <x v="0"/>
    <x v="0"/>
    <x v="2"/>
    <x v="2"/>
    <n v="33"/>
    <x v="1"/>
  </r>
  <r>
    <n v="25908"/>
    <x v="0"/>
    <x v="0"/>
    <n v="60000"/>
    <n v="0"/>
    <x v="1"/>
    <s v="Skilled Manual"/>
    <x v="1"/>
    <x v="1"/>
    <x v="3"/>
    <x v="2"/>
    <x v="3"/>
    <n v="27"/>
    <x v="0"/>
  </r>
  <r>
    <n v="16753"/>
    <x v="1"/>
    <x v="0"/>
    <n v="70000"/>
    <n v="0"/>
    <x v="1"/>
    <s v="Skilled Manual"/>
    <x v="0"/>
    <x v="2"/>
    <x v="2"/>
    <x v="2"/>
    <x v="2"/>
    <n v="34"/>
    <x v="1"/>
  </r>
  <r>
    <n v="14608"/>
    <x v="0"/>
    <x v="1"/>
    <n v="50000"/>
    <n v="4"/>
    <x v="0"/>
    <s v="Skilled Manual"/>
    <x v="0"/>
    <x v="4"/>
    <x v="4"/>
    <x v="2"/>
    <x v="0"/>
    <n v="42"/>
    <x v="0"/>
  </r>
  <r>
    <n v="24979"/>
    <x v="0"/>
    <x v="0"/>
    <n v="60000"/>
    <n v="2"/>
    <x v="1"/>
    <s v="Professional"/>
    <x v="0"/>
    <x v="2"/>
    <x v="1"/>
    <x v="2"/>
    <x v="1"/>
    <n v="57"/>
    <x v="1"/>
  </r>
  <r>
    <n v="13313"/>
    <x v="0"/>
    <x v="0"/>
    <n v="120000"/>
    <n v="1"/>
    <x v="2"/>
    <s v="Professional"/>
    <x v="1"/>
    <x v="3"/>
    <x v="1"/>
    <x v="2"/>
    <x v="0"/>
    <n v="45"/>
    <x v="0"/>
  </r>
  <r>
    <n v="18952"/>
    <x v="0"/>
    <x v="0"/>
    <n v="100000"/>
    <n v="4"/>
    <x v="0"/>
    <s v="Management"/>
    <x v="0"/>
    <x v="3"/>
    <x v="0"/>
    <x v="2"/>
    <x v="0"/>
    <n v="40"/>
    <x v="0"/>
  </r>
  <r>
    <n v="17699"/>
    <x v="0"/>
    <x v="1"/>
    <n v="60000"/>
    <n v="1"/>
    <x v="4"/>
    <s v="Skilled Manual"/>
    <x v="1"/>
    <x v="0"/>
    <x v="0"/>
    <x v="2"/>
    <x v="1"/>
    <n v="55"/>
    <x v="0"/>
  </r>
  <r>
    <n v="14657"/>
    <x v="0"/>
    <x v="1"/>
    <n v="80000"/>
    <n v="1"/>
    <x v="1"/>
    <s v="Skilled Manual"/>
    <x v="1"/>
    <x v="1"/>
    <x v="0"/>
    <x v="2"/>
    <x v="0"/>
    <n v="47"/>
    <x v="1"/>
  </r>
  <r>
    <n v="11540"/>
    <x v="1"/>
    <x v="1"/>
    <n v="60000"/>
    <n v="4"/>
    <x v="4"/>
    <s v="Skilled Manual"/>
    <x v="0"/>
    <x v="0"/>
    <x v="3"/>
    <x v="2"/>
    <x v="0"/>
    <n v="47"/>
    <x v="1"/>
  </r>
  <r>
    <n v="11783"/>
    <x v="0"/>
    <x v="0"/>
    <n v="60000"/>
    <n v="1"/>
    <x v="4"/>
    <s v="Skilled Manual"/>
    <x v="0"/>
    <x v="0"/>
    <x v="0"/>
    <x v="2"/>
    <x v="2"/>
    <n v="34"/>
    <x v="0"/>
  </r>
  <r>
    <n v="14602"/>
    <x v="0"/>
    <x v="0"/>
    <n v="80000"/>
    <n v="3"/>
    <x v="4"/>
    <s v="Professional"/>
    <x v="0"/>
    <x v="0"/>
    <x v="0"/>
    <x v="2"/>
    <x v="2"/>
    <n v="36"/>
    <x v="1"/>
  </r>
  <r>
    <n v="29030"/>
    <x v="0"/>
    <x v="1"/>
    <n v="70000"/>
    <n v="2"/>
    <x v="3"/>
    <s v="Skilled Manual"/>
    <x v="0"/>
    <x v="2"/>
    <x v="4"/>
    <x v="2"/>
    <x v="0"/>
    <n v="54"/>
    <x v="0"/>
  </r>
  <r>
    <n v="26490"/>
    <x v="1"/>
    <x v="1"/>
    <n v="70000"/>
    <n v="2"/>
    <x v="0"/>
    <s v="Management"/>
    <x v="1"/>
    <x v="1"/>
    <x v="1"/>
    <x v="2"/>
    <x v="1"/>
    <n v="59"/>
    <x v="1"/>
  </r>
  <r>
    <n v="13151"/>
    <x v="1"/>
    <x v="1"/>
    <n v="40000"/>
    <n v="0"/>
    <x v="2"/>
    <s v="Skilled Manual"/>
    <x v="0"/>
    <x v="2"/>
    <x v="2"/>
    <x v="2"/>
    <x v="3"/>
    <n v="27"/>
    <x v="0"/>
  </r>
  <r>
    <n v="17260"/>
    <x v="0"/>
    <x v="1"/>
    <n v="90000"/>
    <n v="5"/>
    <x v="1"/>
    <s v="Professional"/>
    <x v="0"/>
    <x v="4"/>
    <x v="0"/>
    <x v="2"/>
    <x v="0"/>
    <n v="41"/>
    <x v="0"/>
  </r>
  <r>
    <n v="15372"/>
    <x v="0"/>
    <x v="1"/>
    <n v="80000"/>
    <n v="3"/>
    <x v="1"/>
    <s v="Professional"/>
    <x v="1"/>
    <x v="2"/>
    <x v="1"/>
    <x v="2"/>
    <x v="0"/>
    <n v="50"/>
    <x v="1"/>
  </r>
  <r>
    <n v="18105"/>
    <x v="0"/>
    <x v="0"/>
    <n v="60000"/>
    <n v="2"/>
    <x v="1"/>
    <s v="Professional"/>
    <x v="0"/>
    <x v="1"/>
    <x v="4"/>
    <x v="2"/>
    <x v="1"/>
    <n v="55"/>
    <x v="0"/>
  </r>
  <r>
    <n v="19660"/>
    <x v="0"/>
    <x v="1"/>
    <n v="80000"/>
    <n v="4"/>
    <x v="0"/>
    <s v="Management"/>
    <x v="0"/>
    <x v="0"/>
    <x v="0"/>
    <x v="2"/>
    <x v="0"/>
    <n v="43"/>
    <x v="0"/>
  </r>
  <r>
    <n v="16112"/>
    <x v="1"/>
    <x v="1"/>
    <n v="70000"/>
    <n v="4"/>
    <x v="0"/>
    <s v="Professional"/>
    <x v="0"/>
    <x v="2"/>
    <x v="1"/>
    <x v="2"/>
    <x v="0"/>
    <n v="43"/>
    <x v="1"/>
  </r>
  <r>
    <n v="20698"/>
    <x v="0"/>
    <x v="1"/>
    <n v="60000"/>
    <n v="4"/>
    <x v="0"/>
    <s v="Skilled Manual"/>
    <x v="0"/>
    <x v="4"/>
    <x v="2"/>
    <x v="2"/>
    <x v="0"/>
    <n v="42"/>
    <x v="0"/>
  </r>
  <r>
    <n v="20076"/>
    <x v="1"/>
    <x v="0"/>
    <n v="10000"/>
    <n v="2"/>
    <x v="2"/>
    <s v="Manual"/>
    <x v="0"/>
    <x v="2"/>
    <x v="3"/>
    <x v="2"/>
    <x v="0"/>
    <n v="53"/>
    <x v="1"/>
  </r>
  <r>
    <n v="24496"/>
    <x v="1"/>
    <x v="0"/>
    <n v="40000"/>
    <n v="0"/>
    <x v="2"/>
    <s v="Skilled Manual"/>
    <x v="1"/>
    <x v="2"/>
    <x v="0"/>
    <x v="2"/>
    <x v="3"/>
    <n v="28"/>
    <x v="1"/>
  </r>
  <r>
    <n v="15468"/>
    <x v="0"/>
    <x v="0"/>
    <n v="50000"/>
    <n v="1"/>
    <x v="0"/>
    <s v="Skilled Manual"/>
    <x v="0"/>
    <x v="1"/>
    <x v="0"/>
    <x v="2"/>
    <x v="2"/>
    <n v="35"/>
    <x v="0"/>
  </r>
  <r>
    <n v="28031"/>
    <x v="1"/>
    <x v="0"/>
    <n v="70000"/>
    <n v="2"/>
    <x v="0"/>
    <s v="Management"/>
    <x v="1"/>
    <x v="1"/>
    <x v="1"/>
    <x v="2"/>
    <x v="1"/>
    <n v="59"/>
    <x v="1"/>
  </r>
  <r>
    <n v="26270"/>
    <x v="1"/>
    <x v="0"/>
    <n v="20000"/>
    <n v="2"/>
    <x v="3"/>
    <s v="Clerical"/>
    <x v="0"/>
    <x v="2"/>
    <x v="3"/>
    <x v="2"/>
    <x v="0"/>
    <n v="49"/>
    <x v="0"/>
  </r>
  <r>
    <n v="22221"/>
    <x v="0"/>
    <x v="1"/>
    <n v="60000"/>
    <n v="2"/>
    <x v="2"/>
    <s v="Professional"/>
    <x v="1"/>
    <x v="2"/>
    <x v="3"/>
    <x v="2"/>
    <x v="0"/>
    <n v="48"/>
    <x v="1"/>
  </r>
  <r>
    <n v="28228"/>
    <x v="1"/>
    <x v="0"/>
    <n v="80000"/>
    <n v="2"/>
    <x v="3"/>
    <s v="Skilled Manual"/>
    <x v="1"/>
    <x v="2"/>
    <x v="3"/>
    <x v="2"/>
    <x v="0"/>
    <n v="50"/>
    <x v="0"/>
  </r>
  <r>
    <n v="18363"/>
    <x v="0"/>
    <x v="1"/>
    <n v="40000"/>
    <n v="0"/>
    <x v="2"/>
    <s v="Skilled Manual"/>
    <x v="0"/>
    <x v="2"/>
    <x v="2"/>
    <x v="2"/>
    <x v="3"/>
    <n v="28"/>
    <x v="1"/>
  </r>
  <r>
    <n v="23256"/>
    <x v="1"/>
    <x v="1"/>
    <n v="30000"/>
    <n v="1"/>
    <x v="2"/>
    <s v="Clerical"/>
    <x v="1"/>
    <x v="1"/>
    <x v="2"/>
    <x v="2"/>
    <x v="0"/>
    <n v="52"/>
    <x v="0"/>
  </r>
  <r>
    <n v="12768"/>
    <x v="0"/>
    <x v="1"/>
    <n v="30000"/>
    <n v="1"/>
    <x v="2"/>
    <s v="Clerical"/>
    <x v="0"/>
    <x v="1"/>
    <x v="1"/>
    <x v="2"/>
    <x v="0"/>
    <n v="52"/>
    <x v="1"/>
  </r>
  <r>
    <n v="20361"/>
    <x v="0"/>
    <x v="1"/>
    <n v="50000"/>
    <n v="2"/>
    <x v="4"/>
    <s v="Management"/>
    <x v="0"/>
    <x v="2"/>
    <x v="2"/>
    <x v="2"/>
    <x v="1"/>
    <n v="69"/>
    <x v="0"/>
  </r>
  <r>
    <n v="21306"/>
    <x v="1"/>
    <x v="1"/>
    <n v="60000"/>
    <n v="2"/>
    <x v="2"/>
    <s v="Professional"/>
    <x v="0"/>
    <x v="2"/>
    <x v="2"/>
    <x v="2"/>
    <x v="0"/>
    <n v="51"/>
    <x v="0"/>
  </r>
  <r>
    <n v="13382"/>
    <x v="0"/>
    <x v="1"/>
    <n v="70000"/>
    <n v="5"/>
    <x v="1"/>
    <s v="Professional"/>
    <x v="0"/>
    <x v="2"/>
    <x v="3"/>
    <x v="2"/>
    <x v="1"/>
    <n v="57"/>
    <x v="1"/>
  </r>
  <r>
    <n v="20310"/>
    <x v="1"/>
    <x v="1"/>
    <n v="60000"/>
    <n v="0"/>
    <x v="1"/>
    <s v="Skilled Manual"/>
    <x v="0"/>
    <x v="1"/>
    <x v="2"/>
    <x v="2"/>
    <x v="3"/>
    <n v="27"/>
    <x v="1"/>
  </r>
  <r>
    <n v="22971"/>
    <x v="1"/>
    <x v="0"/>
    <n v="30000"/>
    <n v="0"/>
    <x v="2"/>
    <s v="Skilled Manual"/>
    <x v="1"/>
    <x v="2"/>
    <x v="0"/>
    <x v="2"/>
    <x v="3"/>
    <n v="25"/>
    <x v="1"/>
  </r>
  <r>
    <n v="15287"/>
    <x v="1"/>
    <x v="0"/>
    <n v="50000"/>
    <n v="1"/>
    <x v="4"/>
    <s v="Skilled Manual"/>
    <x v="0"/>
    <x v="0"/>
    <x v="3"/>
    <x v="2"/>
    <x v="2"/>
    <n v="33"/>
    <x v="1"/>
  </r>
  <r>
    <n v="15532"/>
    <x v="1"/>
    <x v="1"/>
    <n v="60000"/>
    <n v="4"/>
    <x v="0"/>
    <s v="Professional"/>
    <x v="0"/>
    <x v="2"/>
    <x v="1"/>
    <x v="2"/>
    <x v="0"/>
    <n v="43"/>
    <x v="1"/>
  </r>
  <r>
    <n v="11255"/>
    <x v="0"/>
    <x v="1"/>
    <n v="70000"/>
    <n v="4"/>
    <x v="4"/>
    <s v="Management"/>
    <x v="0"/>
    <x v="2"/>
    <x v="2"/>
    <x v="2"/>
    <x v="4"/>
    <n v="73"/>
    <x v="0"/>
  </r>
  <r>
    <n v="28090"/>
    <x v="0"/>
    <x v="1"/>
    <n v="40000"/>
    <n v="0"/>
    <x v="1"/>
    <s v="Skilled Manual"/>
    <x v="0"/>
    <x v="1"/>
    <x v="2"/>
    <x v="2"/>
    <x v="3"/>
    <n v="27"/>
    <x v="0"/>
  </r>
  <r>
    <n v="15255"/>
    <x v="0"/>
    <x v="1"/>
    <n v="40000"/>
    <n v="0"/>
    <x v="2"/>
    <s v="Skilled Manual"/>
    <x v="0"/>
    <x v="2"/>
    <x v="2"/>
    <x v="2"/>
    <x v="3"/>
    <n v="28"/>
    <x v="1"/>
  </r>
  <r>
    <n v="13154"/>
    <x v="0"/>
    <x v="1"/>
    <n v="40000"/>
    <n v="0"/>
    <x v="2"/>
    <s v="Skilled Manual"/>
    <x v="1"/>
    <x v="2"/>
    <x v="0"/>
    <x v="2"/>
    <x v="3"/>
    <n v="27"/>
    <x v="1"/>
  </r>
  <r>
    <n v="26778"/>
    <x v="1"/>
    <x v="0"/>
    <n v="40000"/>
    <n v="0"/>
    <x v="2"/>
    <s v="Skilled Manual"/>
    <x v="0"/>
    <x v="2"/>
    <x v="2"/>
    <x v="2"/>
    <x v="2"/>
    <n v="31"/>
    <x v="0"/>
  </r>
  <r>
    <n v="23248"/>
    <x v="0"/>
    <x v="0"/>
    <n v="10000"/>
    <n v="2"/>
    <x v="2"/>
    <s v="Manual"/>
    <x v="0"/>
    <x v="2"/>
    <x v="3"/>
    <x v="2"/>
    <x v="0"/>
    <n v="53"/>
    <x v="0"/>
  </r>
  <r>
    <n v="21417"/>
    <x v="1"/>
    <x v="0"/>
    <n v="60000"/>
    <n v="0"/>
    <x v="1"/>
    <s v="Professional"/>
    <x v="1"/>
    <x v="2"/>
    <x v="3"/>
    <x v="2"/>
    <x v="2"/>
    <n v="32"/>
    <x v="1"/>
  </r>
  <r>
    <n v="17668"/>
    <x v="1"/>
    <x v="1"/>
    <n v="30000"/>
    <n v="2"/>
    <x v="2"/>
    <s v="Skilled Manual"/>
    <x v="0"/>
    <x v="2"/>
    <x v="3"/>
    <x v="2"/>
    <x v="0"/>
    <n v="50"/>
    <x v="1"/>
  </r>
  <r>
    <n v="27994"/>
    <x v="0"/>
    <x v="0"/>
    <n v="40000"/>
    <n v="4"/>
    <x v="2"/>
    <s v="Professional"/>
    <x v="0"/>
    <x v="2"/>
    <x v="2"/>
    <x v="2"/>
    <x v="1"/>
    <n v="69"/>
    <x v="0"/>
  </r>
  <r>
    <n v="20376"/>
    <x v="1"/>
    <x v="0"/>
    <n v="70000"/>
    <n v="3"/>
    <x v="4"/>
    <s v="Management"/>
    <x v="0"/>
    <x v="2"/>
    <x v="2"/>
    <x v="2"/>
    <x v="0"/>
    <n v="52"/>
    <x v="1"/>
  </r>
  <r>
    <n v="25954"/>
    <x v="0"/>
    <x v="1"/>
    <n v="60000"/>
    <n v="0"/>
    <x v="1"/>
    <s v="Skilled Manual"/>
    <x v="1"/>
    <x v="2"/>
    <x v="3"/>
    <x v="2"/>
    <x v="2"/>
    <n v="31"/>
    <x v="0"/>
  </r>
  <r>
    <n v="15749"/>
    <x v="1"/>
    <x v="0"/>
    <n v="70000"/>
    <n v="4"/>
    <x v="0"/>
    <s v="Management"/>
    <x v="0"/>
    <x v="2"/>
    <x v="4"/>
    <x v="2"/>
    <x v="1"/>
    <n v="61"/>
    <x v="0"/>
  </r>
  <r>
    <n v="25899"/>
    <x v="0"/>
    <x v="0"/>
    <n v="70000"/>
    <n v="2"/>
    <x v="2"/>
    <s v="Professional"/>
    <x v="0"/>
    <x v="2"/>
    <x v="4"/>
    <x v="2"/>
    <x v="0"/>
    <n v="53"/>
    <x v="0"/>
  </r>
  <r>
    <n v="13351"/>
    <x v="1"/>
    <x v="0"/>
    <n v="70000"/>
    <n v="4"/>
    <x v="0"/>
    <s v="Management"/>
    <x v="0"/>
    <x v="2"/>
    <x v="3"/>
    <x v="2"/>
    <x v="1"/>
    <n v="62"/>
    <x v="1"/>
  </r>
  <r>
    <n v="23333"/>
    <x v="0"/>
    <x v="1"/>
    <n v="40000"/>
    <n v="0"/>
    <x v="1"/>
    <s v="Skilled Manual"/>
    <x v="1"/>
    <x v="2"/>
    <x v="3"/>
    <x v="2"/>
    <x v="2"/>
    <n v="30"/>
    <x v="0"/>
  </r>
  <r>
    <n v="21660"/>
    <x v="0"/>
    <x v="0"/>
    <n v="60000"/>
    <n v="3"/>
    <x v="4"/>
    <s v="Professional"/>
    <x v="0"/>
    <x v="0"/>
    <x v="1"/>
    <x v="2"/>
    <x v="0"/>
    <n v="43"/>
    <x v="1"/>
  </r>
  <r>
    <n v="17012"/>
    <x v="0"/>
    <x v="0"/>
    <n v="60000"/>
    <n v="3"/>
    <x v="4"/>
    <s v="Professional"/>
    <x v="0"/>
    <x v="0"/>
    <x v="1"/>
    <x v="2"/>
    <x v="0"/>
    <n v="42"/>
    <x v="1"/>
  </r>
  <r>
    <n v="24514"/>
    <x v="0"/>
    <x v="1"/>
    <n v="40000"/>
    <n v="0"/>
    <x v="1"/>
    <s v="Skilled Manual"/>
    <x v="0"/>
    <x v="1"/>
    <x v="2"/>
    <x v="2"/>
    <x v="2"/>
    <n v="30"/>
    <x v="0"/>
  </r>
  <r>
    <n v="27505"/>
    <x v="1"/>
    <x v="0"/>
    <n v="40000"/>
    <n v="0"/>
    <x v="2"/>
    <s v="Skilled Manual"/>
    <x v="0"/>
    <x v="2"/>
    <x v="2"/>
    <x v="2"/>
    <x v="2"/>
    <n v="30"/>
    <x v="0"/>
  </r>
  <r>
    <n v="29243"/>
    <x v="1"/>
    <x v="1"/>
    <n v="110000"/>
    <n v="1"/>
    <x v="0"/>
    <s v="Management"/>
    <x v="0"/>
    <x v="1"/>
    <x v="2"/>
    <x v="2"/>
    <x v="0"/>
    <n v="43"/>
    <x v="0"/>
  </r>
  <r>
    <n v="26582"/>
    <x v="0"/>
    <x v="1"/>
    <n v="60000"/>
    <n v="0"/>
    <x v="1"/>
    <s v="Skilled Manual"/>
    <x v="0"/>
    <x v="2"/>
    <x v="2"/>
    <x v="2"/>
    <x v="2"/>
    <n v="33"/>
    <x v="1"/>
  </r>
  <r>
    <n v="14271"/>
    <x v="0"/>
    <x v="1"/>
    <n v="30000"/>
    <n v="0"/>
    <x v="2"/>
    <s v="Skilled Manual"/>
    <x v="0"/>
    <x v="2"/>
    <x v="2"/>
    <x v="2"/>
    <x v="2"/>
    <n v="32"/>
    <x v="0"/>
  </r>
  <r>
    <n v="23041"/>
    <x v="1"/>
    <x v="0"/>
    <n v="70000"/>
    <n v="4"/>
    <x v="2"/>
    <s v="Professional"/>
    <x v="0"/>
    <x v="0"/>
    <x v="2"/>
    <x v="2"/>
    <x v="0"/>
    <n v="50"/>
    <x v="1"/>
  </r>
  <r>
    <n v="29048"/>
    <x v="1"/>
    <x v="1"/>
    <n v="110000"/>
    <n v="2"/>
    <x v="0"/>
    <s v="Management"/>
    <x v="1"/>
    <x v="4"/>
    <x v="0"/>
    <x v="2"/>
    <x v="2"/>
    <n v="37"/>
    <x v="1"/>
  </r>
  <r>
    <n v="24433"/>
    <x v="0"/>
    <x v="1"/>
    <n v="70000"/>
    <n v="3"/>
    <x v="2"/>
    <s v="Professional"/>
    <x v="1"/>
    <x v="1"/>
    <x v="3"/>
    <x v="2"/>
    <x v="0"/>
    <n v="52"/>
    <x v="1"/>
  </r>
  <r>
    <n v="15501"/>
    <x v="0"/>
    <x v="1"/>
    <n v="70000"/>
    <n v="4"/>
    <x v="4"/>
    <s v="Professional"/>
    <x v="0"/>
    <x v="0"/>
    <x v="1"/>
    <x v="2"/>
    <x v="2"/>
    <n v="36"/>
    <x v="1"/>
  </r>
  <r>
    <n v="13911"/>
    <x v="1"/>
    <x v="0"/>
    <n v="80000"/>
    <n v="3"/>
    <x v="0"/>
    <s v="Skilled Manual"/>
    <x v="0"/>
    <x v="2"/>
    <x v="1"/>
    <x v="2"/>
    <x v="0"/>
    <n v="41"/>
    <x v="1"/>
  </r>
  <r>
    <n v="20421"/>
    <x v="1"/>
    <x v="0"/>
    <n v="40000"/>
    <n v="0"/>
    <x v="3"/>
    <s v="Clerical"/>
    <x v="0"/>
    <x v="2"/>
    <x v="2"/>
    <x v="2"/>
    <x v="3"/>
    <n v="26"/>
    <x v="0"/>
  </r>
  <r>
    <n v="16009"/>
    <x v="1"/>
    <x v="1"/>
    <n v="170000"/>
    <n v="1"/>
    <x v="4"/>
    <s v="Management"/>
    <x v="1"/>
    <x v="3"/>
    <x v="0"/>
    <x v="2"/>
    <x v="1"/>
    <n v="66"/>
    <x v="0"/>
  </r>
  <r>
    <n v="18411"/>
    <x v="0"/>
    <x v="1"/>
    <n v="60000"/>
    <n v="2"/>
    <x v="2"/>
    <s v="Professional"/>
    <x v="1"/>
    <x v="2"/>
    <x v="2"/>
    <x v="2"/>
    <x v="0"/>
    <n v="51"/>
    <x v="0"/>
  </r>
  <r>
    <n v="19163"/>
    <x v="0"/>
    <x v="0"/>
    <n v="70000"/>
    <n v="4"/>
    <x v="0"/>
    <s v="Professional"/>
    <x v="0"/>
    <x v="2"/>
    <x v="0"/>
    <x v="2"/>
    <x v="0"/>
    <n v="43"/>
    <x v="1"/>
  </r>
  <r>
    <n v="18572"/>
    <x v="0"/>
    <x v="0"/>
    <n v="60000"/>
    <n v="0"/>
    <x v="4"/>
    <s v="Professional"/>
    <x v="0"/>
    <x v="0"/>
    <x v="0"/>
    <x v="2"/>
    <x v="2"/>
    <n v="39"/>
    <x v="0"/>
  </r>
  <r>
    <n v="27540"/>
    <x v="1"/>
    <x v="0"/>
    <n v="70000"/>
    <n v="0"/>
    <x v="0"/>
    <s v="Professional"/>
    <x v="1"/>
    <x v="1"/>
    <x v="0"/>
    <x v="2"/>
    <x v="2"/>
    <n v="37"/>
    <x v="1"/>
  </r>
  <r>
    <n v="19889"/>
    <x v="1"/>
    <x v="0"/>
    <n v="70000"/>
    <n v="2"/>
    <x v="3"/>
    <s v="Skilled Manual"/>
    <x v="1"/>
    <x v="2"/>
    <x v="1"/>
    <x v="2"/>
    <x v="0"/>
    <n v="54"/>
    <x v="1"/>
  </r>
  <r>
    <n v="12922"/>
    <x v="1"/>
    <x v="0"/>
    <n v="60000"/>
    <n v="3"/>
    <x v="0"/>
    <s v="Skilled Manual"/>
    <x v="0"/>
    <x v="0"/>
    <x v="1"/>
    <x v="2"/>
    <x v="0"/>
    <n v="40"/>
    <x v="1"/>
  </r>
  <r>
    <n v="18891"/>
    <x v="0"/>
    <x v="0"/>
    <n v="40000"/>
    <n v="0"/>
    <x v="1"/>
    <s v="Skilled Manual"/>
    <x v="0"/>
    <x v="2"/>
    <x v="2"/>
    <x v="2"/>
    <x v="3"/>
    <n v="28"/>
    <x v="0"/>
  </r>
  <r>
    <n v="16773"/>
    <x v="0"/>
    <x v="1"/>
    <n v="60000"/>
    <n v="1"/>
    <x v="4"/>
    <s v="Skilled Manual"/>
    <x v="0"/>
    <x v="0"/>
    <x v="0"/>
    <x v="2"/>
    <x v="2"/>
    <n v="33"/>
    <x v="0"/>
  </r>
  <r>
    <n v="19143"/>
    <x v="1"/>
    <x v="0"/>
    <n v="80000"/>
    <n v="3"/>
    <x v="0"/>
    <s v="Skilled Manual"/>
    <x v="0"/>
    <x v="2"/>
    <x v="1"/>
    <x v="2"/>
    <x v="0"/>
    <n v="41"/>
    <x v="1"/>
  </r>
  <r>
    <n v="23882"/>
    <x v="1"/>
    <x v="0"/>
    <n v="80000"/>
    <n v="3"/>
    <x v="4"/>
    <s v="Professional"/>
    <x v="0"/>
    <x v="0"/>
    <x v="0"/>
    <x v="2"/>
    <x v="2"/>
    <n v="37"/>
    <x v="1"/>
  </r>
  <r>
    <n v="11233"/>
    <x v="0"/>
    <x v="1"/>
    <n v="70000"/>
    <n v="4"/>
    <x v="1"/>
    <s v="Professional"/>
    <x v="0"/>
    <x v="2"/>
    <x v="4"/>
    <x v="2"/>
    <x v="0"/>
    <n v="53"/>
    <x v="0"/>
  </r>
  <r>
    <n v="12056"/>
    <x v="0"/>
    <x v="1"/>
    <n v="120000"/>
    <n v="2"/>
    <x v="4"/>
    <s v="Management"/>
    <x v="0"/>
    <x v="4"/>
    <x v="2"/>
    <x v="2"/>
    <x v="1"/>
    <n v="64"/>
    <x v="0"/>
  </r>
  <r>
    <n v="15555"/>
    <x v="0"/>
    <x v="0"/>
    <n v="60000"/>
    <n v="1"/>
    <x v="1"/>
    <s v="Skilled Manual"/>
    <x v="0"/>
    <x v="1"/>
    <x v="1"/>
    <x v="2"/>
    <x v="0"/>
    <n v="45"/>
    <x v="1"/>
  </r>
  <r>
    <n v="18423"/>
    <x v="1"/>
    <x v="1"/>
    <n v="80000"/>
    <n v="2"/>
    <x v="3"/>
    <s v="Skilled Manual"/>
    <x v="1"/>
    <x v="2"/>
    <x v="3"/>
    <x v="2"/>
    <x v="0"/>
    <n v="52"/>
    <x v="0"/>
  </r>
  <r>
    <n v="22743"/>
    <x v="0"/>
    <x v="0"/>
    <n v="40000"/>
    <n v="5"/>
    <x v="2"/>
    <s v="Professional"/>
    <x v="0"/>
    <x v="2"/>
    <x v="4"/>
    <x v="2"/>
    <x v="1"/>
    <n v="60"/>
    <x v="0"/>
  </r>
  <r>
    <n v="25343"/>
    <x v="1"/>
    <x v="0"/>
    <n v="20000"/>
    <n v="3"/>
    <x v="3"/>
    <s v="Clerical"/>
    <x v="0"/>
    <x v="2"/>
    <x v="3"/>
    <x v="2"/>
    <x v="0"/>
    <n v="50"/>
    <x v="0"/>
  </r>
  <r>
    <n v="13390"/>
    <x v="0"/>
    <x v="0"/>
    <n v="70000"/>
    <n v="4"/>
    <x v="1"/>
    <s v="Professional"/>
    <x v="1"/>
    <x v="1"/>
    <x v="3"/>
    <x v="2"/>
    <x v="1"/>
    <n v="56"/>
    <x v="0"/>
  </r>
  <r>
    <n v="17482"/>
    <x v="1"/>
    <x v="0"/>
    <n v="40000"/>
    <n v="0"/>
    <x v="3"/>
    <s v="Clerical"/>
    <x v="0"/>
    <x v="2"/>
    <x v="2"/>
    <x v="2"/>
    <x v="3"/>
    <n v="29"/>
    <x v="0"/>
  </r>
  <r>
    <n v="13176"/>
    <x v="1"/>
    <x v="1"/>
    <n v="130000"/>
    <n v="0"/>
    <x v="4"/>
    <s v="Management"/>
    <x v="1"/>
    <x v="2"/>
    <x v="0"/>
    <x v="2"/>
    <x v="2"/>
    <n v="38"/>
    <x v="1"/>
  </r>
  <r>
    <n v="20504"/>
    <x v="0"/>
    <x v="0"/>
    <n v="40000"/>
    <n v="5"/>
    <x v="2"/>
    <s v="Professional"/>
    <x v="1"/>
    <x v="2"/>
    <x v="1"/>
    <x v="2"/>
    <x v="1"/>
    <n v="60"/>
    <x v="0"/>
  </r>
  <r>
    <n v="12205"/>
    <x v="1"/>
    <x v="0"/>
    <n v="130000"/>
    <n v="2"/>
    <x v="0"/>
    <s v="Management"/>
    <x v="1"/>
    <x v="3"/>
    <x v="0"/>
    <x v="2"/>
    <x v="1"/>
    <n v="67"/>
    <x v="0"/>
  </r>
  <r>
    <n v="16751"/>
    <x v="0"/>
    <x v="1"/>
    <n v="60000"/>
    <n v="0"/>
    <x v="1"/>
    <s v="Skilled Manual"/>
    <x v="0"/>
    <x v="1"/>
    <x v="2"/>
    <x v="2"/>
    <x v="2"/>
    <n v="32"/>
    <x v="1"/>
  </r>
  <r>
    <n v="21613"/>
    <x v="1"/>
    <x v="1"/>
    <n v="50000"/>
    <n v="2"/>
    <x v="0"/>
    <s v="Skilled Manual"/>
    <x v="1"/>
    <x v="1"/>
    <x v="0"/>
    <x v="2"/>
    <x v="2"/>
    <n v="39"/>
    <x v="1"/>
  </r>
  <r>
    <n v="24801"/>
    <x v="1"/>
    <x v="1"/>
    <n v="60000"/>
    <n v="1"/>
    <x v="4"/>
    <s v="Professional"/>
    <x v="0"/>
    <x v="0"/>
    <x v="1"/>
    <x v="2"/>
    <x v="2"/>
    <n v="35"/>
    <x v="1"/>
  </r>
  <r>
    <n v="17519"/>
    <x v="0"/>
    <x v="0"/>
    <n v="60000"/>
    <n v="0"/>
    <x v="1"/>
    <s v="Professional"/>
    <x v="0"/>
    <x v="2"/>
    <x v="2"/>
    <x v="2"/>
    <x v="2"/>
    <n v="32"/>
    <x v="0"/>
  </r>
  <r>
    <n v="18347"/>
    <x v="1"/>
    <x v="0"/>
    <n v="30000"/>
    <n v="0"/>
    <x v="1"/>
    <s v="Skilled Manual"/>
    <x v="1"/>
    <x v="1"/>
    <x v="3"/>
    <x v="2"/>
    <x v="2"/>
    <n v="31"/>
    <x v="0"/>
  </r>
  <r>
    <n v="29052"/>
    <x v="1"/>
    <x v="1"/>
    <n v="40000"/>
    <n v="0"/>
    <x v="1"/>
    <s v="Skilled Manual"/>
    <x v="0"/>
    <x v="1"/>
    <x v="2"/>
    <x v="2"/>
    <x v="3"/>
    <n v="27"/>
    <x v="0"/>
  </r>
  <r>
    <n v="11745"/>
    <x v="0"/>
    <x v="0"/>
    <n v="60000"/>
    <n v="1"/>
    <x v="0"/>
    <s v="Professional"/>
    <x v="0"/>
    <x v="1"/>
    <x v="0"/>
    <x v="2"/>
    <x v="0"/>
    <n v="47"/>
    <x v="1"/>
  </r>
  <r>
    <n v="19147"/>
    <x v="0"/>
    <x v="1"/>
    <n v="40000"/>
    <n v="0"/>
    <x v="0"/>
    <s v="Professional"/>
    <x v="1"/>
    <x v="1"/>
    <x v="0"/>
    <x v="2"/>
    <x v="0"/>
    <n v="42"/>
    <x v="0"/>
  </r>
  <r>
    <n v="19217"/>
    <x v="0"/>
    <x v="1"/>
    <n v="30000"/>
    <n v="2"/>
    <x v="2"/>
    <s v="Skilled Manual"/>
    <x v="0"/>
    <x v="2"/>
    <x v="3"/>
    <x v="2"/>
    <x v="0"/>
    <n v="49"/>
    <x v="0"/>
  </r>
  <r>
    <n v="15839"/>
    <x v="1"/>
    <x v="1"/>
    <n v="30000"/>
    <n v="0"/>
    <x v="1"/>
    <s v="Skilled Manual"/>
    <x v="0"/>
    <x v="1"/>
    <x v="2"/>
    <x v="2"/>
    <x v="2"/>
    <n v="32"/>
    <x v="0"/>
  </r>
  <r>
    <n v="13714"/>
    <x v="0"/>
    <x v="0"/>
    <n v="20000"/>
    <n v="2"/>
    <x v="2"/>
    <s v="Manual"/>
    <x v="1"/>
    <x v="2"/>
    <x v="3"/>
    <x v="2"/>
    <x v="0"/>
    <n v="53"/>
    <x v="1"/>
  </r>
  <r>
    <n v="22330"/>
    <x v="0"/>
    <x v="1"/>
    <n v="50000"/>
    <n v="0"/>
    <x v="4"/>
    <s v="Skilled Manual"/>
    <x v="0"/>
    <x v="0"/>
    <x v="3"/>
    <x v="2"/>
    <x v="2"/>
    <n v="32"/>
    <x v="1"/>
  </r>
  <r>
    <n v="18783"/>
    <x v="1"/>
    <x v="1"/>
    <n v="80000"/>
    <n v="0"/>
    <x v="0"/>
    <s v="Management"/>
    <x v="1"/>
    <x v="1"/>
    <x v="0"/>
    <x v="2"/>
    <x v="2"/>
    <n v="38"/>
    <x v="1"/>
  </r>
  <r>
    <n v="25041"/>
    <x v="1"/>
    <x v="1"/>
    <n v="40000"/>
    <n v="0"/>
    <x v="2"/>
    <s v="Skilled Manual"/>
    <x v="0"/>
    <x v="2"/>
    <x v="2"/>
    <x v="2"/>
    <x v="2"/>
    <n v="31"/>
    <x v="0"/>
  </r>
  <r>
    <n v="22046"/>
    <x v="1"/>
    <x v="0"/>
    <n v="80000"/>
    <n v="0"/>
    <x v="0"/>
    <s v="Management"/>
    <x v="1"/>
    <x v="1"/>
    <x v="0"/>
    <x v="2"/>
    <x v="2"/>
    <n v="38"/>
    <x v="1"/>
  </r>
  <r>
    <n v="28052"/>
    <x v="0"/>
    <x v="1"/>
    <n v="60000"/>
    <n v="2"/>
    <x v="2"/>
    <s v="Professional"/>
    <x v="0"/>
    <x v="2"/>
    <x v="4"/>
    <x v="2"/>
    <x v="1"/>
    <n v="55"/>
    <x v="0"/>
  </r>
  <r>
    <n v="26693"/>
    <x v="0"/>
    <x v="1"/>
    <n v="70000"/>
    <n v="3"/>
    <x v="1"/>
    <s v="Professional"/>
    <x v="0"/>
    <x v="1"/>
    <x v="2"/>
    <x v="2"/>
    <x v="0"/>
    <n v="49"/>
    <x v="0"/>
  </r>
  <r>
    <n v="24955"/>
    <x v="1"/>
    <x v="1"/>
    <n v="30000"/>
    <n v="5"/>
    <x v="3"/>
    <s v="Skilled Manual"/>
    <x v="0"/>
    <x v="4"/>
    <x v="4"/>
    <x v="2"/>
    <x v="1"/>
    <n v="60"/>
    <x v="1"/>
  </r>
  <r>
    <n v="26065"/>
    <x v="1"/>
    <x v="0"/>
    <n v="110000"/>
    <n v="3"/>
    <x v="0"/>
    <s v="Management"/>
    <x v="1"/>
    <x v="3"/>
    <x v="3"/>
    <x v="2"/>
    <x v="0"/>
    <n v="42"/>
    <x v="0"/>
  </r>
  <r>
    <n v="13942"/>
    <x v="0"/>
    <x v="1"/>
    <n v="60000"/>
    <n v="1"/>
    <x v="1"/>
    <s v="Skilled Manual"/>
    <x v="0"/>
    <x v="1"/>
    <x v="0"/>
    <x v="2"/>
    <x v="0"/>
    <n v="46"/>
    <x v="0"/>
  </r>
  <r>
    <n v="11219"/>
    <x v="0"/>
    <x v="1"/>
    <n v="60000"/>
    <n v="2"/>
    <x v="2"/>
    <s v="Professional"/>
    <x v="0"/>
    <x v="2"/>
    <x v="4"/>
    <x v="2"/>
    <x v="1"/>
    <n v="55"/>
    <x v="0"/>
  </r>
  <r>
    <n v="22118"/>
    <x v="1"/>
    <x v="0"/>
    <n v="70000"/>
    <n v="3"/>
    <x v="4"/>
    <s v="Management"/>
    <x v="0"/>
    <x v="2"/>
    <x v="2"/>
    <x v="2"/>
    <x v="0"/>
    <n v="53"/>
    <x v="1"/>
  </r>
  <r>
    <n v="23197"/>
    <x v="0"/>
    <x v="1"/>
    <n v="50000"/>
    <n v="3"/>
    <x v="0"/>
    <s v="Skilled Manual"/>
    <x v="0"/>
    <x v="2"/>
    <x v="1"/>
    <x v="2"/>
    <x v="0"/>
    <n v="40"/>
    <x v="0"/>
  </r>
  <r>
    <n v="14883"/>
    <x v="0"/>
    <x v="0"/>
    <n v="30000"/>
    <n v="1"/>
    <x v="0"/>
    <s v="Skilled Manual"/>
    <x v="0"/>
    <x v="1"/>
    <x v="2"/>
    <x v="2"/>
    <x v="0"/>
    <n v="53"/>
    <x v="1"/>
  </r>
  <r>
    <n v="27279"/>
    <x v="1"/>
    <x v="0"/>
    <n v="70000"/>
    <n v="2"/>
    <x v="0"/>
    <s v="Skilled Manual"/>
    <x v="0"/>
    <x v="0"/>
    <x v="1"/>
    <x v="2"/>
    <x v="2"/>
    <n v="38"/>
    <x v="1"/>
  </r>
  <r>
    <n v="18322"/>
    <x v="1"/>
    <x v="1"/>
    <n v="30000"/>
    <n v="0"/>
    <x v="3"/>
    <s v="Clerical"/>
    <x v="1"/>
    <x v="2"/>
    <x v="0"/>
    <x v="2"/>
    <x v="3"/>
    <n v="26"/>
    <x v="0"/>
  </r>
  <r>
    <n v="15879"/>
    <x v="0"/>
    <x v="1"/>
    <n v="70000"/>
    <n v="5"/>
    <x v="0"/>
    <s v="Management"/>
    <x v="0"/>
    <x v="2"/>
    <x v="1"/>
    <x v="2"/>
    <x v="1"/>
    <n v="61"/>
    <x v="0"/>
  </r>
  <r>
    <n v="28278"/>
    <x v="0"/>
    <x v="1"/>
    <n v="50000"/>
    <n v="2"/>
    <x v="4"/>
    <s v="Management"/>
    <x v="0"/>
    <x v="2"/>
    <x v="2"/>
    <x v="2"/>
    <x v="4"/>
    <n v="71"/>
    <x v="0"/>
  </r>
  <r>
    <n v="24416"/>
    <x v="0"/>
    <x v="1"/>
    <n v="90000"/>
    <n v="4"/>
    <x v="2"/>
    <s v="Professional"/>
    <x v="0"/>
    <x v="2"/>
    <x v="3"/>
    <x v="2"/>
    <x v="0"/>
    <n v="45"/>
    <x v="0"/>
  </r>
  <r>
    <n v="28066"/>
    <x v="0"/>
    <x v="1"/>
    <n v="80000"/>
    <n v="2"/>
    <x v="4"/>
    <s v="Professional"/>
    <x v="0"/>
    <x v="0"/>
    <x v="0"/>
    <x v="2"/>
    <x v="2"/>
    <n v="37"/>
    <x v="1"/>
  </r>
  <r>
    <n v="11275"/>
    <x v="0"/>
    <x v="0"/>
    <n v="80000"/>
    <n v="4"/>
    <x v="4"/>
    <s v="Management"/>
    <x v="0"/>
    <x v="2"/>
    <x v="0"/>
    <x v="2"/>
    <x v="4"/>
    <n v="72"/>
    <x v="1"/>
  </r>
  <r>
    <n v="14872"/>
    <x v="0"/>
    <x v="1"/>
    <n v="30000"/>
    <n v="0"/>
    <x v="4"/>
    <s v="Skilled Manual"/>
    <x v="0"/>
    <x v="0"/>
    <x v="0"/>
    <x v="2"/>
    <x v="2"/>
    <n v="32"/>
    <x v="0"/>
  </r>
  <r>
    <n v="16151"/>
    <x v="0"/>
    <x v="0"/>
    <n v="60000"/>
    <n v="1"/>
    <x v="0"/>
    <s v="Professional"/>
    <x v="0"/>
    <x v="1"/>
    <x v="1"/>
    <x v="2"/>
    <x v="0"/>
    <n v="48"/>
    <x v="1"/>
  </r>
  <r>
    <n v="19731"/>
    <x v="0"/>
    <x v="1"/>
    <n v="80000"/>
    <n v="4"/>
    <x v="4"/>
    <s v="Management"/>
    <x v="0"/>
    <x v="2"/>
    <x v="2"/>
    <x v="2"/>
    <x v="1"/>
    <n v="68"/>
    <x v="0"/>
  </r>
  <r>
    <n v="23801"/>
    <x v="0"/>
    <x v="0"/>
    <n v="20000"/>
    <n v="2"/>
    <x v="3"/>
    <s v="Clerical"/>
    <x v="0"/>
    <x v="2"/>
    <x v="0"/>
    <x v="2"/>
    <x v="0"/>
    <n v="49"/>
    <x v="0"/>
  </r>
  <r>
    <n v="11807"/>
    <x v="0"/>
    <x v="1"/>
    <n v="70000"/>
    <n v="3"/>
    <x v="4"/>
    <s v="Professional"/>
    <x v="0"/>
    <x v="0"/>
    <x v="1"/>
    <x v="2"/>
    <x v="2"/>
    <n v="34"/>
    <x v="0"/>
  </r>
  <r>
    <n v="11622"/>
    <x v="0"/>
    <x v="1"/>
    <n v="50000"/>
    <n v="0"/>
    <x v="4"/>
    <s v="Skilled Manual"/>
    <x v="0"/>
    <x v="0"/>
    <x v="0"/>
    <x v="2"/>
    <x v="2"/>
    <n v="32"/>
    <x v="0"/>
  </r>
  <r>
    <n v="26597"/>
    <x v="1"/>
    <x v="0"/>
    <n v="60000"/>
    <n v="4"/>
    <x v="0"/>
    <s v="Skilled Manual"/>
    <x v="1"/>
    <x v="2"/>
    <x v="0"/>
    <x v="2"/>
    <x v="0"/>
    <n v="42"/>
    <x v="0"/>
  </r>
  <r>
    <n v="27074"/>
    <x v="0"/>
    <x v="0"/>
    <n v="70000"/>
    <n v="1"/>
    <x v="4"/>
    <s v="Skilled Manual"/>
    <x v="0"/>
    <x v="0"/>
    <x v="0"/>
    <x v="2"/>
    <x v="2"/>
    <n v="35"/>
    <x v="1"/>
  </r>
  <r>
    <n v="19228"/>
    <x v="0"/>
    <x v="0"/>
    <n v="40000"/>
    <n v="2"/>
    <x v="1"/>
    <s v="Clerical"/>
    <x v="0"/>
    <x v="1"/>
    <x v="0"/>
    <x v="2"/>
    <x v="0"/>
    <n v="48"/>
    <x v="0"/>
  </r>
  <r>
    <n v="13415"/>
    <x v="1"/>
    <x v="1"/>
    <n v="100000"/>
    <n v="1"/>
    <x v="4"/>
    <s v="Management"/>
    <x v="0"/>
    <x v="4"/>
    <x v="1"/>
    <x v="2"/>
    <x v="4"/>
    <n v="73"/>
    <x v="1"/>
  </r>
  <r>
    <n v="17000"/>
    <x v="1"/>
    <x v="0"/>
    <n v="70000"/>
    <n v="4"/>
    <x v="0"/>
    <s v="Skilled Manual"/>
    <x v="0"/>
    <x v="2"/>
    <x v="1"/>
    <x v="2"/>
    <x v="0"/>
    <n v="43"/>
    <x v="1"/>
  </r>
  <r>
    <n v="14569"/>
    <x v="0"/>
    <x v="1"/>
    <n v="60000"/>
    <n v="1"/>
    <x v="4"/>
    <s v="Professional"/>
    <x v="0"/>
    <x v="0"/>
    <x v="0"/>
    <x v="2"/>
    <x v="2"/>
    <n v="35"/>
    <x v="0"/>
  </r>
  <r>
    <n v="13873"/>
    <x v="0"/>
    <x v="1"/>
    <n v="70000"/>
    <n v="3"/>
    <x v="4"/>
    <s v="Professional"/>
    <x v="0"/>
    <x v="0"/>
    <x v="0"/>
    <x v="2"/>
    <x v="2"/>
    <n v="35"/>
    <x v="1"/>
  </r>
  <r>
    <n v="20401"/>
    <x v="0"/>
    <x v="0"/>
    <n v="50000"/>
    <n v="4"/>
    <x v="0"/>
    <s v="Management"/>
    <x v="0"/>
    <x v="2"/>
    <x v="3"/>
    <x v="2"/>
    <x v="1"/>
    <n v="64"/>
    <x v="1"/>
  </r>
  <r>
    <n v="21583"/>
    <x v="0"/>
    <x v="0"/>
    <n v="50000"/>
    <n v="1"/>
    <x v="0"/>
    <s v="Skilled Manual"/>
    <x v="0"/>
    <x v="0"/>
    <x v="0"/>
    <x v="2"/>
    <x v="2"/>
    <n v="34"/>
    <x v="1"/>
  </r>
  <r>
    <n v="12029"/>
    <x v="0"/>
    <x v="1"/>
    <n v="30000"/>
    <n v="0"/>
    <x v="3"/>
    <s v="Clerical"/>
    <x v="1"/>
    <x v="2"/>
    <x v="0"/>
    <x v="2"/>
    <x v="3"/>
    <n v="28"/>
    <x v="0"/>
  </r>
  <r>
    <n v="18066"/>
    <x v="1"/>
    <x v="1"/>
    <n v="70000"/>
    <n v="5"/>
    <x v="0"/>
    <s v="Management"/>
    <x v="0"/>
    <x v="4"/>
    <x v="4"/>
    <x v="2"/>
    <x v="1"/>
    <n v="60"/>
    <x v="1"/>
  </r>
  <r>
    <n v="28192"/>
    <x v="0"/>
    <x v="0"/>
    <n v="70000"/>
    <n v="5"/>
    <x v="4"/>
    <s v="Professional"/>
    <x v="0"/>
    <x v="4"/>
    <x v="4"/>
    <x v="2"/>
    <x v="0"/>
    <n v="46"/>
    <x v="0"/>
  </r>
  <r>
    <n v="16122"/>
    <x v="0"/>
    <x v="1"/>
    <n v="40000"/>
    <n v="4"/>
    <x v="2"/>
    <s v="Skilled Manual"/>
    <x v="0"/>
    <x v="2"/>
    <x v="0"/>
    <x v="2"/>
    <x v="0"/>
    <n v="44"/>
    <x v="1"/>
  </r>
  <r>
    <n v="18607"/>
    <x v="1"/>
    <x v="0"/>
    <n v="60000"/>
    <n v="4"/>
    <x v="0"/>
    <s v="Skilled Manual"/>
    <x v="0"/>
    <x v="2"/>
    <x v="1"/>
    <x v="2"/>
    <x v="0"/>
    <n v="42"/>
    <x v="1"/>
  </r>
  <r>
    <n v="28858"/>
    <x v="1"/>
    <x v="1"/>
    <n v="80000"/>
    <n v="3"/>
    <x v="0"/>
    <s v="Skilled Manual"/>
    <x v="0"/>
    <x v="0"/>
    <x v="1"/>
    <x v="2"/>
    <x v="0"/>
    <n v="40"/>
    <x v="0"/>
  </r>
  <r>
    <n v="14432"/>
    <x v="1"/>
    <x v="1"/>
    <n v="90000"/>
    <n v="4"/>
    <x v="4"/>
    <s v="Management"/>
    <x v="0"/>
    <x v="1"/>
    <x v="2"/>
    <x v="2"/>
    <x v="4"/>
    <n v="73"/>
    <x v="0"/>
  </r>
  <r>
    <n v="26305"/>
    <x v="1"/>
    <x v="0"/>
    <n v="60000"/>
    <n v="2"/>
    <x v="0"/>
    <s v="Skilled Manual"/>
    <x v="1"/>
    <x v="0"/>
    <x v="0"/>
    <x v="2"/>
    <x v="2"/>
    <n v="36"/>
    <x v="1"/>
  </r>
  <r>
    <n v="22050"/>
    <x v="1"/>
    <x v="1"/>
    <n v="90000"/>
    <n v="4"/>
    <x v="0"/>
    <s v="Management"/>
    <x v="0"/>
    <x v="1"/>
    <x v="3"/>
    <x v="2"/>
    <x v="2"/>
    <n v="38"/>
    <x v="1"/>
  </r>
  <r>
    <n v="25394"/>
    <x v="0"/>
    <x v="1"/>
    <n v="60000"/>
    <n v="1"/>
    <x v="4"/>
    <s v="Professional"/>
    <x v="0"/>
    <x v="0"/>
    <x v="1"/>
    <x v="2"/>
    <x v="2"/>
    <n v="34"/>
    <x v="1"/>
  </r>
  <r>
    <n v="19747"/>
    <x v="0"/>
    <x v="1"/>
    <n v="50000"/>
    <n v="4"/>
    <x v="0"/>
    <s v="Management"/>
    <x v="0"/>
    <x v="2"/>
    <x v="4"/>
    <x v="2"/>
    <x v="1"/>
    <n v="63"/>
    <x v="0"/>
  </r>
  <r>
    <n v="23195"/>
    <x v="1"/>
    <x v="1"/>
    <n v="50000"/>
    <n v="3"/>
    <x v="0"/>
    <s v="Skilled Manual"/>
    <x v="0"/>
    <x v="2"/>
    <x v="1"/>
    <x v="2"/>
    <x v="0"/>
    <n v="41"/>
    <x v="1"/>
  </r>
  <r>
    <n v="21695"/>
    <x v="0"/>
    <x v="1"/>
    <n v="60000"/>
    <n v="0"/>
    <x v="4"/>
    <s v="Skilled Manual"/>
    <x v="0"/>
    <x v="0"/>
    <x v="3"/>
    <x v="2"/>
    <x v="2"/>
    <n v="39"/>
    <x v="1"/>
  </r>
  <r>
    <n v="13934"/>
    <x v="0"/>
    <x v="1"/>
    <n v="40000"/>
    <n v="4"/>
    <x v="2"/>
    <s v="Skilled Manual"/>
    <x v="0"/>
    <x v="2"/>
    <x v="1"/>
    <x v="2"/>
    <x v="0"/>
    <n v="46"/>
    <x v="0"/>
  </r>
  <r>
    <n v="13337"/>
    <x v="0"/>
    <x v="0"/>
    <n v="80000"/>
    <n v="5"/>
    <x v="0"/>
    <s v="Management"/>
    <x v="0"/>
    <x v="2"/>
    <x v="2"/>
    <x v="2"/>
    <x v="1"/>
    <n v="64"/>
    <x v="0"/>
  </r>
  <r>
    <n v="27190"/>
    <x v="0"/>
    <x v="0"/>
    <n v="40000"/>
    <n v="3"/>
    <x v="1"/>
    <s v="Clerical"/>
    <x v="0"/>
    <x v="1"/>
    <x v="3"/>
    <x v="2"/>
    <x v="2"/>
    <n v="32"/>
    <x v="0"/>
  </r>
  <r>
    <n v="28657"/>
    <x v="1"/>
    <x v="1"/>
    <n v="60000"/>
    <n v="2"/>
    <x v="0"/>
    <s v="Skilled Manual"/>
    <x v="0"/>
    <x v="0"/>
    <x v="1"/>
    <x v="2"/>
    <x v="2"/>
    <n v="36"/>
    <x v="1"/>
  </r>
  <r>
    <n v="21713"/>
    <x v="1"/>
    <x v="1"/>
    <n v="80000"/>
    <n v="5"/>
    <x v="4"/>
    <s v="Skilled Manual"/>
    <x v="1"/>
    <x v="0"/>
    <x v="0"/>
    <x v="2"/>
    <x v="0"/>
    <n v="47"/>
    <x v="0"/>
  </r>
  <r>
    <n v="21752"/>
    <x v="0"/>
    <x v="1"/>
    <n v="60000"/>
    <n v="3"/>
    <x v="4"/>
    <s v="Management"/>
    <x v="0"/>
    <x v="2"/>
    <x v="4"/>
    <x v="2"/>
    <x v="1"/>
    <n v="64"/>
    <x v="0"/>
  </r>
  <r>
    <n v="27273"/>
    <x v="1"/>
    <x v="1"/>
    <n v="70000"/>
    <n v="3"/>
    <x v="4"/>
    <s v="Professional"/>
    <x v="1"/>
    <x v="0"/>
    <x v="0"/>
    <x v="2"/>
    <x v="2"/>
    <n v="35"/>
    <x v="1"/>
  </r>
  <r>
    <n v="22719"/>
    <x v="1"/>
    <x v="1"/>
    <n v="110000"/>
    <n v="3"/>
    <x v="0"/>
    <s v="Management"/>
    <x v="0"/>
    <x v="3"/>
    <x v="1"/>
    <x v="2"/>
    <x v="0"/>
    <n v="40"/>
    <x v="1"/>
  </r>
  <r>
    <n v="22042"/>
    <x v="0"/>
    <x v="0"/>
    <n v="70000"/>
    <n v="0"/>
    <x v="1"/>
    <s v="Skilled Manual"/>
    <x v="0"/>
    <x v="2"/>
    <x v="2"/>
    <x v="2"/>
    <x v="2"/>
    <n v="34"/>
    <x v="1"/>
  </r>
  <r>
    <n v="21451"/>
    <x v="0"/>
    <x v="0"/>
    <n v="40000"/>
    <n v="4"/>
    <x v="2"/>
    <s v="Professional"/>
    <x v="0"/>
    <x v="2"/>
    <x v="4"/>
    <x v="2"/>
    <x v="1"/>
    <n v="61"/>
    <x v="0"/>
  </r>
  <r>
    <n v="20754"/>
    <x v="0"/>
    <x v="1"/>
    <n v="30000"/>
    <n v="2"/>
    <x v="2"/>
    <s v="Skilled Manual"/>
    <x v="0"/>
    <x v="2"/>
    <x v="3"/>
    <x v="2"/>
    <x v="0"/>
    <n v="51"/>
    <x v="0"/>
  </r>
  <r>
    <n v="12153"/>
    <x v="1"/>
    <x v="0"/>
    <n v="70000"/>
    <n v="3"/>
    <x v="1"/>
    <s v="Professional"/>
    <x v="0"/>
    <x v="1"/>
    <x v="2"/>
    <x v="2"/>
    <x v="0"/>
    <n v="49"/>
    <x v="1"/>
  </r>
  <r>
    <n v="16895"/>
    <x v="0"/>
    <x v="0"/>
    <n v="40000"/>
    <n v="3"/>
    <x v="1"/>
    <s v="Professional"/>
    <x v="1"/>
    <x v="2"/>
    <x v="3"/>
    <x v="2"/>
    <x v="0"/>
    <n v="54"/>
    <x v="1"/>
  </r>
  <r>
    <n v="26728"/>
    <x v="1"/>
    <x v="1"/>
    <n v="70000"/>
    <n v="3"/>
    <x v="4"/>
    <s v="Management"/>
    <x v="1"/>
    <x v="2"/>
    <x v="3"/>
    <x v="2"/>
    <x v="0"/>
    <n v="53"/>
    <x v="1"/>
  </r>
  <r>
    <n v="11090"/>
    <x v="1"/>
    <x v="1"/>
    <n v="90000"/>
    <n v="2"/>
    <x v="1"/>
    <s v="Professional"/>
    <x v="0"/>
    <x v="1"/>
    <x v="1"/>
    <x v="2"/>
    <x v="0"/>
    <n v="48"/>
    <x v="1"/>
  </r>
  <r>
    <n v="15862"/>
    <x v="1"/>
    <x v="0"/>
    <n v="50000"/>
    <n v="0"/>
    <x v="4"/>
    <s v="Skilled Manual"/>
    <x v="0"/>
    <x v="0"/>
    <x v="3"/>
    <x v="2"/>
    <x v="2"/>
    <n v="33"/>
    <x v="1"/>
  </r>
  <r>
    <n v="26495"/>
    <x v="1"/>
    <x v="0"/>
    <n v="40000"/>
    <n v="2"/>
    <x v="2"/>
    <s v="Professional"/>
    <x v="0"/>
    <x v="2"/>
    <x v="4"/>
    <x v="2"/>
    <x v="1"/>
    <n v="57"/>
    <x v="0"/>
  </r>
  <r>
    <n v="11823"/>
    <x v="0"/>
    <x v="0"/>
    <n v="70000"/>
    <n v="0"/>
    <x v="4"/>
    <s v="Professional"/>
    <x v="0"/>
    <x v="0"/>
    <x v="1"/>
    <x v="2"/>
    <x v="2"/>
    <n v="39"/>
    <x v="0"/>
  </r>
  <r>
    <n v="23449"/>
    <x v="0"/>
    <x v="1"/>
    <n v="60000"/>
    <n v="2"/>
    <x v="2"/>
    <s v="Professional"/>
    <x v="0"/>
    <x v="2"/>
    <x v="2"/>
    <x v="2"/>
    <x v="0"/>
    <n v="48"/>
    <x v="0"/>
  </r>
  <r>
    <n v="23459"/>
    <x v="0"/>
    <x v="1"/>
    <n v="60000"/>
    <n v="2"/>
    <x v="2"/>
    <s v="Professional"/>
    <x v="0"/>
    <x v="2"/>
    <x v="2"/>
    <x v="2"/>
    <x v="0"/>
    <n v="50"/>
    <x v="0"/>
  </r>
  <r>
    <n v="19543"/>
    <x v="0"/>
    <x v="1"/>
    <n v="70000"/>
    <n v="5"/>
    <x v="4"/>
    <s v="Professional"/>
    <x v="1"/>
    <x v="4"/>
    <x v="4"/>
    <x v="2"/>
    <x v="0"/>
    <n v="47"/>
    <x v="0"/>
  </r>
  <r>
    <n v="14914"/>
    <x v="0"/>
    <x v="0"/>
    <n v="40000"/>
    <n v="1"/>
    <x v="1"/>
    <s v="Clerical"/>
    <x v="0"/>
    <x v="1"/>
    <x v="3"/>
    <x v="2"/>
    <x v="0"/>
    <n v="49"/>
    <x v="1"/>
  </r>
  <r>
    <n v="12033"/>
    <x v="1"/>
    <x v="0"/>
    <n v="40000"/>
    <n v="0"/>
    <x v="2"/>
    <s v="Skilled Manual"/>
    <x v="1"/>
    <x v="2"/>
    <x v="0"/>
    <x v="2"/>
    <x v="3"/>
    <n v="27"/>
    <x v="1"/>
  </r>
  <r>
    <n v="11941"/>
    <x v="1"/>
    <x v="1"/>
    <n v="60000"/>
    <n v="0"/>
    <x v="1"/>
    <s v="Skilled Manual"/>
    <x v="0"/>
    <x v="0"/>
    <x v="2"/>
    <x v="2"/>
    <x v="3"/>
    <n v="29"/>
    <x v="0"/>
  </r>
  <r>
    <n v="14389"/>
    <x v="0"/>
    <x v="1"/>
    <n v="60000"/>
    <n v="2"/>
    <x v="0"/>
    <s v="Management"/>
    <x v="0"/>
    <x v="0"/>
    <x v="1"/>
    <x v="2"/>
    <x v="1"/>
    <n v="59"/>
    <x v="0"/>
  </r>
  <r>
    <n v="18050"/>
    <x v="0"/>
    <x v="0"/>
    <n v="60000"/>
    <n v="1"/>
    <x v="1"/>
    <s v="Skilled Manual"/>
    <x v="0"/>
    <x v="1"/>
    <x v="0"/>
    <x v="2"/>
    <x v="0"/>
    <n v="45"/>
    <x v="1"/>
  </r>
  <r>
    <n v="19856"/>
    <x v="0"/>
    <x v="0"/>
    <n v="60000"/>
    <n v="4"/>
    <x v="0"/>
    <s v="Management"/>
    <x v="0"/>
    <x v="2"/>
    <x v="1"/>
    <x v="2"/>
    <x v="1"/>
    <n v="60"/>
    <x v="0"/>
  </r>
  <r>
    <n v="11663"/>
    <x v="0"/>
    <x v="1"/>
    <n v="70000"/>
    <n v="4"/>
    <x v="4"/>
    <s v="Professional"/>
    <x v="0"/>
    <x v="0"/>
    <x v="0"/>
    <x v="2"/>
    <x v="2"/>
    <n v="36"/>
    <x v="1"/>
  </r>
  <r>
    <n v="27740"/>
    <x v="0"/>
    <x v="0"/>
    <n v="40000"/>
    <n v="0"/>
    <x v="2"/>
    <s v="Skilled Manual"/>
    <x v="0"/>
    <x v="2"/>
    <x v="2"/>
    <x v="2"/>
    <x v="3"/>
    <n v="27"/>
    <x v="0"/>
  </r>
  <r>
    <n v="23455"/>
    <x v="1"/>
    <x v="1"/>
    <n v="80000"/>
    <n v="2"/>
    <x v="3"/>
    <s v="Skilled Manual"/>
    <x v="1"/>
    <x v="2"/>
    <x v="3"/>
    <x v="2"/>
    <x v="0"/>
    <n v="50"/>
    <x v="0"/>
  </r>
  <r>
    <n v="15292"/>
    <x v="1"/>
    <x v="0"/>
    <n v="60000"/>
    <n v="1"/>
    <x v="4"/>
    <s v="Skilled Manual"/>
    <x v="0"/>
    <x v="0"/>
    <x v="3"/>
    <x v="2"/>
    <x v="2"/>
    <n v="35"/>
    <x v="0"/>
  </r>
  <r>
    <n v="21587"/>
    <x v="0"/>
    <x v="0"/>
    <n v="60000"/>
    <n v="1"/>
    <x v="4"/>
    <s v="Skilled Manual"/>
    <x v="0"/>
    <x v="0"/>
    <x v="1"/>
    <x v="2"/>
    <x v="2"/>
    <n v="34"/>
    <x v="1"/>
  </r>
  <r>
    <n v="23513"/>
    <x v="0"/>
    <x v="0"/>
    <n v="40000"/>
    <n v="3"/>
    <x v="1"/>
    <s v="Professional"/>
    <x v="0"/>
    <x v="2"/>
    <x v="2"/>
    <x v="2"/>
    <x v="0"/>
    <n v="54"/>
    <x v="0"/>
  </r>
  <r>
    <n v="24322"/>
    <x v="0"/>
    <x v="0"/>
    <n v="60000"/>
    <n v="4"/>
    <x v="0"/>
    <s v="Skilled Manual"/>
    <x v="1"/>
    <x v="2"/>
    <x v="0"/>
    <x v="2"/>
    <x v="0"/>
    <n v="42"/>
    <x v="0"/>
  </r>
  <r>
    <n v="26298"/>
    <x v="0"/>
    <x v="0"/>
    <n v="50000"/>
    <n v="1"/>
    <x v="0"/>
    <s v="Skilled Manual"/>
    <x v="0"/>
    <x v="0"/>
    <x v="1"/>
    <x v="2"/>
    <x v="2"/>
    <n v="34"/>
    <x v="1"/>
  </r>
  <r>
    <n v="25419"/>
    <x v="1"/>
    <x v="1"/>
    <n v="50000"/>
    <n v="2"/>
    <x v="0"/>
    <s v="Skilled Manual"/>
    <x v="1"/>
    <x v="1"/>
    <x v="0"/>
    <x v="2"/>
    <x v="2"/>
    <n v="38"/>
    <x v="1"/>
  </r>
  <r>
    <n v="13343"/>
    <x v="0"/>
    <x v="0"/>
    <n v="90000"/>
    <n v="5"/>
    <x v="0"/>
    <s v="Management"/>
    <x v="0"/>
    <x v="2"/>
    <x v="3"/>
    <x v="2"/>
    <x v="1"/>
    <n v="63"/>
    <x v="1"/>
  </r>
  <r>
    <n v="11303"/>
    <x v="1"/>
    <x v="0"/>
    <n v="90000"/>
    <n v="4"/>
    <x v="2"/>
    <s v="Professional"/>
    <x v="1"/>
    <x v="4"/>
    <x v="3"/>
    <x v="2"/>
    <x v="0"/>
    <n v="45"/>
    <x v="1"/>
  </r>
  <r>
    <n v="21693"/>
    <x v="1"/>
    <x v="0"/>
    <n v="60000"/>
    <n v="0"/>
    <x v="4"/>
    <s v="Skilled Manual"/>
    <x v="1"/>
    <x v="0"/>
    <x v="0"/>
    <x v="2"/>
    <x v="0"/>
    <n v="40"/>
    <x v="0"/>
  </r>
  <r>
    <n v="28056"/>
    <x v="0"/>
    <x v="1"/>
    <n v="70000"/>
    <n v="2"/>
    <x v="3"/>
    <s v="Skilled Manual"/>
    <x v="0"/>
    <x v="2"/>
    <x v="4"/>
    <x v="2"/>
    <x v="0"/>
    <n v="53"/>
    <x v="0"/>
  </r>
  <r>
    <n v="11788"/>
    <x v="1"/>
    <x v="0"/>
    <n v="70000"/>
    <n v="1"/>
    <x v="4"/>
    <s v="Professional"/>
    <x v="0"/>
    <x v="0"/>
    <x v="1"/>
    <x v="2"/>
    <x v="2"/>
    <n v="34"/>
    <x v="0"/>
  </r>
  <r>
    <n v="22296"/>
    <x v="0"/>
    <x v="1"/>
    <n v="70000"/>
    <n v="0"/>
    <x v="0"/>
    <s v="Professional"/>
    <x v="1"/>
    <x v="1"/>
    <x v="0"/>
    <x v="2"/>
    <x v="2"/>
    <n v="38"/>
    <x v="0"/>
  </r>
  <r>
    <n v="15319"/>
    <x v="0"/>
    <x v="0"/>
    <n v="70000"/>
    <n v="4"/>
    <x v="0"/>
    <s v="Management"/>
    <x v="1"/>
    <x v="1"/>
    <x v="3"/>
    <x v="2"/>
    <x v="1"/>
    <n v="59"/>
    <x v="0"/>
  </r>
  <r>
    <n v="17654"/>
    <x v="1"/>
    <x v="0"/>
    <n v="40000"/>
    <n v="3"/>
    <x v="1"/>
    <s v="Clerical"/>
    <x v="0"/>
    <x v="1"/>
    <x v="3"/>
    <x v="2"/>
    <x v="2"/>
    <n v="30"/>
    <x v="1"/>
  </r>
  <r>
    <n v="14662"/>
    <x v="0"/>
    <x v="1"/>
    <n v="60000"/>
    <n v="1"/>
    <x v="0"/>
    <s v="Professional"/>
    <x v="0"/>
    <x v="1"/>
    <x v="0"/>
    <x v="2"/>
    <x v="0"/>
    <n v="48"/>
    <x v="1"/>
  </r>
  <r>
    <n v="17541"/>
    <x v="0"/>
    <x v="0"/>
    <n v="40000"/>
    <n v="4"/>
    <x v="2"/>
    <s v="Skilled Manual"/>
    <x v="0"/>
    <x v="2"/>
    <x v="1"/>
    <x v="2"/>
    <x v="0"/>
    <n v="43"/>
    <x v="0"/>
  </r>
  <r>
    <n v="13886"/>
    <x v="0"/>
    <x v="0"/>
    <n v="70000"/>
    <n v="4"/>
    <x v="4"/>
    <s v="Professional"/>
    <x v="0"/>
    <x v="0"/>
    <x v="1"/>
    <x v="2"/>
    <x v="2"/>
    <n v="35"/>
    <x v="1"/>
  </r>
  <r>
    <n v="13073"/>
    <x v="0"/>
    <x v="0"/>
    <n v="60000"/>
    <n v="0"/>
    <x v="1"/>
    <s v="Professional"/>
    <x v="0"/>
    <x v="2"/>
    <x v="2"/>
    <x v="2"/>
    <x v="2"/>
    <n v="30"/>
    <x v="0"/>
  </r>
  <r>
    <n v="21940"/>
    <x v="0"/>
    <x v="1"/>
    <n v="90000"/>
    <n v="5"/>
    <x v="4"/>
    <s v="Professional"/>
    <x v="0"/>
    <x v="0"/>
    <x v="0"/>
    <x v="2"/>
    <x v="0"/>
    <n v="47"/>
    <x v="1"/>
  </r>
  <r>
    <n v="20196"/>
    <x v="0"/>
    <x v="1"/>
    <n v="60000"/>
    <n v="1"/>
    <x v="1"/>
    <s v="Skilled Manual"/>
    <x v="0"/>
    <x v="1"/>
    <x v="1"/>
    <x v="2"/>
    <x v="0"/>
    <n v="45"/>
    <x v="1"/>
  </r>
  <r>
    <n v="23491"/>
    <x v="1"/>
    <x v="1"/>
    <n v="100000"/>
    <n v="0"/>
    <x v="1"/>
    <s v="Professional"/>
    <x v="1"/>
    <x v="3"/>
    <x v="3"/>
    <x v="2"/>
    <x v="0"/>
    <n v="45"/>
    <x v="0"/>
  </r>
  <r>
    <n v="16651"/>
    <x v="0"/>
    <x v="0"/>
    <n v="120000"/>
    <n v="2"/>
    <x v="0"/>
    <s v="Management"/>
    <x v="0"/>
    <x v="4"/>
    <x v="2"/>
    <x v="2"/>
    <x v="1"/>
    <n v="62"/>
    <x v="0"/>
  </r>
  <r>
    <n v="16813"/>
    <x v="0"/>
    <x v="1"/>
    <n v="60000"/>
    <n v="2"/>
    <x v="1"/>
    <s v="Professional"/>
    <x v="0"/>
    <x v="2"/>
    <x v="4"/>
    <x v="2"/>
    <x v="1"/>
    <n v="55"/>
    <x v="0"/>
  </r>
  <r>
    <n v="16007"/>
    <x v="0"/>
    <x v="0"/>
    <n v="90000"/>
    <n v="5"/>
    <x v="0"/>
    <s v="Management"/>
    <x v="0"/>
    <x v="2"/>
    <x v="3"/>
    <x v="2"/>
    <x v="1"/>
    <n v="66"/>
    <x v="1"/>
  </r>
  <r>
    <n v="27434"/>
    <x v="1"/>
    <x v="1"/>
    <n v="70000"/>
    <n v="4"/>
    <x v="1"/>
    <s v="Professional"/>
    <x v="0"/>
    <x v="1"/>
    <x v="4"/>
    <x v="2"/>
    <x v="1"/>
    <n v="56"/>
    <x v="0"/>
  </r>
  <r>
    <n v="27756"/>
    <x v="1"/>
    <x v="0"/>
    <n v="50000"/>
    <n v="3"/>
    <x v="0"/>
    <s v="Skilled Manual"/>
    <x v="1"/>
    <x v="1"/>
    <x v="0"/>
    <x v="2"/>
    <x v="0"/>
    <n v="40"/>
    <x v="0"/>
  </r>
  <r>
    <n v="23818"/>
    <x v="0"/>
    <x v="0"/>
    <n v="50000"/>
    <n v="0"/>
    <x v="4"/>
    <s v="Skilled Manual"/>
    <x v="0"/>
    <x v="0"/>
    <x v="3"/>
    <x v="2"/>
    <x v="2"/>
    <n v="33"/>
    <x v="1"/>
  </r>
  <r>
    <n v="19012"/>
    <x v="0"/>
    <x v="1"/>
    <n v="80000"/>
    <n v="3"/>
    <x v="0"/>
    <s v="Management"/>
    <x v="0"/>
    <x v="1"/>
    <x v="3"/>
    <x v="2"/>
    <x v="1"/>
    <n v="56"/>
    <x v="0"/>
  </r>
  <r>
    <n v="18329"/>
    <x v="1"/>
    <x v="1"/>
    <n v="30000"/>
    <n v="0"/>
    <x v="3"/>
    <s v="Clerical"/>
    <x v="1"/>
    <x v="2"/>
    <x v="2"/>
    <x v="2"/>
    <x v="3"/>
    <n v="27"/>
    <x v="0"/>
  </r>
  <r>
    <n v="29037"/>
    <x v="0"/>
    <x v="1"/>
    <n v="60000"/>
    <n v="0"/>
    <x v="4"/>
    <s v="Professional"/>
    <x v="1"/>
    <x v="0"/>
    <x v="0"/>
    <x v="2"/>
    <x v="2"/>
    <n v="39"/>
    <x v="0"/>
  </r>
  <r>
    <n v="26576"/>
    <x v="0"/>
    <x v="0"/>
    <n v="60000"/>
    <n v="0"/>
    <x v="1"/>
    <s v="Skilled Manual"/>
    <x v="0"/>
    <x v="2"/>
    <x v="2"/>
    <x v="2"/>
    <x v="2"/>
    <n v="31"/>
    <x v="0"/>
  </r>
  <r>
    <n v="12192"/>
    <x v="1"/>
    <x v="0"/>
    <n v="60000"/>
    <n v="2"/>
    <x v="3"/>
    <s v="Skilled Manual"/>
    <x v="1"/>
    <x v="2"/>
    <x v="3"/>
    <x v="2"/>
    <x v="0"/>
    <n v="51"/>
    <x v="0"/>
  </r>
  <r>
    <n v="14887"/>
    <x v="0"/>
    <x v="0"/>
    <n v="30000"/>
    <n v="1"/>
    <x v="2"/>
    <s v="Clerical"/>
    <x v="0"/>
    <x v="1"/>
    <x v="2"/>
    <x v="2"/>
    <x v="0"/>
    <n v="52"/>
    <x v="0"/>
  </r>
  <r>
    <n v="11734"/>
    <x v="0"/>
    <x v="1"/>
    <n v="60000"/>
    <n v="1"/>
    <x v="1"/>
    <s v="Skilled Manual"/>
    <x v="1"/>
    <x v="1"/>
    <x v="0"/>
    <x v="2"/>
    <x v="0"/>
    <n v="47"/>
    <x v="0"/>
  </r>
  <r>
    <n v="17462"/>
    <x v="0"/>
    <x v="1"/>
    <n v="70000"/>
    <n v="3"/>
    <x v="4"/>
    <s v="Management"/>
    <x v="0"/>
    <x v="2"/>
    <x v="2"/>
    <x v="2"/>
    <x v="0"/>
    <n v="53"/>
    <x v="1"/>
  </r>
  <r>
    <n v="20659"/>
    <x v="0"/>
    <x v="1"/>
    <n v="70000"/>
    <n v="3"/>
    <x v="4"/>
    <s v="Professional"/>
    <x v="0"/>
    <x v="0"/>
    <x v="0"/>
    <x v="2"/>
    <x v="2"/>
    <n v="35"/>
    <x v="1"/>
  </r>
  <r>
    <n v="28004"/>
    <x v="0"/>
    <x v="0"/>
    <n v="60000"/>
    <n v="3"/>
    <x v="0"/>
    <s v="Management"/>
    <x v="0"/>
    <x v="2"/>
    <x v="4"/>
    <x v="2"/>
    <x v="1"/>
    <n v="66"/>
    <x v="0"/>
  </r>
  <r>
    <n v="19741"/>
    <x v="1"/>
    <x v="0"/>
    <n v="80000"/>
    <n v="4"/>
    <x v="4"/>
    <s v="Management"/>
    <x v="0"/>
    <x v="2"/>
    <x v="2"/>
    <x v="2"/>
    <x v="1"/>
    <n v="65"/>
    <x v="0"/>
  </r>
  <r>
    <n v="17450"/>
    <x v="0"/>
    <x v="1"/>
    <n v="80000"/>
    <n v="5"/>
    <x v="1"/>
    <s v="Professional"/>
    <x v="0"/>
    <x v="4"/>
    <x v="2"/>
    <x v="2"/>
    <x v="0"/>
    <n v="45"/>
    <x v="0"/>
  </r>
  <r>
    <n v="17337"/>
    <x v="1"/>
    <x v="1"/>
    <n v="40000"/>
    <n v="0"/>
    <x v="2"/>
    <s v="Skilled Manual"/>
    <x v="0"/>
    <x v="1"/>
    <x v="2"/>
    <x v="2"/>
    <x v="2"/>
    <n v="31"/>
    <x v="0"/>
  </r>
  <r>
    <n v="18594"/>
    <x v="1"/>
    <x v="0"/>
    <n v="80000"/>
    <n v="3"/>
    <x v="0"/>
    <s v="Skilled Manual"/>
    <x v="0"/>
    <x v="4"/>
    <x v="4"/>
    <x v="2"/>
    <x v="0"/>
    <n v="40"/>
    <x v="1"/>
  </r>
  <r>
    <n v="15982"/>
    <x v="0"/>
    <x v="1"/>
    <n v="110000"/>
    <n v="5"/>
    <x v="1"/>
    <s v="Professional"/>
    <x v="0"/>
    <x v="3"/>
    <x v="1"/>
    <x v="2"/>
    <x v="0"/>
    <n v="46"/>
    <x v="0"/>
  </r>
  <r>
    <n v="28625"/>
    <x v="1"/>
    <x v="1"/>
    <n v="40000"/>
    <n v="2"/>
    <x v="1"/>
    <s v="Clerical"/>
    <x v="1"/>
    <x v="1"/>
    <x v="3"/>
    <x v="2"/>
    <x v="0"/>
    <n v="47"/>
    <x v="1"/>
  </r>
  <r>
    <n v="11269"/>
    <x v="0"/>
    <x v="1"/>
    <n v="130000"/>
    <n v="2"/>
    <x v="4"/>
    <s v="Management"/>
    <x v="0"/>
    <x v="2"/>
    <x v="0"/>
    <x v="2"/>
    <x v="0"/>
    <n v="41"/>
    <x v="0"/>
  </r>
  <r>
    <n v="25148"/>
    <x v="0"/>
    <x v="1"/>
    <n v="60000"/>
    <n v="2"/>
    <x v="2"/>
    <s v="Professional"/>
    <x v="1"/>
    <x v="2"/>
    <x v="3"/>
    <x v="2"/>
    <x v="0"/>
    <n v="48"/>
    <x v="1"/>
  </r>
  <r>
    <n v="13920"/>
    <x v="1"/>
    <x v="0"/>
    <n v="50000"/>
    <n v="4"/>
    <x v="0"/>
    <s v="Skilled Manual"/>
    <x v="0"/>
    <x v="2"/>
    <x v="0"/>
    <x v="2"/>
    <x v="0"/>
    <n v="42"/>
    <x v="0"/>
  </r>
  <r>
    <n v="23704"/>
    <x v="1"/>
    <x v="1"/>
    <n v="40000"/>
    <n v="5"/>
    <x v="2"/>
    <s v="Professional"/>
    <x v="0"/>
    <x v="3"/>
    <x v="4"/>
    <x v="2"/>
    <x v="1"/>
    <n v="60"/>
    <x v="1"/>
  </r>
  <r>
    <n v="28972"/>
    <x v="1"/>
    <x v="0"/>
    <n v="60000"/>
    <n v="3"/>
    <x v="4"/>
    <s v="Management"/>
    <x v="0"/>
    <x v="2"/>
    <x v="4"/>
    <x v="2"/>
    <x v="1"/>
    <n v="66"/>
    <x v="0"/>
  </r>
  <r>
    <n v="22730"/>
    <x v="0"/>
    <x v="1"/>
    <n v="70000"/>
    <n v="5"/>
    <x v="0"/>
    <s v="Management"/>
    <x v="0"/>
    <x v="2"/>
    <x v="4"/>
    <x v="2"/>
    <x v="1"/>
    <n v="63"/>
    <x v="0"/>
  </r>
  <r>
    <n v="29134"/>
    <x v="0"/>
    <x v="1"/>
    <n v="60000"/>
    <n v="4"/>
    <x v="0"/>
    <s v="Skilled Manual"/>
    <x v="1"/>
    <x v="4"/>
    <x v="4"/>
    <x v="2"/>
    <x v="0"/>
    <n v="42"/>
    <x v="0"/>
  </r>
  <r>
    <n v="14332"/>
    <x v="1"/>
    <x v="0"/>
    <n v="30000"/>
    <n v="0"/>
    <x v="2"/>
    <s v="Skilled Manual"/>
    <x v="1"/>
    <x v="2"/>
    <x v="2"/>
    <x v="2"/>
    <x v="3"/>
    <n v="26"/>
    <x v="0"/>
  </r>
  <r>
    <n v="19117"/>
    <x v="1"/>
    <x v="0"/>
    <n v="60000"/>
    <n v="1"/>
    <x v="4"/>
    <s v="Professional"/>
    <x v="0"/>
    <x v="0"/>
    <x v="1"/>
    <x v="2"/>
    <x v="2"/>
    <n v="36"/>
    <x v="1"/>
  </r>
  <r>
    <n v="22864"/>
    <x v="0"/>
    <x v="1"/>
    <n v="90000"/>
    <n v="2"/>
    <x v="1"/>
    <s v="Professional"/>
    <x v="1"/>
    <x v="0"/>
    <x v="2"/>
    <x v="2"/>
    <x v="0"/>
    <n v="49"/>
    <x v="1"/>
  </r>
  <r>
    <n v="11292"/>
    <x v="1"/>
    <x v="1"/>
    <n v="150000"/>
    <n v="1"/>
    <x v="1"/>
    <s v="Professional"/>
    <x v="1"/>
    <x v="4"/>
    <x v="0"/>
    <x v="2"/>
    <x v="0"/>
    <n v="44"/>
    <x v="1"/>
  </r>
  <r>
    <n v="13466"/>
    <x v="0"/>
    <x v="1"/>
    <n v="80000"/>
    <n v="5"/>
    <x v="1"/>
    <s v="Professional"/>
    <x v="0"/>
    <x v="4"/>
    <x v="3"/>
    <x v="2"/>
    <x v="0"/>
    <n v="46"/>
    <x v="0"/>
  </r>
  <r>
    <n v="23731"/>
    <x v="0"/>
    <x v="1"/>
    <n v="60000"/>
    <n v="2"/>
    <x v="2"/>
    <s v="Professional"/>
    <x v="0"/>
    <x v="2"/>
    <x v="1"/>
    <x v="2"/>
    <x v="0"/>
    <n v="54"/>
    <x v="1"/>
  </r>
  <r>
    <n v="28672"/>
    <x v="1"/>
    <x v="1"/>
    <n v="70000"/>
    <n v="4"/>
    <x v="4"/>
    <s v="Professional"/>
    <x v="0"/>
    <x v="0"/>
    <x v="1"/>
    <x v="2"/>
    <x v="2"/>
    <n v="35"/>
    <x v="1"/>
  </r>
  <r>
    <n v="11809"/>
    <x v="0"/>
    <x v="1"/>
    <n v="60000"/>
    <n v="2"/>
    <x v="0"/>
    <s v="Skilled Manual"/>
    <x v="0"/>
    <x v="0"/>
    <x v="0"/>
    <x v="2"/>
    <x v="2"/>
    <n v="38"/>
    <x v="1"/>
  </r>
  <r>
    <n v="19664"/>
    <x v="1"/>
    <x v="1"/>
    <n v="100000"/>
    <n v="3"/>
    <x v="0"/>
    <s v="Management"/>
    <x v="1"/>
    <x v="4"/>
    <x v="3"/>
    <x v="2"/>
    <x v="2"/>
    <n v="38"/>
    <x v="0"/>
  </r>
  <r>
    <n v="12121"/>
    <x v="1"/>
    <x v="1"/>
    <n v="60000"/>
    <n v="3"/>
    <x v="2"/>
    <s v="Professional"/>
    <x v="0"/>
    <x v="2"/>
    <x v="4"/>
    <x v="2"/>
    <x v="0"/>
    <n v="53"/>
    <x v="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n v="12496"/>
    <s v="Married"/>
    <s v="Female"/>
    <n v="40000"/>
    <n v="1"/>
    <x v="0"/>
    <s v="Skilled Manual"/>
    <s v="Yes"/>
    <n v="0"/>
    <s v="0-1 Miles"/>
    <s v="Europe"/>
    <s v="mature adult "/>
    <n v="42"/>
    <x v="0"/>
  </r>
  <r>
    <n v="24107"/>
    <s v="Married"/>
    <s v="Male"/>
    <n v="30000"/>
    <n v="3"/>
    <x v="1"/>
    <s v="Clerical"/>
    <s v="Yes"/>
    <n v="1"/>
    <s v="0-1 Miles"/>
    <s v="Europe"/>
    <s v="mature adult "/>
    <n v="43"/>
    <x v="0"/>
  </r>
  <r>
    <n v="14177"/>
    <s v="Married"/>
    <s v="Male"/>
    <n v="80000"/>
    <n v="5"/>
    <x v="1"/>
    <s v="Professional"/>
    <s v="No"/>
    <n v="2"/>
    <s v="2-5 Miles"/>
    <s v="Europe"/>
    <s v="middle age"/>
    <n v="60"/>
    <x v="0"/>
  </r>
  <r>
    <n v="24381"/>
    <s v="Single"/>
    <s v="Male"/>
    <n v="70000"/>
    <n v="0"/>
    <x v="0"/>
    <s v="Professional"/>
    <s v="Yes"/>
    <n v="1"/>
    <s v="5-10 Miles"/>
    <s v="Pacific"/>
    <s v="mature adult "/>
    <n v="41"/>
    <x v="1"/>
  </r>
  <r>
    <n v="25597"/>
    <s v="Single"/>
    <s v="Male"/>
    <n v="30000"/>
    <n v="0"/>
    <x v="0"/>
    <s v="Clerical"/>
    <s v="No"/>
    <n v="0"/>
    <s v="0-1 Miles"/>
    <s v="Europe"/>
    <s v="adults"/>
    <n v="36"/>
    <x v="1"/>
  </r>
  <r>
    <n v="13507"/>
    <s v="Married"/>
    <s v="Female"/>
    <n v="10000"/>
    <n v="2"/>
    <x v="1"/>
    <s v="Manual"/>
    <s v="Yes"/>
    <n v="0"/>
    <s v="1-2 Miles"/>
    <s v="Europe"/>
    <s v="mature adult "/>
    <n v="50"/>
    <x v="0"/>
  </r>
  <r>
    <n v="27974"/>
    <s v="Single"/>
    <s v="Male"/>
    <n v="160000"/>
    <n v="2"/>
    <x v="2"/>
    <s v="Management"/>
    <s v="Yes"/>
    <n v="4"/>
    <s v="0-1 Miles"/>
    <s v="Pacific"/>
    <s v="adults"/>
    <n v="33"/>
    <x v="1"/>
  </r>
  <r>
    <n v="19364"/>
    <s v="Married"/>
    <s v="Male"/>
    <n v="40000"/>
    <n v="1"/>
    <x v="0"/>
    <s v="Skilled Manual"/>
    <s v="Yes"/>
    <n v="0"/>
    <s v="0-1 Miles"/>
    <s v="Europe"/>
    <s v="mature adult "/>
    <n v="43"/>
    <x v="1"/>
  </r>
  <r>
    <n v="22155"/>
    <s v="Married"/>
    <s v="Male"/>
    <n v="20000"/>
    <n v="2"/>
    <x v="3"/>
    <s v="Clerical"/>
    <s v="Yes"/>
    <n v="2"/>
    <s v="5-10 Miles"/>
    <s v="Pacific"/>
    <s v="middle age"/>
    <n v="58"/>
    <x v="0"/>
  </r>
  <r>
    <n v="19280"/>
    <s v="Married"/>
    <s v="Male"/>
    <n v="120000"/>
    <n v="2"/>
    <x v="1"/>
    <s v="Manual"/>
    <s v="Yes"/>
    <n v="1"/>
    <s v="0-1 Miles"/>
    <s v="Europe"/>
    <s v="mature adult "/>
    <n v="40"/>
    <x v="1"/>
  </r>
  <r>
    <n v="22173"/>
    <s v="Married"/>
    <s v="Female"/>
    <n v="30000"/>
    <n v="3"/>
    <x v="2"/>
    <s v="Skilled Manual"/>
    <s v="No"/>
    <n v="2"/>
    <s v="1-2 Miles"/>
    <s v="Pacific"/>
    <s v="mature adult "/>
    <n v="54"/>
    <x v="1"/>
  </r>
  <r>
    <n v="12697"/>
    <s v="Single"/>
    <s v="Female"/>
    <n v="90000"/>
    <n v="0"/>
    <x v="0"/>
    <s v="Professional"/>
    <s v="No"/>
    <n v="4"/>
    <s v="more than 10 Miles"/>
    <s v="Pacific"/>
    <s v="adults"/>
    <n v="36"/>
    <x v="0"/>
  </r>
  <r>
    <n v="11434"/>
    <s v="Married"/>
    <s v="Male"/>
    <n v="170000"/>
    <n v="5"/>
    <x v="1"/>
    <s v="Professional"/>
    <s v="Yes"/>
    <n v="0"/>
    <s v="0-1 Miles"/>
    <s v="Europe"/>
    <s v="middle age"/>
    <n v="55"/>
    <x v="0"/>
  </r>
  <r>
    <n v="25323"/>
    <s v="Married"/>
    <s v="Male"/>
    <n v="40000"/>
    <n v="2"/>
    <x v="1"/>
    <s v="Clerical"/>
    <s v="Yes"/>
    <n v="1"/>
    <s v="1-2 Miles"/>
    <s v="Europe"/>
    <s v="adults"/>
    <n v="35"/>
    <x v="1"/>
  </r>
  <r>
    <n v="23542"/>
    <s v="Single"/>
    <s v="Male"/>
    <n v="60000"/>
    <n v="1"/>
    <x v="1"/>
    <s v="Skilled Manual"/>
    <s v="No"/>
    <n v="1"/>
    <s v="0-1 Miles"/>
    <s v="Pacific"/>
    <s v="mature adult "/>
    <n v="45"/>
    <x v="1"/>
  </r>
  <r>
    <n v="20870"/>
    <s v="Single"/>
    <s v="Female"/>
    <n v="10000"/>
    <n v="2"/>
    <x v="2"/>
    <s v="Manual"/>
    <s v="Yes"/>
    <n v="1"/>
    <s v="0-1 Miles"/>
    <s v="Europe"/>
    <s v="adults"/>
    <n v="38"/>
    <x v="1"/>
  </r>
  <r>
    <n v="23316"/>
    <s v="Single"/>
    <s v="Male"/>
    <n v="30000"/>
    <n v="3"/>
    <x v="1"/>
    <s v="Clerical"/>
    <s v="No"/>
    <n v="2"/>
    <s v="1-2 Miles"/>
    <s v="Pacific"/>
    <s v="middle age"/>
    <n v="59"/>
    <x v="1"/>
  </r>
  <r>
    <n v="12610"/>
    <s v="Married"/>
    <s v="Female"/>
    <n v="30000"/>
    <n v="1"/>
    <x v="0"/>
    <s v="Clerical"/>
    <s v="Yes"/>
    <n v="0"/>
    <s v="0-1 Miles"/>
    <s v="Europe"/>
    <s v="mature adult "/>
    <n v="47"/>
    <x v="0"/>
  </r>
  <r>
    <n v="27183"/>
    <s v="Single"/>
    <s v="Male"/>
    <n v="40000"/>
    <n v="2"/>
    <x v="1"/>
    <s v="Clerical"/>
    <s v="Yes"/>
    <n v="1"/>
    <s v="1-2 Miles"/>
    <s v="Europe"/>
    <s v="adults"/>
    <n v="35"/>
    <x v="1"/>
  </r>
  <r>
    <n v="25940"/>
    <s v="Single"/>
    <s v="Male"/>
    <n v="20000"/>
    <n v="2"/>
    <x v="3"/>
    <s v="Clerical"/>
    <s v="Yes"/>
    <n v="2"/>
    <s v="5-10 Miles"/>
    <s v="Pacific"/>
    <s v="middle age"/>
    <n v="55"/>
    <x v="1"/>
  </r>
  <r>
    <n v="25598"/>
    <s v="Married"/>
    <s v="Female"/>
    <n v="40000"/>
    <n v="0"/>
    <x v="4"/>
    <s v="Clerical"/>
    <s v="Yes"/>
    <n v="0"/>
    <s v="0-1 Miles"/>
    <s v="Europe"/>
    <s v="adults"/>
    <n v="36"/>
    <x v="1"/>
  </r>
  <r>
    <n v="21564"/>
    <s v="Single"/>
    <s v="Female"/>
    <n v="80000"/>
    <n v="0"/>
    <x v="0"/>
    <s v="Professional"/>
    <s v="Yes"/>
    <n v="4"/>
    <s v="more than 10 Miles"/>
    <s v="Pacific"/>
    <s v="adults"/>
    <n v="35"/>
    <x v="0"/>
  </r>
  <r>
    <n v="19193"/>
    <s v="Single"/>
    <s v="Male"/>
    <n v="40000"/>
    <n v="2"/>
    <x v="1"/>
    <s v="Clerical"/>
    <s v="Yes"/>
    <n v="0"/>
    <s v="1-2 Miles"/>
    <s v="Europe"/>
    <s v="adults"/>
    <n v="35"/>
    <x v="1"/>
  </r>
  <r>
    <n v="26412"/>
    <s v="Married"/>
    <s v="Female"/>
    <n v="80000"/>
    <n v="5"/>
    <x v="2"/>
    <s v="Management"/>
    <s v="No"/>
    <n v="3"/>
    <s v="5-10 Miles"/>
    <s v="Europe"/>
    <s v="middle age"/>
    <n v="56"/>
    <x v="0"/>
  </r>
  <r>
    <n v="27184"/>
    <s v="Single"/>
    <s v="Male"/>
    <n v="40000"/>
    <n v="2"/>
    <x v="1"/>
    <s v="Clerical"/>
    <s v="No"/>
    <n v="1"/>
    <s v="0-1 Miles"/>
    <s v="Europe"/>
    <s v="adults"/>
    <n v="34"/>
    <x v="0"/>
  </r>
  <r>
    <n v="12590"/>
    <s v="Single"/>
    <s v="Male"/>
    <n v="30000"/>
    <n v="1"/>
    <x v="0"/>
    <s v="Clerical"/>
    <s v="Yes"/>
    <n v="0"/>
    <s v="0-1 Miles"/>
    <s v="Europe"/>
    <s v="middle age"/>
    <n v="63"/>
    <x v="0"/>
  </r>
  <r>
    <n v="17841"/>
    <s v="Single"/>
    <s v="Male"/>
    <n v="30000"/>
    <n v="0"/>
    <x v="1"/>
    <s v="Clerical"/>
    <s v="No"/>
    <n v="1"/>
    <s v="0-1 Miles"/>
    <s v="Europe"/>
    <s v="young adults"/>
    <n v="29"/>
    <x v="1"/>
  </r>
  <r>
    <n v="18283"/>
    <s v="Single"/>
    <s v="Female"/>
    <n v="100000"/>
    <n v="0"/>
    <x v="0"/>
    <s v="Professional"/>
    <s v="No"/>
    <n v="1"/>
    <s v="5-10 Miles"/>
    <s v="Pacific"/>
    <s v="mature adult "/>
    <n v="40"/>
    <x v="0"/>
  </r>
  <r>
    <n v="18299"/>
    <s v="Married"/>
    <s v="Male"/>
    <n v="70000"/>
    <n v="5"/>
    <x v="1"/>
    <s v="Skilled Manual"/>
    <s v="Yes"/>
    <n v="2"/>
    <s v="5-10 Miles"/>
    <s v="Pacific"/>
    <s v="mature adult "/>
    <n v="44"/>
    <x v="0"/>
  </r>
  <r>
    <n v="16466"/>
    <s v="Single"/>
    <s v="Female"/>
    <n v="20000"/>
    <n v="0"/>
    <x v="3"/>
    <s v="Manual"/>
    <s v="No"/>
    <n v="2"/>
    <s v="0-1 Miles"/>
    <s v="Europe"/>
    <s v="adults"/>
    <n v="32"/>
    <x v="1"/>
  </r>
  <r>
    <n v="19273"/>
    <s v="Married"/>
    <s v="Female"/>
    <n v="20000"/>
    <n v="2"/>
    <x v="1"/>
    <s v="Manual"/>
    <s v="Yes"/>
    <n v="0"/>
    <s v="0-1 Miles"/>
    <s v="Europe"/>
    <s v="middle age"/>
    <n v="63"/>
    <x v="0"/>
  </r>
  <r>
    <n v="22400"/>
    <s v="Married"/>
    <s v="Male"/>
    <n v="10000"/>
    <n v="0"/>
    <x v="1"/>
    <s v="Manual"/>
    <s v="No"/>
    <n v="1"/>
    <s v="0-1 Miles"/>
    <s v="Pacific"/>
    <s v="young adults"/>
    <n v="26"/>
    <x v="1"/>
  </r>
  <r>
    <n v="20942"/>
    <s v="Single"/>
    <s v="Female"/>
    <n v="20000"/>
    <n v="0"/>
    <x v="2"/>
    <s v="Manual"/>
    <s v="No"/>
    <n v="1"/>
    <s v="5-10 Miles"/>
    <s v="Europe"/>
    <s v="adults"/>
    <n v="31"/>
    <x v="0"/>
  </r>
  <r>
    <n v="18484"/>
    <s v="Single"/>
    <s v="Male"/>
    <n v="80000"/>
    <n v="2"/>
    <x v="2"/>
    <s v="Skilled Manual"/>
    <s v="No"/>
    <n v="2"/>
    <s v="1-2 Miles"/>
    <s v="Pacific"/>
    <s v="mature adult "/>
    <n v="50"/>
    <x v="1"/>
  </r>
  <r>
    <n v="12291"/>
    <s v="Single"/>
    <s v="Male"/>
    <n v="90000"/>
    <n v="5"/>
    <x v="1"/>
    <s v="Professional"/>
    <s v="No"/>
    <n v="2"/>
    <s v="2-5 Miles"/>
    <s v="Europe"/>
    <s v="middle age"/>
    <n v="62"/>
    <x v="1"/>
  </r>
  <r>
    <n v="28380"/>
    <s v="Single"/>
    <s v="Female"/>
    <n v="10000"/>
    <n v="5"/>
    <x v="3"/>
    <s v="Manual"/>
    <s v="No"/>
    <n v="2"/>
    <s v="0-1 Miles"/>
    <s v="Europe"/>
    <s v="mature adult "/>
    <n v="41"/>
    <x v="0"/>
  </r>
  <r>
    <n v="17891"/>
    <s v="Married"/>
    <s v="Female"/>
    <n v="10000"/>
    <n v="2"/>
    <x v="1"/>
    <s v="Manual"/>
    <s v="Yes"/>
    <n v="1"/>
    <s v="0-1 Miles"/>
    <s v="Europe"/>
    <s v="mature adult "/>
    <n v="50"/>
    <x v="1"/>
  </r>
  <r>
    <n v="27832"/>
    <s v="Single"/>
    <s v="Female"/>
    <n v="30000"/>
    <n v="0"/>
    <x v="1"/>
    <s v="Clerical"/>
    <s v="No"/>
    <n v="1"/>
    <s v="2-5 Miles"/>
    <s v="Europe"/>
    <s v="adults"/>
    <n v="30"/>
    <x v="0"/>
  </r>
  <r>
    <n v="26863"/>
    <s v="Single"/>
    <s v="Male"/>
    <n v="20000"/>
    <n v="0"/>
    <x v="2"/>
    <s v="Manual"/>
    <s v="No"/>
    <n v="1"/>
    <s v="2-5 Miles"/>
    <s v="Europe"/>
    <s v="young adults"/>
    <n v="28"/>
    <x v="0"/>
  </r>
  <r>
    <n v="16259"/>
    <s v="Single"/>
    <s v="Female"/>
    <n v="10000"/>
    <n v="4"/>
    <x v="3"/>
    <s v="Manual"/>
    <s v="Yes"/>
    <n v="2"/>
    <s v="0-1 Miles"/>
    <s v="Europe"/>
    <s v="mature adult "/>
    <n v="40"/>
    <x v="1"/>
  </r>
  <r>
    <n v="27803"/>
    <s v="Single"/>
    <s v="Female"/>
    <n v="30000"/>
    <n v="2"/>
    <x v="1"/>
    <s v="Clerical"/>
    <s v="No"/>
    <n v="0"/>
    <s v="0-1 Miles"/>
    <s v="Europe"/>
    <s v="mature adult "/>
    <n v="43"/>
    <x v="0"/>
  </r>
  <r>
    <n v="14347"/>
    <s v="Single"/>
    <s v="Female"/>
    <n v="40000"/>
    <n v="2"/>
    <x v="0"/>
    <s v="Management"/>
    <s v="Yes"/>
    <n v="2"/>
    <s v="5-10 Miles"/>
    <s v="Pacific"/>
    <s v="middle age"/>
    <n v="65"/>
    <x v="1"/>
  </r>
  <r>
    <n v="17703"/>
    <s v="Married"/>
    <s v="Female"/>
    <n v="10000"/>
    <n v="1"/>
    <x v="4"/>
    <s v="Manual"/>
    <s v="Yes"/>
    <n v="0"/>
    <s v="0-1 Miles"/>
    <s v="Europe"/>
    <s v="mature adult "/>
    <n v="40"/>
    <x v="0"/>
  </r>
  <r>
    <n v="17185"/>
    <s v="Married"/>
    <s v="Female"/>
    <n v="170000"/>
    <n v="4"/>
    <x v="1"/>
    <s v="Professional"/>
    <s v="No"/>
    <n v="3"/>
    <s v="5-10 Miles"/>
    <s v="Europe"/>
    <s v="mature adult "/>
    <n v="48"/>
    <x v="1"/>
  </r>
  <r>
    <n v="29380"/>
    <s v="Married"/>
    <s v="Female"/>
    <n v="20000"/>
    <n v="3"/>
    <x v="2"/>
    <s v="Manual"/>
    <s v="Yes"/>
    <n v="0"/>
    <s v="0-1 Miles"/>
    <s v="Europe"/>
    <s v="mature adult "/>
    <n v="41"/>
    <x v="1"/>
  </r>
  <r>
    <n v="23986"/>
    <s v="Married"/>
    <s v="Female"/>
    <n v="20000"/>
    <n v="1"/>
    <x v="0"/>
    <s v="Clerical"/>
    <s v="Yes"/>
    <n v="0"/>
    <s v="0-1 Miles"/>
    <s v="Europe"/>
    <s v="middle age"/>
    <n v="66"/>
    <x v="1"/>
  </r>
  <r>
    <n v="24466"/>
    <s v="Married"/>
    <s v="Female"/>
    <n v="60000"/>
    <n v="1"/>
    <x v="1"/>
    <s v="Skilled Manual"/>
    <s v="Yes"/>
    <n v="1"/>
    <s v="5-10 Miles"/>
    <s v="Pacific"/>
    <s v="mature adult "/>
    <n v="46"/>
    <x v="1"/>
  </r>
  <r>
    <n v="29097"/>
    <s v="Single"/>
    <s v="Female"/>
    <n v="40000"/>
    <n v="2"/>
    <x v="1"/>
    <s v="Skilled Manual"/>
    <s v="Yes"/>
    <n v="2"/>
    <s v="5-10 Miles"/>
    <s v="Pacific"/>
    <s v="mature adult "/>
    <n v="52"/>
    <x v="1"/>
  </r>
  <r>
    <n v="19487"/>
    <s v="Married"/>
    <s v="Male"/>
    <n v="30000"/>
    <n v="2"/>
    <x v="1"/>
    <s v="Clerical"/>
    <s v="No"/>
    <n v="2"/>
    <s v="0-1 Miles"/>
    <s v="Europe"/>
    <s v="mature adult "/>
    <n v="42"/>
    <x v="0"/>
  </r>
  <r>
    <n v="14939"/>
    <s v="Single"/>
    <s v="Male"/>
    <n v="40000"/>
    <n v="0"/>
    <x v="0"/>
    <s v="Clerical"/>
    <s v="Yes"/>
    <n v="0"/>
    <s v="0-1 Miles"/>
    <s v="Europe"/>
    <s v="adults"/>
    <n v="39"/>
    <x v="1"/>
  </r>
  <r>
    <n v="13826"/>
    <s v="Single"/>
    <s v="Female"/>
    <n v="30000"/>
    <n v="0"/>
    <x v="1"/>
    <s v="Clerical"/>
    <s v="No"/>
    <n v="1"/>
    <s v="0-1 Miles"/>
    <s v="Europe"/>
    <s v="young adults"/>
    <n v="28"/>
    <x v="0"/>
  </r>
  <r>
    <n v="20619"/>
    <s v="Single"/>
    <s v="Male"/>
    <n v="80000"/>
    <n v="0"/>
    <x v="0"/>
    <s v="Professional"/>
    <s v="No"/>
    <n v="4"/>
    <s v="more than 10 Miles"/>
    <s v="Pacific"/>
    <s v="adults"/>
    <n v="35"/>
    <x v="0"/>
  </r>
  <r>
    <n v="12558"/>
    <s v="Married"/>
    <s v="Female"/>
    <n v="20000"/>
    <n v="1"/>
    <x v="0"/>
    <s v="Clerical"/>
    <s v="Yes"/>
    <n v="0"/>
    <s v="0-1 Miles"/>
    <s v="Europe"/>
    <s v="middle age"/>
    <n v="65"/>
    <x v="0"/>
  </r>
  <r>
    <n v="24871"/>
    <s v="Single"/>
    <s v="Female"/>
    <n v="90000"/>
    <n v="4"/>
    <x v="2"/>
    <s v="Management"/>
    <s v="No"/>
    <n v="3"/>
    <s v="5-10 Miles"/>
    <s v="Europe"/>
    <s v="middle age"/>
    <n v="56"/>
    <x v="0"/>
  </r>
  <r>
    <n v="17319"/>
    <s v="Single"/>
    <s v="Female"/>
    <n v="70000"/>
    <n v="0"/>
    <x v="0"/>
    <s v="Professional"/>
    <s v="No"/>
    <n v="1"/>
    <s v="5-10 Miles"/>
    <s v="Pacific"/>
    <s v="mature adult "/>
    <n v="42"/>
    <x v="0"/>
  </r>
  <r>
    <n v="28906"/>
    <s v="Married"/>
    <s v="Male"/>
    <n v="80000"/>
    <n v="4"/>
    <x v="2"/>
    <s v="Professional"/>
    <s v="Yes"/>
    <n v="2"/>
    <s v="more than 10 Miles"/>
    <s v="Europe"/>
    <s v="mature adult "/>
    <n v="54"/>
    <x v="0"/>
  </r>
  <r>
    <n v="12808"/>
    <s v="Married"/>
    <s v="Male"/>
    <n v="40000"/>
    <n v="0"/>
    <x v="0"/>
    <s v="Clerical"/>
    <s v="Yes"/>
    <n v="0"/>
    <s v="0-1 Miles"/>
    <s v="Europe"/>
    <s v="adults"/>
    <n v="38"/>
    <x v="1"/>
  </r>
  <r>
    <n v="20567"/>
    <s v="Married"/>
    <s v="Male"/>
    <n v="130000"/>
    <n v="4"/>
    <x v="1"/>
    <s v="Professional"/>
    <s v="No"/>
    <n v="4"/>
    <s v="5-10 Miles"/>
    <s v="Europe"/>
    <s v="middle age"/>
    <n v="61"/>
    <x v="1"/>
  </r>
  <r>
    <n v="25502"/>
    <s v="Married"/>
    <s v="Female"/>
    <n v="40000"/>
    <n v="1"/>
    <x v="0"/>
    <s v="Skilled Manual"/>
    <s v="Yes"/>
    <n v="0"/>
    <s v="0-1 Miles"/>
    <s v="Europe"/>
    <s v="mature adult "/>
    <n v="43"/>
    <x v="1"/>
  </r>
  <r>
    <n v="15580"/>
    <s v="Married"/>
    <s v="Male"/>
    <n v="60000"/>
    <n v="2"/>
    <x v="0"/>
    <s v="Professional"/>
    <s v="Yes"/>
    <n v="1"/>
    <s v="2-5 Miles"/>
    <s v="Pacific"/>
    <s v="adults"/>
    <n v="38"/>
    <x v="1"/>
  </r>
  <r>
    <n v="24185"/>
    <s v="Single"/>
    <s v="Female"/>
    <n v="10000"/>
    <n v="1"/>
    <x v="2"/>
    <s v="Manual"/>
    <s v="No"/>
    <n v="1"/>
    <s v="1-2 Miles"/>
    <s v="Europe"/>
    <s v="mature adult "/>
    <n v="45"/>
    <x v="0"/>
  </r>
  <r>
    <n v="19291"/>
    <s v="Single"/>
    <s v="Female"/>
    <n v="10000"/>
    <n v="2"/>
    <x v="2"/>
    <s v="Manual"/>
    <s v="Yes"/>
    <n v="0"/>
    <s v="0-1 Miles"/>
    <s v="Europe"/>
    <s v="adults"/>
    <n v="35"/>
    <x v="0"/>
  </r>
  <r>
    <n v="16713"/>
    <s v="Married"/>
    <s v="Male"/>
    <n v="40000"/>
    <n v="2"/>
    <x v="0"/>
    <s v="Management"/>
    <s v="Yes"/>
    <n v="1"/>
    <s v="0-1 Miles"/>
    <s v="Pacific"/>
    <s v="mature adult "/>
    <n v="52"/>
    <x v="1"/>
  </r>
  <r>
    <n v="16185"/>
    <s v="Single"/>
    <s v="Male"/>
    <n v="60000"/>
    <n v="4"/>
    <x v="0"/>
    <s v="Professional"/>
    <s v="Yes"/>
    <n v="3"/>
    <s v="more than 10 Miles"/>
    <s v="Pacific"/>
    <s v="mature adult "/>
    <n v="41"/>
    <x v="0"/>
  </r>
  <r>
    <n v="14927"/>
    <s v="Married"/>
    <s v="Female"/>
    <n v="30000"/>
    <n v="1"/>
    <x v="0"/>
    <s v="Clerical"/>
    <s v="Yes"/>
    <n v="0"/>
    <s v="0-1 Miles"/>
    <s v="Europe"/>
    <s v="adults"/>
    <n v="37"/>
    <x v="1"/>
  </r>
  <r>
    <n v="29337"/>
    <s v="Single"/>
    <s v="Male"/>
    <n v="30000"/>
    <n v="2"/>
    <x v="1"/>
    <s v="Clerical"/>
    <s v="Yes"/>
    <n v="2"/>
    <s v="5-10 Miles"/>
    <s v="Pacific"/>
    <s v="middle age"/>
    <n v="68"/>
    <x v="0"/>
  </r>
  <r>
    <n v="29355"/>
    <s v="Married"/>
    <s v="Female"/>
    <n v="40000"/>
    <n v="0"/>
    <x v="4"/>
    <s v="Clerical"/>
    <s v="Yes"/>
    <n v="0"/>
    <s v="0-1 Miles"/>
    <s v="Europe"/>
    <s v="adults"/>
    <n v="37"/>
    <x v="1"/>
  </r>
  <r>
    <n v="25303"/>
    <s v="Single"/>
    <s v="Male"/>
    <n v="30000"/>
    <n v="0"/>
    <x v="2"/>
    <s v="Manual"/>
    <s v="Yes"/>
    <n v="1"/>
    <s v="2-5 Miles"/>
    <s v="Europe"/>
    <s v="adults"/>
    <n v="33"/>
    <x v="1"/>
  </r>
  <r>
    <n v="14813"/>
    <s v="Single"/>
    <s v="Female"/>
    <n v="20000"/>
    <n v="4"/>
    <x v="2"/>
    <s v="Manual"/>
    <s v="Yes"/>
    <n v="1"/>
    <s v="0-1 Miles"/>
    <s v="Europe"/>
    <s v="mature adult "/>
    <n v="43"/>
    <x v="1"/>
  </r>
  <r>
    <n v="16438"/>
    <s v="Married"/>
    <s v="Female"/>
    <n v="10000"/>
    <n v="0"/>
    <x v="3"/>
    <s v="Manual"/>
    <s v="No"/>
    <n v="2"/>
    <s v="0-1 Miles"/>
    <s v="Europe"/>
    <s v="adults"/>
    <n v="30"/>
    <x v="0"/>
  </r>
  <r>
    <n v="14238"/>
    <s v="Married"/>
    <s v="Male"/>
    <n v="120000"/>
    <n v="0"/>
    <x v="3"/>
    <s v="Professional"/>
    <s v="Yes"/>
    <n v="4"/>
    <s v="more than 10 Miles"/>
    <s v="Pacific"/>
    <s v="adults"/>
    <n v="36"/>
    <x v="1"/>
  </r>
  <r>
    <n v="16200"/>
    <s v="Single"/>
    <s v="Female"/>
    <n v="10000"/>
    <n v="0"/>
    <x v="3"/>
    <s v="Manual"/>
    <s v="No"/>
    <n v="2"/>
    <s v="0-1 Miles"/>
    <s v="Europe"/>
    <s v="adults"/>
    <n v="35"/>
    <x v="0"/>
  </r>
  <r>
    <n v="24857"/>
    <s v="Married"/>
    <s v="Female"/>
    <n v="130000"/>
    <n v="3"/>
    <x v="2"/>
    <s v="Professional"/>
    <s v="Yes"/>
    <n v="4"/>
    <s v="0-1 Miles"/>
    <s v="Europe"/>
    <s v="mature adult "/>
    <n v="52"/>
    <x v="0"/>
  </r>
  <r>
    <n v="26956"/>
    <s v="Single"/>
    <s v="Female"/>
    <n v="20000"/>
    <n v="0"/>
    <x v="1"/>
    <s v="Manual"/>
    <s v="No"/>
    <n v="1"/>
    <s v="2-5 Miles"/>
    <s v="Europe"/>
    <s v="adults"/>
    <n v="36"/>
    <x v="1"/>
  </r>
  <r>
    <n v="14517"/>
    <s v="Married"/>
    <s v="Female"/>
    <n v="20000"/>
    <n v="3"/>
    <x v="2"/>
    <s v="Skilled Manual"/>
    <s v="No"/>
    <n v="2"/>
    <s v="1-2 Miles"/>
    <s v="Pacific"/>
    <s v="middle age"/>
    <n v="62"/>
    <x v="0"/>
  </r>
  <r>
    <n v="12678"/>
    <s v="Single"/>
    <s v="Female"/>
    <n v="130000"/>
    <n v="4"/>
    <x v="2"/>
    <s v="Management"/>
    <s v="Yes"/>
    <n v="4"/>
    <s v="0-1 Miles"/>
    <s v="Pacific"/>
    <s v="adults"/>
    <n v="31"/>
    <x v="0"/>
  </r>
  <r>
    <n v="16188"/>
    <s v="Single"/>
    <s v="Female"/>
    <n v="20000"/>
    <n v="0"/>
    <x v="3"/>
    <s v="Manual"/>
    <s v="No"/>
    <n v="2"/>
    <s v="1-2 Miles"/>
    <s v="Europe"/>
    <s v="young adults"/>
    <n v="26"/>
    <x v="0"/>
  </r>
  <r>
    <n v="27969"/>
    <s v="Married"/>
    <s v="Male"/>
    <n v="80000"/>
    <n v="0"/>
    <x v="0"/>
    <s v="Professional"/>
    <s v="Yes"/>
    <n v="2"/>
    <s v="more than 10 Miles"/>
    <s v="Pacific"/>
    <s v="young adults"/>
    <n v="29"/>
    <x v="1"/>
  </r>
  <r>
    <n v="15752"/>
    <s v="Married"/>
    <s v="Male"/>
    <n v="80000"/>
    <n v="2"/>
    <x v="2"/>
    <s v="Skilled Manual"/>
    <s v="No"/>
    <n v="2"/>
    <s v="1-2 Miles"/>
    <s v="Pacific"/>
    <s v="mature adult "/>
    <n v="50"/>
    <x v="1"/>
  </r>
  <r>
    <n v="27745"/>
    <s v="Single"/>
    <s v="Male"/>
    <n v="40000"/>
    <n v="2"/>
    <x v="0"/>
    <s v="Management"/>
    <s v="Yes"/>
    <n v="2"/>
    <s v="5-10 Miles"/>
    <s v="Pacific"/>
    <s v="middle age"/>
    <n v="63"/>
    <x v="1"/>
  </r>
  <r>
    <n v="20828"/>
    <s v="Married"/>
    <s v="Female"/>
    <n v="30000"/>
    <n v="4"/>
    <x v="4"/>
    <s v="Clerical"/>
    <s v="Yes"/>
    <n v="0"/>
    <s v="0-1 Miles"/>
    <s v="Europe"/>
    <s v="mature adult "/>
    <n v="45"/>
    <x v="1"/>
  </r>
  <r>
    <n v="19461"/>
    <s v="Single"/>
    <s v="Female"/>
    <n v="10000"/>
    <n v="4"/>
    <x v="3"/>
    <s v="Manual"/>
    <s v="Yes"/>
    <n v="2"/>
    <s v="0-1 Miles"/>
    <s v="Europe"/>
    <s v="mature adult "/>
    <n v="40"/>
    <x v="0"/>
  </r>
  <r>
    <n v="26941"/>
    <s v="Married"/>
    <s v="Male"/>
    <n v="30000"/>
    <n v="0"/>
    <x v="0"/>
    <s v="Clerical"/>
    <s v="Yes"/>
    <n v="0"/>
    <s v="0-1 Miles"/>
    <s v="Europe"/>
    <s v="mature adult "/>
    <n v="47"/>
    <x v="1"/>
  </r>
  <r>
    <n v="28412"/>
    <s v="Single"/>
    <s v="Male"/>
    <n v="20000"/>
    <n v="0"/>
    <x v="2"/>
    <s v="Manual"/>
    <s v="No"/>
    <n v="1"/>
    <s v="2-5 Miles"/>
    <s v="Europe"/>
    <s v="young adults"/>
    <n v="29"/>
    <x v="0"/>
  </r>
  <r>
    <n v="24485"/>
    <s v="Single"/>
    <s v="Male"/>
    <n v="40000"/>
    <n v="2"/>
    <x v="0"/>
    <s v="Management"/>
    <s v="No"/>
    <n v="1"/>
    <s v="5-10 Miles"/>
    <s v="Pacific"/>
    <s v="mature adult "/>
    <n v="52"/>
    <x v="1"/>
  </r>
  <r>
    <n v="16514"/>
    <s v="Single"/>
    <s v="Male"/>
    <n v="10000"/>
    <n v="0"/>
    <x v="1"/>
    <s v="Manual"/>
    <s v="Yes"/>
    <n v="1"/>
    <s v="1-2 Miles"/>
    <s v="Pacific"/>
    <s v="young adults"/>
    <n v="26"/>
    <x v="1"/>
  </r>
  <r>
    <n v="17191"/>
    <s v="Single"/>
    <s v="Male"/>
    <n v="130000"/>
    <n v="3"/>
    <x v="1"/>
    <s v="Professional"/>
    <s v="No"/>
    <n v="3"/>
    <s v="0-1 Miles"/>
    <s v="Europe"/>
    <s v="mature adult "/>
    <n v="51"/>
    <x v="1"/>
  </r>
  <r>
    <n v="19608"/>
    <s v="Married"/>
    <s v="Male"/>
    <n v="80000"/>
    <n v="5"/>
    <x v="0"/>
    <s v="Professional"/>
    <s v="Yes"/>
    <n v="4"/>
    <s v="1-2 Miles"/>
    <s v="Pacific"/>
    <s v="mature adult "/>
    <n v="40"/>
    <x v="0"/>
  </r>
  <r>
    <n v="24119"/>
    <s v="Single"/>
    <s v="Male"/>
    <n v="30000"/>
    <n v="0"/>
    <x v="1"/>
    <s v="Clerical"/>
    <s v="No"/>
    <n v="1"/>
    <s v="2-5 Miles"/>
    <s v="Europe"/>
    <s v="young adults"/>
    <n v="29"/>
    <x v="0"/>
  </r>
  <r>
    <n v="25458"/>
    <s v="Married"/>
    <s v="Male"/>
    <n v="20000"/>
    <n v="1"/>
    <x v="2"/>
    <s v="Manual"/>
    <s v="No"/>
    <n v="1"/>
    <s v="1-2 Miles"/>
    <s v="Europe"/>
    <s v="mature adult "/>
    <n v="40"/>
    <x v="1"/>
  </r>
  <r>
    <n v="26886"/>
    <s v="Single"/>
    <s v="Female"/>
    <n v="30000"/>
    <n v="0"/>
    <x v="1"/>
    <s v="Clerical"/>
    <s v="No"/>
    <n v="1"/>
    <s v="0-1 Miles"/>
    <s v="Europe"/>
    <s v="young adults"/>
    <n v="29"/>
    <x v="1"/>
  </r>
  <r>
    <n v="28436"/>
    <s v="Single"/>
    <s v="Male"/>
    <n v="30000"/>
    <n v="0"/>
    <x v="1"/>
    <s v="Clerical"/>
    <s v="No"/>
    <n v="1"/>
    <s v="0-1 Miles"/>
    <s v="Europe"/>
    <s v="adults"/>
    <n v="30"/>
    <x v="1"/>
  </r>
  <r>
    <n v="19562"/>
    <s v="Single"/>
    <s v="Female"/>
    <n v="60000"/>
    <n v="2"/>
    <x v="0"/>
    <s v="Professional"/>
    <s v="Yes"/>
    <n v="1"/>
    <s v="2-5 Miles"/>
    <s v="Pacific"/>
    <s v="adults"/>
    <n v="37"/>
    <x v="1"/>
  </r>
  <r>
    <n v="15608"/>
    <s v="Single"/>
    <s v="Female"/>
    <n v="30000"/>
    <n v="0"/>
    <x v="1"/>
    <s v="Clerical"/>
    <s v="No"/>
    <n v="1"/>
    <s v="2-5 Miles"/>
    <s v="Europe"/>
    <s v="adults"/>
    <n v="33"/>
    <x v="0"/>
  </r>
  <r>
    <n v="16487"/>
    <s v="Single"/>
    <s v="Female"/>
    <n v="30000"/>
    <n v="3"/>
    <x v="2"/>
    <s v="Skilled Manual"/>
    <s v="Yes"/>
    <n v="2"/>
    <s v="5-10 Miles"/>
    <s v="Pacific"/>
    <s v="middle age"/>
    <n v="55"/>
    <x v="0"/>
  </r>
  <r>
    <n v="17197"/>
    <s v="Single"/>
    <s v="Female"/>
    <n v="90000"/>
    <n v="5"/>
    <x v="1"/>
    <s v="Professional"/>
    <s v="Yes"/>
    <n v="2"/>
    <s v="more than 10 Miles"/>
    <s v="Europe"/>
    <s v="middle age"/>
    <n v="62"/>
    <x v="0"/>
  </r>
  <r>
    <n v="12507"/>
    <s v="Married"/>
    <s v="Male"/>
    <n v="30000"/>
    <n v="1"/>
    <x v="1"/>
    <s v="Clerical"/>
    <s v="Yes"/>
    <n v="1"/>
    <s v="0-1 Miles"/>
    <s v="Europe"/>
    <s v="mature adult "/>
    <n v="43"/>
    <x v="0"/>
  </r>
  <r>
    <n v="23940"/>
    <s v="Married"/>
    <s v="Male"/>
    <n v="40000"/>
    <n v="1"/>
    <x v="0"/>
    <s v="Skilled Manual"/>
    <s v="Yes"/>
    <n v="1"/>
    <s v="0-1 Miles"/>
    <s v="Europe"/>
    <s v="mature adult "/>
    <n v="44"/>
    <x v="1"/>
  </r>
  <r>
    <n v="19441"/>
    <s v="Married"/>
    <s v="Male"/>
    <n v="40000"/>
    <n v="0"/>
    <x v="4"/>
    <s v="Clerical"/>
    <s v="Yes"/>
    <n v="0"/>
    <s v="0-1 Miles"/>
    <s v="Europe"/>
    <s v="young adults"/>
    <n v="25"/>
    <x v="1"/>
  </r>
  <r>
    <n v="26852"/>
    <s v="Married"/>
    <s v="Female"/>
    <n v="20000"/>
    <n v="3"/>
    <x v="2"/>
    <s v="Manual"/>
    <s v="Yes"/>
    <n v="2"/>
    <s v="0-1 Miles"/>
    <s v="Europe"/>
    <s v="mature adult "/>
    <n v="43"/>
    <x v="0"/>
  </r>
  <r>
    <n v="12274"/>
    <s v="Single"/>
    <s v="Male"/>
    <n v="10000"/>
    <n v="2"/>
    <x v="2"/>
    <s v="Manual"/>
    <s v="Yes"/>
    <n v="0"/>
    <s v="0-1 Miles"/>
    <s v="Europe"/>
    <s v="adults"/>
    <n v="35"/>
    <x v="0"/>
  </r>
  <r>
    <n v="20236"/>
    <s v="Single"/>
    <s v="Male"/>
    <n v="60000"/>
    <n v="3"/>
    <x v="0"/>
    <s v="Professional"/>
    <s v="No"/>
    <n v="2"/>
    <s v="0-1 Miles"/>
    <s v="Pacific"/>
    <s v="mature adult "/>
    <n v="43"/>
    <x v="1"/>
  </r>
  <r>
    <n v="24149"/>
    <s v="Married"/>
    <s v="Male"/>
    <n v="10000"/>
    <n v="2"/>
    <x v="1"/>
    <s v="Manual"/>
    <s v="Yes"/>
    <n v="0"/>
    <s v="1-2 Miles"/>
    <s v="Europe"/>
    <s v="mature adult "/>
    <n v="49"/>
    <x v="0"/>
  </r>
  <r>
    <n v="26139"/>
    <s v="Single"/>
    <s v="Male"/>
    <n v="60000"/>
    <n v="1"/>
    <x v="1"/>
    <s v="Skilled Manual"/>
    <s v="Yes"/>
    <n v="1"/>
    <s v="5-10 Miles"/>
    <s v="Pacific"/>
    <s v="mature adult "/>
    <n v="45"/>
    <x v="0"/>
  </r>
  <r>
    <n v="18491"/>
    <s v="Single"/>
    <s v="Female"/>
    <n v="70000"/>
    <n v="2"/>
    <x v="2"/>
    <s v="Professional"/>
    <s v="Yes"/>
    <n v="2"/>
    <s v="5-10 Miles"/>
    <s v="Pacific"/>
    <s v="mature adult "/>
    <n v="49"/>
    <x v="1"/>
  </r>
  <r>
    <n v="22707"/>
    <s v="Single"/>
    <s v="Female"/>
    <n v="30000"/>
    <n v="0"/>
    <x v="1"/>
    <s v="Clerical"/>
    <s v="No"/>
    <n v="1"/>
    <s v="2-5 Miles"/>
    <s v="Europe"/>
    <s v="adults"/>
    <n v="30"/>
    <x v="0"/>
  </r>
  <r>
    <n v="20430"/>
    <s v="Married"/>
    <s v="Male"/>
    <n v="70000"/>
    <n v="2"/>
    <x v="1"/>
    <s v="Skilled Manual"/>
    <s v="Yes"/>
    <n v="2"/>
    <s v="5-10 Miles"/>
    <s v="Pacific"/>
    <s v="mature adult "/>
    <n v="52"/>
    <x v="1"/>
  </r>
  <r>
    <n v="27494"/>
    <s v="Single"/>
    <s v="Female"/>
    <n v="40000"/>
    <n v="2"/>
    <x v="1"/>
    <s v="Skilled Manual"/>
    <s v="No"/>
    <n v="2"/>
    <s v="1-2 Miles"/>
    <s v="Pacific"/>
    <s v="mature adult "/>
    <n v="53"/>
    <x v="1"/>
  </r>
  <r>
    <n v="26829"/>
    <s v="Married"/>
    <s v="Female"/>
    <n v="40000"/>
    <n v="0"/>
    <x v="0"/>
    <s v="Clerical"/>
    <s v="Yes"/>
    <n v="0"/>
    <s v="0-1 Miles"/>
    <s v="Europe"/>
    <s v="adults"/>
    <n v="38"/>
    <x v="1"/>
  </r>
  <r>
    <n v="28395"/>
    <s v="Single"/>
    <s v="Male"/>
    <n v="40000"/>
    <n v="0"/>
    <x v="0"/>
    <s v="Professional"/>
    <s v="No"/>
    <n v="0"/>
    <s v="0-1 Miles"/>
    <s v="Europe"/>
    <s v="adults"/>
    <n v="39"/>
    <x v="1"/>
  </r>
  <r>
    <n v="21006"/>
    <s v="Single"/>
    <s v="Female"/>
    <n v="30000"/>
    <n v="1"/>
    <x v="1"/>
    <s v="Manual"/>
    <s v="No"/>
    <n v="0"/>
    <s v="0-1 Miles"/>
    <s v="Europe"/>
    <s v="mature adult "/>
    <n v="46"/>
    <x v="1"/>
  </r>
  <r>
    <n v="14682"/>
    <s v="Single"/>
    <s v="Female"/>
    <n v="70000"/>
    <n v="0"/>
    <x v="0"/>
    <s v="Professional"/>
    <s v="No"/>
    <n v="1"/>
    <s v="5-10 Miles"/>
    <s v="Pacific"/>
    <s v="adults"/>
    <n v="38"/>
    <x v="0"/>
  </r>
  <r>
    <n v="17650"/>
    <s v="Single"/>
    <s v="Female"/>
    <n v="40000"/>
    <n v="2"/>
    <x v="1"/>
    <s v="Clerical"/>
    <s v="Yes"/>
    <n v="2"/>
    <s v="1-2 Miles"/>
    <s v="Europe"/>
    <s v="adults"/>
    <n v="35"/>
    <x v="0"/>
  </r>
  <r>
    <n v="29191"/>
    <s v="Single"/>
    <s v="Female"/>
    <n v="130000"/>
    <n v="1"/>
    <x v="4"/>
    <s v="Management"/>
    <s v="No"/>
    <n v="1"/>
    <s v="0-1 Miles"/>
    <s v="Pacific"/>
    <s v="adults"/>
    <n v="36"/>
    <x v="1"/>
  </r>
  <r>
    <n v="15030"/>
    <s v="Married"/>
    <s v="Male"/>
    <n v="20000"/>
    <n v="0"/>
    <x v="0"/>
    <s v="Clerical"/>
    <s v="Yes"/>
    <n v="0"/>
    <s v="0-1 Miles"/>
    <s v="Pacific"/>
    <s v="young adults"/>
    <n v="26"/>
    <x v="1"/>
  </r>
  <r>
    <n v="24140"/>
    <s v="Single"/>
    <s v="Male"/>
    <n v="10000"/>
    <n v="0"/>
    <x v="4"/>
    <s v="Manual"/>
    <s v="No"/>
    <n v="0"/>
    <s v="0-1 Miles"/>
    <s v="Europe"/>
    <s v="adults"/>
    <n v="30"/>
    <x v="1"/>
  </r>
  <r>
    <n v="22496"/>
    <s v="Married"/>
    <s v="Female"/>
    <n v="30000"/>
    <n v="1"/>
    <x v="0"/>
    <s v="Skilled Manual"/>
    <s v="Yes"/>
    <n v="2"/>
    <s v="0-1 Miles"/>
    <s v="Europe"/>
    <s v="mature adult "/>
    <n v="42"/>
    <x v="0"/>
  </r>
  <r>
    <n v="24065"/>
    <s v="Single"/>
    <s v="Female"/>
    <n v="20000"/>
    <n v="0"/>
    <x v="2"/>
    <s v="Manual"/>
    <s v="Yes"/>
    <n v="0"/>
    <s v="0-1 Miles"/>
    <s v="Europe"/>
    <s v="mature adult "/>
    <n v="40"/>
    <x v="1"/>
  </r>
  <r>
    <n v="19914"/>
    <s v="Married"/>
    <s v="Male"/>
    <n v="80000"/>
    <n v="5"/>
    <x v="0"/>
    <s v="Management"/>
    <s v="Yes"/>
    <n v="2"/>
    <s v="2-5 Miles"/>
    <s v="Europe"/>
    <s v="middle age"/>
    <n v="62"/>
    <x v="0"/>
  </r>
  <r>
    <n v="12871"/>
    <s v="Single"/>
    <s v="Female"/>
    <n v="30000"/>
    <n v="0"/>
    <x v="1"/>
    <s v="Clerical"/>
    <s v="No"/>
    <n v="1"/>
    <s v="2-5 Miles"/>
    <s v="Europe"/>
    <s v="young adults"/>
    <n v="29"/>
    <x v="0"/>
  </r>
  <r>
    <n v="22988"/>
    <s v="Married"/>
    <s v="Female"/>
    <n v="40000"/>
    <n v="2"/>
    <x v="0"/>
    <s v="Management"/>
    <s v="Yes"/>
    <n v="2"/>
    <s v="5-10 Miles"/>
    <s v="Pacific"/>
    <s v="middle age"/>
    <n v="66"/>
    <x v="1"/>
  </r>
  <r>
    <n v="15922"/>
    <s v="Married"/>
    <s v="Male"/>
    <n v="150000"/>
    <n v="2"/>
    <x v="2"/>
    <s v="Professional"/>
    <s v="Yes"/>
    <n v="4"/>
    <s v="0-1 Miles"/>
    <s v="Europe"/>
    <s v="mature adult "/>
    <n v="48"/>
    <x v="0"/>
  </r>
  <r>
    <n v="12344"/>
    <s v="Single"/>
    <s v="Female"/>
    <n v="80000"/>
    <n v="0"/>
    <x v="0"/>
    <s v="Professional"/>
    <s v="No"/>
    <n v="3"/>
    <s v="more than 10 Miles"/>
    <s v="Pacific"/>
    <s v="adults"/>
    <n v="31"/>
    <x v="0"/>
  </r>
  <r>
    <n v="23627"/>
    <s v="Single"/>
    <s v="Female"/>
    <n v="100000"/>
    <n v="3"/>
    <x v="1"/>
    <s v="Management"/>
    <s v="No"/>
    <n v="4"/>
    <s v="5-10 Miles"/>
    <s v="Europe"/>
    <s v="middle age"/>
    <n v="56"/>
    <x v="0"/>
  </r>
  <r>
    <n v="27775"/>
    <s v="Single"/>
    <s v="Female"/>
    <n v="40000"/>
    <n v="0"/>
    <x v="0"/>
    <s v="Clerical"/>
    <s v="No"/>
    <n v="0"/>
    <s v="0-1 Miles"/>
    <s v="Europe"/>
    <s v="adults"/>
    <n v="38"/>
    <x v="1"/>
  </r>
  <r>
    <n v="29301"/>
    <s v="Married"/>
    <s v="Male"/>
    <n v="80000"/>
    <n v="5"/>
    <x v="0"/>
    <s v="Professional"/>
    <s v="Yes"/>
    <n v="4"/>
    <s v="1-2 Miles"/>
    <s v="Pacific"/>
    <s v="mature adult "/>
    <n v="40"/>
    <x v="0"/>
  </r>
  <r>
    <n v="12716"/>
    <s v="Single"/>
    <s v="Male"/>
    <n v="30000"/>
    <n v="0"/>
    <x v="1"/>
    <s v="Clerical"/>
    <s v="Yes"/>
    <n v="1"/>
    <s v="2-5 Miles"/>
    <s v="Europe"/>
    <s v="adults"/>
    <n v="32"/>
    <x v="0"/>
  </r>
  <r>
    <n v="12472"/>
    <s v="Married"/>
    <s v="Male"/>
    <n v="30000"/>
    <n v="1"/>
    <x v="0"/>
    <s v="Clerical"/>
    <s v="Yes"/>
    <n v="1"/>
    <s v="2-5 Miles"/>
    <s v="Europe"/>
    <s v="adults"/>
    <n v="39"/>
    <x v="0"/>
  </r>
  <r>
    <n v="20970"/>
    <s v="Single"/>
    <s v="Male"/>
    <n v="10000"/>
    <n v="2"/>
    <x v="1"/>
    <s v="Manual"/>
    <s v="Yes"/>
    <n v="1"/>
    <s v="0-1 Miles"/>
    <s v="Europe"/>
    <s v="mature adult "/>
    <n v="52"/>
    <x v="1"/>
  </r>
  <r>
    <n v="26818"/>
    <s v="Single"/>
    <s v="Male"/>
    <n v="10000"/>
    <n v="3"/>
    <x v="2"/>
    <s v="Manual"/>
    <s v="Yes"/>
    <n v="1"/>
    <s v="0-1 Miles"/>
    <s v="Europe"/>
    <s v="adults"/>
    <n v="39"/>
    <x v="1"/>
  </r>
  <r>
    <n v="12993"/>
    <s v="Married"/>
    <s v="Male"/>
    <n v="60000"/>
    <n v="2"/>
    <x v="0"/>
    <s v="Professional"/>
    <s v="Yes"/>
    <n v="1"/>
    <s v="2-5 Miles"/>
    <s v="Pacific"/>
    <s v="adults"/>
    <n v="37"/>
    <x v="0"/>
  </r>
  <r>
    <n v="14192"/>
    <s v="Married"/>
    <s v="Male"/>
    <n v="90000"/>
    <n v="4"/>
    <x v="2"/>
    <s v="Management"/>
    <s v="Yes"/>
    <n v="3"/>
    <s v="5-10 Miles"/>
    <s v="Europe"/>
    <s v="middle age"/>
    <n v="56"/>
    <x v="1"/>
  </r>
  <r>
    <n v="19477"/>
    <s v="Married"/>
    <s v="Male"/>
    <n v="40000"/>
    <n v="0"/>
    <x v="0"/>
    <s v="Professional"/>
    <s v="Yes"/>
    <n v="0"/>
    <s v="0-1 Miles"/>
    <s v="Europe"/>
    <s v="mature adult "/>
    <n v="40"/>
    <x v="1"/>
  </r>
  <r>
    <n v="26796"/>
    <s v="Single"/>
    <s v="Male"/>
    <n v="40000"/>
    <n v="2"/>
    <x v="0"/>
    <s v="Management"/>
    <s v="Yes"/>
    <n v="2"/>
    <s v="5-10 Miles"/>
    <s v="Pacific"/>
    <s v="middle age"/>
    <n v="65"/>
    <x v="1"/>
  </r>
  <r>
    <n v="21094"/>
    <s v="Single"/>
    <s v="Female"/>
    <n v="30000"/>
    <n v="2"/>
    <x v="1"/>
    <s v="Clerical"/>
    <s v="Yes"/>
    <n v="2"/>
    <s v="0-1 Miles"/>
    <s v="Europe"/>
    <s v="mature adult "/>
    <n v="42"/>
    <x v="0"/>
  </r>
  <r>
    <n v="12234"/>
    <s v="Married"/>
    <s v="Male"/>
    <n v="10000"/>
    <n v="2"/>
    <x v="1"/>
    <s v="Manual"/>
    <s v="Yes"/>
    <n v="1"/>
    <s v="2-5 Miles"/>
    <s v="Europe"/>
    <s v="mature adult "/>
    <n v="52"/>
    <x v="0"/>
  </r>
  <r>
    <n v="28683"/>
    <s v="Single"/>
    <s v="Female"/>
    <n v="10000"/>
    <n v="1"/>
    <x v="2"/>
    <s v="Manual"/>
    <s v="No"/>
    <n v="1"/>
    <s v="5-10 Miles"/>
    <s v="Europe"/>
    <s v="adults"/>
    <n v="35"/>
    <x v="1"/>
  </r>
  <r>
    <n v="17994"/>
    <s v="Single"/>
    <s v="Male"/>
    <n v="20000"/>
    <n v="2"/>
    <x v="2"/>
    <s v="Manual"/>
    <s v="Yes"/>
    <n v="2"/>
    <s v="0-1 Miles"/>
    <s v="Europe"/>
    <s v="mature adult "/>
    <n v="42"/>
    <x v="0"/>
  </r>
  <r>
    <n v="24273"/>
    <s v="Married"/>
    <s v="Female"/>
    <n v="20000"/>
    <n v="2"/>
    <x v="3"/>
    <s v="Clerical"/>
    <s v="Yes"/>
    <n v="2"/>
    <s v="5-10 Miles"/>
    <s v="Pacific"/>
    <s v="middle age"/>
    <n v="55"/>
    <x v="1"/>
  </r>
  <r>
    <n v="26547"/>
    <s v="Single"/>
    <s v="Female"/>
    <n v="30000"/>
    <n v="2"/>
    <x v="1"/>
    <s v="Clerical"/>
    <s v="No"/>
    <n v="2"/>
    <s v="5-10 Miles"/>
    <s v="Pacific"/>
    <s v="middle age"/>
    <n v="60"/>
    <x v="1"/>
  </r>
  <r>
    <n v="22500"/>
    <s v="Single"/>
    <s v="Male"/>
    <n v="40000"/>
    <n v="0"/>
    <x v="0"/>
    <s v="Professional"/>
    <s v="No"/>
    <n v="0"/>
    <s v="0-1 Miles"/>
    <s v="Europe"/>
    <s v="mature adult "/>
    <n v="40"/>
    <x v="1"/>
  </r>
  <r>
    <n v="23993"/>
    <s v="Single"/>
    <s v="Female"/>
    <n v="10000"/>
    <n v="0"/>
    <x v="1"/>
    <s v="Manual"/>
    <s v="No"/>
    <n v="1"/>
    <s v="0-1 Miles"/>
    <s v="Pacific"/>
    <s v="young adults"/>
    <n v="26"/>
    <x v="1"/>
  </r>
  <r>
    <n v="14832"/>
    <s v="Married"/>
    <s v="Male"/>
    <n v="40000"/>
    <n v="1"/>
    <x v="0"/>
    <s v="Skilled Manual"/>
    <s v="Yes"/>
    <n v="0"/>
    <s v="0-1 Miles"/>
    <s v="Europe"/>
    <s v="mature adult "/>
    <n v="42"/>
    <x v="1"/>
  </r>
  <r>
    <n v="16614"/>
    <s v="Married"/>
    <s v="Female"/>
    <n v="80000"/>
    <n v="0"/>
    <x v="0"/>
    <s v="Professional"/>
    <s v="Yes"/>
    <n v="3"/>
    <s v="more than 10 Miles"/>
    <s v="Pacific"/>
    <s v="adults"/>
    <n v="32"/>
    <x v="0"/>
  </r>
  <r>
    <n v="20877"/>
    <s v="Single"/>
    <s v="Male"/>
    <n v="30000"/>
    <n v="1"/>
    <x v="0"/>
    <s v="Clerical"/>
    <s v="Yes"/>
    <n v="0"/>
    <s v="1-2 Miles"/>
    <s v="Europe"/>
    <s v="adults"/>
    <n v="37"/>
    <x v="1"/>
  </r>
  <r>
    <n v="20729"/>
    <s v="Married"/>
    <s v="Female"/>
    <n v="40000"/>
    <n v="2"/>
    <x v="1"/>
    <s v="Clerical"/>
    <s v="No"/>
    <n v="1"/>
    <s v="0-1 Miles"/>
    <s v="Europe"/>
    <s v="adults"/>
    <n v="34"/>
    <x v="0"/>
  </r>
  <r>
    <n v="22464"/>
    <s v="Married"/>
    <s v="Male"/>
    <n v="40000"/>
    <n v="0"/>
    <x v="4"/>
    <s v="Clerical"/>
    <s v="Yes"/>
    <n v="0"/>
    <s v="0-1 Miles"/>
    <s v="Europe"/>
    <s v="adults"/>
    <n v="37"/>
    <x v="1"/>
  </r>
  <r>
    <n v="19475"/>
    <s v="Married"/>
    <s v="Female"/>
    <n v="40000"/>
    <n v="0"/>
    <x v="0"/>
    <s v="Professional"/>
    <s v="No"/>
    <n v="0"/>
    <s v="0-1 Miles"/>
    <s v="Europe"/>
    <s v="mature adult "/>
    <n v="40"/>
    <x v="1"/>
  </r>
  <r>
    <n v="19675"/>
    <s v="Married"/>
    <s v="Male"/>
    <n v="20000"/>
    <n v="4"/>
    <x v="2"/>
    <s v="Skilled Manual"/>
    <s v="Yes"/>
    <n v="2"/>
    <s v="5-10 Miles"/>
    <s v="Pacific"/>
    <s v="middle age"/>
    <n v="60"/>
    <x v="0"/>
  </r>
  <r>
    <n v="12728"/>
    <s v="Single"/>
    <s v="Male"/>
    <n v="30000"/>
    <n v="0"/>
    <x v="1"/>
    <s v="Clerical"/>
    <s v="No"/>
    <n v="1"/>
    <s v="1-2 Miles"/>
    <s v="Europe"/>
    <s v="young adults"/>
    <n v="27"/>
    <x v="0"/>
  </r>
  <r>
    <n v="26154"/>
    <s v="Married"/>
    <s v="Male"/>
    <n v="60000"/>
    <n v="1"/>
    <x v="1"/>
    <s v="Skilled Manual"/>
    <s v="Yes"/>
    <n v="1"/>
    <s v="5-10 Miles"/>
    <s v="Pacific"/>
    <s v="mature adult "/>
    <n v="43"/>
    <x v="1"/>
  </r>
  <r>
    <n v="29117"/>
    <s v="Single"/>
    <s v="Male"/>
    <n v="100000"/>
    <n v="1"/>
    <x v="0"/>
    <s v="Management"/>
    <s v="No"/>
    <n v="3"/>
    <s v="0-1 Miles"/>
    <s v="Pacific"/>
    <s v="mature adult "/>
    <n v="48"/>
    <x v="0"/>
  </r>
  <r>
    <n v="17845"/>
    <s v="Single"/>
    <s v="Female"/>
    <n v="20000"/>
    <n v="0"/>
    <x v="3"/>
    <s v="Manual"/>
    <s v="No"/>
    <n v="2"/>
    <s v="1-2 Miles"/>
    <s v="Europe"/>
    <s v="adults"/>
    <n v="32"/>
    <x v="0"/>
  </r>
  <r>
    <n v="25058"/>
    <s v="Married"/>
    <s v="Male"/>
    <n v="100000"/>
    <n v="1"/>
    <x v="0"/>
    <s v="Management"/>
    <s v="Yes"/>
    <n v="3"/>
    <s v="2-5 Miles"/>
    <s v="Pacific"/>
    <s v="mature adult "/>
    <n v="47"/>
    <x v="0"/>
  </r>
  <r>
    <n v="23426"/>
    <s v="Single"/>
    <s v="Male"/>
    <n v="80000"/>
    <n v="5"/>
    <x v="4"/>
    <s v="Management"/>
    <s v="Yes"/>
    <n v="3"/>
    <s v="0-1 Miles"/>
    <s v="Pacific"/>
    <s v="mature adult "/>
    <n v="40"/>
    <x v="0"/>
  </r>
  <r>
    <n v="14798"/>
    <s v="Single"/>
    <s v="Female"/>
    <n v="10000"/>
    <n v="4"/>
    <x v="3"/>
    <s v="Manual"/>
    <s v="Yes"/>
    <n v="2"/>
    <s v="0-1 Miles"/>
    <s v="Europe"/>
    <s v="mature adult "/>
    <n v="41"/>
    <x v="1"/>
  </r>
  <r>
    <n v="12664"/>
    <s v="Married"/>
    <s v="Female"/>
    <n v="130000"/>
    <n v="5"/>
    <x v="1"/>
    <s v="Professional"/>
    <s v="Yes"/>
    <n v="4"/>
    <s v="0-1 Miles"/>
    <s v="Europe"/>
    <s v="middle age"/>
    <n v="59"/>
    <x v="0"/>
  </r>
  <r>
    <n v="23979"/>
    <s v="Single"/>
    <s v="Male"/>
    <n v="10000"/>
    <n v="2"/>
    <x v="1"/>
    <s v="Manual"/>
    <s v="No"/>
    <n v="0"/>
    <s v="0-1 Miles"/>
    <s v="Europe"/>
    <s v="mature adult "/>
    <n v="50"/>
    <x v="0"/>
  </r>
  <r>
    <n v="25605"/>
    <s v="Single"/>
    <s v="Female"/>
    <n v="20000"/>
    <n v="2"/>
    <x v="1"/>
    <s v="Manual"/>
    <s v="No"/>
    <n v="1"/>
    <s v="0-1 Miles"/>
    <s v="Europe"/>
    <s v="mature adult "/>
    <n v="54"/>
    <x v="1"/>
  </r>
  <r>
    <n v="20797"/>
    <s v="Married"/>
    <s v="Female"/>
    <n v="10000"/>
    <n v="1"/>
    <x v="0"/>
    <s v="Manual"/>
    <s v="Yes"/>
    <n v="0"/>
    <s v="0-1 Miles"/>
    <s v="Europe"/>
    <s v="mature adult "/>
    <n v="48"/>
    <x v="0"/>
  </r>
  <r>
    <n v="21980"/>
    <s v="Single"/>
    <s v="Female"/>
    <n v="60000"/>
    <n v="1"/>
    <x v="0"/>
    <s v="Professional"/>
    <s v="Yes"/>
    <n v="1"/>
    <s v="5-10 Miles"/>
    <s v="Pacific"/>
    <s v="mature adult "/>
    <n v="44"/>
    <x v="1"/>
  </r>
  <r>
    <n v="25460"/>
    <s v="Married"/>
    <s v="Female"/>
    <n v="20000"/>
    <n v="2"/>
    <x v="2"/>
    <s v="Manual"/>
    <s v="Yes"/>
    <n v="0"/>
    <s v="0-1 Miles"/>
    <s v="Europe"/>
    <s v="mature adult "/>
    <n v="40"/>
    <x v="1"/>
  </r>
  <r>
    <n v="29181"/>
    <s v="Single"/>
    <s v="Female"/>
    <n v="60000"/>
    <n v="2"/>
    <x v="0"/>
    <s v="Professional"/>
    <s v="No"/>
    <n v="1"/>
    <s v="0-1 Miles"/>
    <s v="Pacific"/>
    <s v="adults"/>
    <n v="38"/>
    <x v="1"/>
  </r>
  <r>
    <n v="24279"/>
    <s v="Single"/>
    <s v="Male"/>
    <n v="40000"/>
    <n v="2"/>
    <x v="1"/>
    <s v="Skilled Manual"/>
    <s v="No"/>
    <n v="2"/>
    <s v="1-2 Miles"/>
    <s v="Pacific"/>
    <s v="mature adult "/>
    <n v="52"/>
    <x v="0"/>
  </r>
  <r>
    <n v="22402"/>
    <s v="Married"/>
    <s v="Male"/>
    <n v="10000"/>
    <n v="0"/>
    <x v="1"/>
    <s v="Manual"/>
    <s v="Yes"/>
    <n v="1"/>
    <s v="2-5 Miles"/>
    <s v="Pacific"/>
    <s v="young adults"/>
    <n v="25"/>
    <x v="1"/>
  </r>
  <r>
    <n v="15465"/>
    <s v="Married"/>
    <s v="Female"/>
    <n v="10000"/>
    <n v="0"/>
    <x v="1"/>
    <s v="Manual"/>
    <s v="No"/>
    <n v="1"/>
    <s v="0-1 Miles"/>
    <s v="Pacific"/>
    <s v="young adults"/>
    <n v="25"/>
    <x v="0"/>
  </r>
  <r>
    <n v="26757"/>
    <s v="Single"/>
    <s v="Male"/>
    <n v="90000"/>
    <n v="1"/>
    <x v="0"/>
    <s v="Professional"/>
    <s v="Yes"/>
    <n v="1"/>
    <s v="2-5 Miles"/>
    <s v="Pacific"/>
    <s v="mature adult "/>
    <n v="47"/>
    <x v="1"/>
  </r>
  <r>
    <n v="14233"/>
    <s v="Single"/>
    <s v="Male"/>
    <n v="100000"/>
    <n v="0"/>
    <x v="2"/>
    <s v="Management"/>
    <s v="Yes"/>
    <n v="3"/>
    <s v="more than 10 Miles"/>
    <s v="Pacific"/>
    <s v="adults"/>
    <n v="35"/>
    <x v="0"/>
  </r>
  <r>
    <n v="14058"/>
    <s v="Single"/>
    <s v="Male"/>
    <n v="70000"/>
    <n v="0"/>
    <x v="0"/>
    <s v="Professional"/>
    <s v="No"/>
    <n v="1"/>
    <s v="5-10 Miles"/>
    <s v="Pacific"/>
    <s v="mature adult "/>
    <n v="41"/>
    <x v="1"/>
  </r>
  <r>
    <n v="12273"/>
    <s v="Married"/>
    <s v="Male"/>
    <n v="30000"/>
    <n v="1"/>
    <x v="0"/>
    <s v="Clerical"/>
    <s v="Yes"/>
    <n v="0"/>
    <s v="0-1 Miles"/>
    <s v="Europe"/>
    <s v="mature adult "/>
    <n v="47"/>
    <x v="0"/>
  </r>
  <r>
    <n v="17203"/>
    <s v="Married"/>
    <s v="Female"/>
    <n v="130000"/>
    <n v="4"/>
    <x v="1"/>
    <s v="Professional"/>
    <s v="Yes"/>
    <n v="4"/>
    <s v="5-10 Miles"/>
    <s v="Europe"/>
    <s v="middle age"/>
    <n v="61"/>
    <x v="1"/>
  </r>
  <r>
    <n v="18144"/>
    <s v="Married"/>
    <s v="Female"/>
    <n v="80000"/>
    <n v="5"/>
    <x v="0"/>
    <s v="Management"/>
    <s v="Yes"/>
    <n v="2"/>
    <s v="2-5 Miles"/>
    <s v="Europe"/>
    <s v="middle age"/>
    <n v="61"/>
    <x v="0"/>
  </r>
  <r>
    <n v="23963"/>
    <s v="Married"/>
    <s v="Male"/>
    <n v="10000"/>
    <n v="0"/>
    <x v="3"/>
    <s v="Manual"/>
    <s v="No"/>
    <n v="2"/>
    <s v="0-1 Miles"/>
    <s v="Europe"/>
    <s v="adults"/>
    <n v="33"/>
    <x v="0"/>
  </r>
  <r>
    <n v="17907"/>
    <s v="Married"/>
    <s v="Female"/>
    <n v="10000"/>
    <n v="0"/>
    <x v="1"/>
    <s v="Manual"/>
    <s v="Yes"/>
    <n v="1"/>
    <s v="2-5 Miles"/>
    <s v="Pacific"/>
    <s v="young adults"/>
    <n v="27"/>
    <x v="0"/>
  </r>
  <r>
    <n v="19442"/>
    <s v="Single"/>
    <s v="Male"/>
    <n v="50000"/>
    <n v="0"/>
    <x v="4"/>
    <s v="Skilled Manual"/>
    <s v="Yes"/>
    <n v="0"/>
    <s v="0-1 Miles"/>
    <s v="Europe"/>
    <s v="adults"/>
    <n v="37"/>
    <x v="1"/>
  </r>
  <r>
    <n v="17504"/>
    <s v="Single"/>
    <s v="Female"/>
    <n v="80000"/>
    <n v="2"/>
    <x v="1"/>
    <s v="Skilled Manual"/>
    <s v="Yes"/>
    <n v="2"/>
    <s v="5-10 Miles"/>
    <s v="Pacific"/>
    <s v="mature adult "/>
    <n v="52"/>
    <x v="1"/>
  </r>
  <r>
    <n v="12253"/>
    <s v="Single"/>
    <s v="Female"/>
    <n v="20000"/>
    <n v="0"/>
    <x v="1"/>
    <s v="Manual"/>
    <s v="Yes"/>
    <n v="0"/>
    <s v="0-1 Miles"/>
    <s v="Pacific"/>
    <s v="young adults"/>
    <n v="29"/>
    <x v="1"/>
  </r>
  <r>
    <n v="27304"/>
    <s v="Single"/>
    <s v="Female"/>
    <n v="110000"/>
    <n v="2"/>
    <x v="1"/>
    <s v="Professional"/>
    <s v="No"/>
    <n v="3"/>
    <s v="5-10 Miles"/>
    <s v="Europe"/>
    <s v="mature adult "/>
    <n v="48"/>
    <x v="0"/>
  </r>
  <r>
    <n v="14191"/>
    <s v="Married"/>
    <s v="Male"/>
    <n v="160000"/>
    <n v="4"/>
    <x v="1"/>
    <s v="Professional"/>
    <s v="No"/>
    <n v="2"/>
    <s v="more than 10 Miles"/>
    <s v="Europe"/>
    <s v="middle age"/>
    <n v="55"/>
    <x v="1"/>
  </r>
  <r>
    <n v="12212"/>
    <s v="Married"/>
    <s v="Female"/>
    <n v="10000"/>
    <n v="0"/>
    <x v="4"/>
    <s v="Manual"/>
    <s v="Yes"/>
    <n v="0"/>
    <s v="0-1 Miles"/>
    <s v="Europe"/>
    <s v="adults"/>
    <n v="37"/>
    <x v="1"/>
  </r>
  <r>
    <n v="25529"/>
    <s v="Single"/>
    <s v="Male"/>
    <n v="10000"/>
    <n v="1"/>
    <x v="4"/>
    <s v="Manual"/>
    <s v="Yes"/>
    <n v="0"/>
    <s v="0-1 Miles"/>
    <s v="Europe"/>
    <s v="mature adult "/>
    <n v="44"/>
    <x v="0"/>
  </r>
  <r>
    <n v="22170"/>
    <s v="Married"/>
    <s v="Female"/>
    <n v="30000"/>
    <n v="3"/>
    <x v="1"/>
    <s v="Clerical"/>
    <s v="No"/>
    <n v="2"/>
    <s v="1-2 Miles"/>
    <s v="Pacific"/>
    <s v="middle age"/>
    <n v="55"/>
    <x v="1"/>
  </r>
  <r>
    <n v="19445"/>
    <s v="Married"/>
    <s v="Female"/>
    <n v="10000"/>
    <n v="2"/>
    <x v="2"/>
    <s v="Manual"/>
    <s v="No"/>
    <n v="1"/>
    <s v="0-1 Miles"/>
    <s v="Europe"/>
    <s v="adults"/>
    <n v="38"/>
    <x v="0"/>
  </r>
  <r>
    <n v="15265"/>
    <s v="Single"/>
    <s v="Male"/>
    <n v="40000"/>
    <n v="2"/>
    <x v="0"/>
    <s v="Management"/>
    <s v="Yes"/>
    <n v="2"/>
    <s v="5-10 Miles"/>
    <s v="Pacific"/>
    <s v="middle age"/>
    <n v="66"/>
    <x v="1"/>
  </r>
  <r>
    <n v="28918"/>
    <s v="Married"/>
    <s v="Female"/>
    <n v="130000"/>
    <n v="4"/>
    <x v="2"/>
    <s v="Management"/>
    <s v="No"/>
    <n v="4"/>
    <s v="more than 10 Miles"/>
    <s v="Europe"/>
    <s v="middle age"/>
    <n v="58"/>
    <x v="0"/>
  </r>
  <r>
    <n v="15799"/>
    <s v="Married"/>
    <s v="Female"/>
    <n v="90000"/>
    <n v="1"/>
    <x v="0"/>
    <s v="Professional"/>
    <s v="Yes"/>
    <n v="1"/>
    <s v="2-5 Miles"/>
    <s v="Pacific"/>
    <s v="mature adult "/>
    <n v="47"/>
    <x v="1"/>
  </r>
  <r>
    <n v="11047"/>
    <s v="Married"/>
    <s v="Female"/>
    <n v="30000"/>
    <n v="3"/>
    <x v="2"/>
    <s v="Skilled Manual"/>
    <s v="No"/>
    <n v="2"/>
    <s v="1-2 Miles"/>
    <s v="Pacific"/>
    <s v="middle age"/>
    <n v="56"/>
    <x v="1"/>
  </r>
  <r>
    <n v="18151"/>
    <s v="Single"/>
    <s v="Male"/>
    <n v="80000"/>
    <n v="5"/>
    <x v="1"/>
    <s v="Professional"/>
    <s v="No"/>
    <n v="2"/>
    <s v="more than 10 Miles"/>
    <s v="Europe"/>
    <s v="middle age"/>
    <n v="59"/>
    <x v="0"/>
  </r>
  <r>
    <n v="20606"/>
    <s v="Married"/>
    <s v="Female"/>
    <n v="70000"/>
    <n v="0"/>
    <x v="0"/>
    <s v="Professional"/>
    <s v="Yes"/>
    <n v="4"/>
    <s v="more than 10 Miles"/>
    <s v="Pacific"/>
    <s v="adults"/>
    <n v="32"/>
    <x v="1"/>
  </r>
  <r>
    <n v="19482"/>
    <s v="Married"/>
    <s v="Male"/>
    <n v="30000"/>
    <n v="1"/>
    <x v="1"/>
    <s v="Clerical"/>
    <s v="Yes"/>
    <n v="1"/>
    <s v="0-1 Miles"/>
    <s v="Europe"/>
    <s v="mature adult "/>
    <n v="44"/>
    <x v="1"/>
  </r>
  <r>
    <n v="16489"/>
    <s v="Married"/>
    <s v="Male"/>
    <n v="30000"/>
    <n v="3"/>
    <x v="2"/>
    <s v="Skilled Manual"/>
    <s v="Yes"/>
    <n v="2"/>
    <s v="5-10 Miles"/>
    <s v="Pacific"/>
    <s v="middle age"/>
    <n v="55"/>
    <x v="0"/>
  </r>
  <r>
    <n v="26944"/>
    <s v="Single"/>
    <s v="Male"/>
    <n v="90000"/>
    <n v="2"/>
    <x v="2"/>
    <s v="Manual"/>
    <s v="Yes"/>
    <n v="0"/>
    <s v="0-1 Miles"/>
    <s v="Europe"/>
    <s v="adults"/>
    <n v="36"/>
    <x v="1"/>
  </r>
  <r>
    <n v="15682"/>
    <s v="Single"/>
    <s v="Female"/>
    <n v="80000"/>
    <n v="5"/>
    <x v="0"/>
    <s v="Management"/>
    <s v="Yes"/>
    <n v="2"/>
    <s v="more than 10 Miles"/>
    <s v="Europe"/>
    <s v="middle age"/>
    <n v="62"/>
    <x v="0"/>
  </r>
  <r>
    <n v="26032"/>
    <s v="Married"/>
    <s v="Female"/>
    <n v="70000"/>
    <n v="5"/>
    <x v="0"/>
    <s v="Professional"/>
    <s v="Yes"/>
    <n v="4"/>
    <s v="more than 10 Miles"/>
    <s v="Pacific"/>
    <s v="mature adult "/>
    <n v="41"/>
    <x v="0"/>
  </r>
  <r>
    <n v="17843"/>
    <s v="Single"/>
    <s v="Female"/>
    <n v="10000"/>
    <n v="0"/>
    <x v="3"/>
    <s v="Manual"/>
    <s v="No"/>
    <n v="2"/>
    <s v="0-1 Miles"/>
    <s v="Europe"/>
    <s v="adults"/>
    <n v="32"/>
    <x v="0"/>
  </r>
  <r>
    <n v="25559"/>
    <s v="Single"/>
    <s v="Male"/>
    <n v="20000"/>
    <n v="0"/>
    <x v="0"/>
    <s v="Clerical"/>
    <s v="Yes"/>
    <n v="0"/>
    <s v="0-1 Miles"/>
    <s v="Pacific"/>
    <s v="young adults"/>
    <n v="25"/>
    <x v="1"/>
  </r>
  <r>
    <n v="16209"/>
    <s v="Single"/>
    <s v="Female"/>
    <n v="50000"/>
    <n v="0"/>
    <x v="4"/>
    <s v="Skilled Manual"/>
    <s v="Yes"/>
    <n v="0"/>
    <s v="1-2 Miles"/>
    <s v="Europe"/>
    <s v="adults"/>
    <n v="36"/>
    <x v="0"/>
  </r>
  <r>
    <n v="11147"/>
    <s v="Married"/>
    <s v="Male"/>
    <n v="60000"/>
    <n v="2"/>
    <x v="4"/>
    <s v="Management"/>
    <s v="Yes"/>
    <n v="1"/>
    <s v="0-1 Miles"/>
    <s v="Pacific"/>
    <s v="middle age"/>
    <n v="67"/>
    <x v="1"/>
  </r>
  <r>
    <n v="15214"/>
    <s v="Single"/>
    <s v="Female"/>
    <n v="100000"/>
    <n v="0"/>
    <x v="4"/>
    <s v="Management"/>
    <s v="No"/>
    <n v="1"/>
    <s v="1-2 Miles"/>
    <s v="Pacific"/>
    <s v="adults"/>
    <n v="39"/>
    <x v="1"/>
  </r>
  <r>
    <n v="11453"/>
    <s v="Single"/>
    <s v="Male"/>
    <n v="80000"/>
    <n v="0"/>
    <x v="0"/>
    <s v="Professional"/>
    <s v="No"/>
    <n v="3"/>
    <s v="more than 10 Miles"/>
    <s v="Pacific"/>
    <s v="adults"/>
    <n v="33"/>
    <x v="1"/>
  </r>
  <r>
    <n v="24584"/>
    <s v="Single"/>
    <s v="Male"/>
    <n v="60000"/>
    <n v="0"/>
    <x v="0"/>
    <s v="Professional"/>
    <s v="No"/>
    <n v="3"/>
    <s v="2-5 Miles"/>
    <s v="Pacific"/>
    <s v="adults"/>
    <n v="31"/>
    <x v="0"/>
  </r>
  <r>
    <n v="12585"/>
    <s v="Married"/>
    <s v="Male"/>
    <n v="10000"/>
    <n v="1"/>
    <x v="2"/>
    <s v="Manual"/>
    <s v="Yes"/>
    <n v="0"/>
    <s v="2-5 Miles"/>
    <s v="Pacific"/>
    <s v="young adults"/>
    <n v="27"/>
    <x v="1"/>
  </r>
  <r>
    <n v="18626"/>
    <s v="Single"/>
    <s v="Male"/>
    <n v="40000"/>
    <n v="2"/>
    <x v="1"/>
    <s v="Clerical"/>
    <s v="Yes"/>
    <n v="0"/>
    <s v="1-2 Miles"/>
    <s v="Europe"/>
    <s v="adults"/>
    <n v="33"/>
    <x v="1"/>
  </r>
  <r>
    <n v="29298"/>
    <s v="Single"/>
    <s v="Female"/>
    <n v="60000"/>
    <n v="1"/>
    <x v="1"/>
    <s v="Skilled Manual"/>
    <s v="Yes"/>
    <n v="1"/>
    <s v="5-10 Miles"/>
    <s v="Pacific"/>
    <s v="mature adult "/>
    <n v="46"/>
    <x v="1"/>
  </r>
  <r>
    <n v="24842"/>
    <s v="Single"/>
    <s v="Female"/>
    <n v="90000"/>
    <n v="3"/>
    <x v="2"/>
    <s v="Professional"/>
    <s v="No"/>
    <n v="1"/>
    <s v="2-5 Miles"/>
    <s v="Europe"/>
    <s v="mature adult "/>
    <n v="51"/>
    <x v="0"/>
  </r>
  <r>
    <n v="15657"/>
    <s v="Married"/>
    <s v="Male"/>
    <n v="30000"/>
    <n v="3"/>
    <x v="4"/>
    <s v="Clerical"/>
    <s v="Yes"/>
    <n v="0"/>
    <s v="0-1 Miles"/>
    <s v="Europe"/>
    <s v="mature adult "/>
    <n v="46"/>
    <x v="1"/>
  </r>
  <r>
    <n v="11415"/>
    <s v="Single"/>
    <s v="Male"/>
    <n v="90000"/>
    <n v="5"/>
    <x v="1"/>
    <s v="Professional"/>
    <s v="No"/>
    <n v="2"/>
    <s v="more than 10 Miles"/>
    <s v="Europe"/>
    <s v="middle age"/>
    <n v="62"/>
    <x v="0"/>
  </r>
  <r>
    <n v="28729"/>
    <s v="Single"/>
    <s v="Female"/>
    <n v="20000"/>
    <n v="0"/>
    <x v="3"/>
    <s v="Manual"/>
    <s v="Yes"/>
    <n v="2"/>
    <s v="1-2 Miles"/>
    <s v="Europe"/>
    <s v="young adults"/>
    <n v="26"/>
    <x v="1"/>
  </r>
  <r>
    <n v="22633"/>
    <s v="Single"/>
    <s v="Female"/>
    <n v="40000"/>
    <n v="0"/>
    <x v="4"/>
    <s v="Clerical"/>
    <s v="Yes"/>
    <n v="0"/>
    <s v="0-1 Miles"/>
    <s v="Europe"/>
    <s v="adults"/>
    <n v="37"/>
    <x v="1"/>
  </r>
  <r>
    <n v="25649"/>
    <s v="Single"/>
    <s v="Female"/>
    <n v="30000"/>
    <n v="3"/>
    <x v="1"/>
    <s v="Clerical"/>
    <s v="Yes"/>
    <n v="0"/>
    <s v="0-1 Miles"/>
    <s v="Europe"/>
    <s v="mature adult "/>
    <n v="42"/>
    <x v="1"/>
  </r>
  <r>
    <n v="14669"/>
    <s v="Married"/>
    <s v="Female"/>
    <n v="80000"/>
    <n v="4"/>
    <x v="4"/>
    <s v="Management"/>
    <s v="Yes"/>
    <n v="1"/>
    <s v="0-1 Miles"/>
    <s v="Pacific"/>
    <s v="adults"/>
    <n v="36"/>
    <x v="0"/>
  </r>
  <r>
    <n v="19299"/>
    <s v="Married"/>
    <s v="Female"/>
    <n v="50000"/>
    <n v="0"/>
    <x v="4"/>
    <s v="Skilled Manual"/>
    <s v="Yes"/>
    <n v="0"/>
    <s v="0-1 Miles"/>
    <s v="Europe"/>
    <s v="adults"/>
    <n v="36"/>
    <x v="1"/>
  </r>
  <r>
    <n v="20946"/>
    <s v="Single"/>
    <s v="Female"/>
    <n v="30000"/>
    <n v="0"/>
    <x v="1"/>
    <s v="Clerical"/>
    <s v="No"/>
    <n v="1"/>
    <s v="2-5 Miles"/>
    <s v="Europe"/>
    <s v="adults"/>
    <n v="30"/>
    <x v="0"/>
  </r>
  <r>
    <n v="11451"/>
    <s v="Single"/>
    <s v="Male"/>
    <n v="70000"/>
    <n v="0"/>
    <x v="0"/>
    <s v="Professional"/>
    <s v="No"/>
    <n v="4"/>
    <s v="more than 10 Miles"/>
    <s v="Pacific"/>
    <s v="adults"/>
    <n v="31"/>
    <x v="1"/>
  </r>
  <r>
    <n v="25553"/>
    <s v="Married"/>
    <s v="Male"/>
    <n v="30000"/>
    <n v="1"/>
    <x v="0"/>
    <s v="Clerical"/>
    <s v="Yes"/>
    <n v="0"/>
    <s v="0-1 Miles"/>
    <s v="Europe"/>
    <s v="middle age"/>
    <n v="65"/>
    <x v="1"/>
  </r>
  <r>
    <n v="27951"/>
    <s v="Single"/>
    <s v="Male"/>
    <n v="80000"/>
    <n v="4"/>
    <x v="1"/>
    <s v="Professional"/>
    <s v="No"/>
    <n v="2"/>
    <s v="2-5 Miles"/>
    <s v="Europe"/>
    <s v="mature adult "/>
    <n v="54"/>
    <x v="1"/>
  </r>
  <r>
    <n v="25026"/>
    <s v="Married"/>
    <s v="Male"/>
    <n v="20000"/>
    <n v="2"/>
    <x v="3"/>
    <s v="Clerical"/>
    <s v="Yes"/>
    <n v="3"/>
    <s v="5-10 Miles"/>
    <s v="Pacific"/>
    <s v="mature adult "/>
    <n v="54"/>
    <x v="0"/>
  </r>
  <r>
    <n v="13673"/>
    <s v="Single"/>
    <s v="Female"/>
    <n v="20000"/>
    <n v="0"/>
    <x v="3"/>
    <s v="Manual"/>
    <s v="No"/>
    <n v="2"/>
    <s v="0-1 Miles"/>
    <s v="Europe"/>
    <s v="young adults"/>
    <n v="25"/>
    <x v="0"/>
  </r>
  <r>
    <n v="16043"/>
    <s v="Single"/>
    <s v="Male"/>
    <n v="10000"/>
    <n v="1"/>
    <x v="0"/>
    <s v="Manual"/>
    <s v="Yes"/>
    <n v="0"/>
    <s v="0-1 Miles"/>
    <s v="Europe"/>
    <s v="mature adult "/>
    <n v="48"/>
    <x v="0"/>
  </r>
  <r>
    <n v="22399"/>
    <s v="Single"/>
    <s v="Male"/>
    <n v="10000"/>
    <n v="0"/>
    <x v="1"/>
    <s v="Manual"/>
    <s v="Yes"/>
    <n v="1"/>
    <s v="1-2 Miles"/>
    <s v="Pacific"/>
    <s v="young adults"/>
    <n v="26"/>
    <x v="1"/>
  </r>
  <r>
    <n v="27696"/>
    <s v="Married"/>
    <s v="Male"/>
    <n v="60000"/>
    <n v="1"/>
    <x v="0"/>
    <s v="Professional"/>
    <s v="Yes"/>
    <n v="1"/>
    <s v="5-10 Miles"/>
    <s v="Pacific"/>
    <s v="mature adult "/>
    <n v="43"/>
    <x v="1"/>
  </r>
  <r>
    <n v="25313"/>
    <s v="Single"/>
    <s v="Male"/>
    <n v="10000"/>
    <n v="0"/>
    <x v="3"/>
    <s v="Manual"/>
    <s v="No"/>
    <n v="2"/>
    <s v="1-2 Miles"/>
    <s v="Europe"/>
    <s v="adults"/>
    <n v="35"/>
    <x v="0"/>
  </r>
  <r>
    <n v="13813"/>
    <s v="Married"/>
    <s v="Female"/>
    <n v="30000"/>
    <n v="3"/>
    <x v="1"/>
    <s v="Clerical"/>
    <s v="No"/>
    <n v="0"/>
    <s v="0-1 Miles"/>
    <s v="Europe"/>
    <s v="mature adult "/>
    <n v="42"/>
    <x v="0"/>
  </r>
  <r>
    <n v="18711"/>
    <s v="Single"/>
    <s v="Female"/>
    <n v="70000"/>
    <n v="5"/>
    <x v="0"/>
    <s v="Professional"/>
    <s v="Yes"/>
    <n v="4"/>
    <s v="more than 10 Miles"/>
    <s v="Pacific"/>
    <s v="adults"/>
    <n v="39"/>
    <x v="0"/>
  </r>
  <r>
    <n v="19650"/>
    <s v="Married"/>
    <s v="Female"/>
    <n v="30000"/>
    <n v="2"/>
    <x v="1"/>
    <s v="Clerical"/>
    <s v="No"/>
    <n v="2"/>
    <s v="0-1 Miles"/>
    <s v="Pacific"/>
    <s v="middle age"/>
    <n v="67"/>
    <x v="0"/>
  </r>
  <r>
    <n v="14135"/>
    <s v="Married"/>
    <s v="Male"/>
    <n v="20000"/>
    <n v="1"/>
    <x v="1"/>
    <s v="Manual"/>
    <s v="Yes"/>
    <n v="0"/>
    <s v="1-2 Miles"/>
    <s v="Europe"/>
    <s v="adults"/>
    <n v="35"/>
    <x v="0"/>
  </r>
  <r>
    <n v="12833"/>
    <s v="Single"/>
    <s v="Female"/>
    <n v="20000"/>
    <n v="3"/>
    <x v="2"/>
    <s v="Manual"/>
    <s v="Yes"/>
    <n v="1"/>
    <s v="0-1 Miles"/>
    <s v="Europe"/>
    <s v="mature adult "/>
    <n v="42"/>
    <x v="1"/>
  </r>
  <r>
    <n v="26849"/>
    <s v="Married"/>
    <s v="Male"/>
    <n v="10000"/>
    <n v="3"/>
    <x v="3"/>
    <s v="Manual"/>
    <s v="Yes"/>
    <n v="2"/>
    <s v="0-1 Miles"/>
    <s v="Europe"/>
    <s v="mature adult "/>
    <n v="43"/>
    <x v="0"/>
  </r>
  <r>
    <n v="20962"/>
    <s v="Married"/>
    <s v="Female"/>
    <n v="20000"/>
    <n v="1"/>
    <x v="4"/>
    <s v="Clerical"/>
    <s v="Yes"/>
    <n v="0"/>
    <s v="0-1 Miles"/>
    <s v="Europe"/>
    <s v="mature adult "/>
    <n v="45"/>
    <x v="0"/>
  </r>
  <r>
    <n v="28915"/>
    <s v="Single"/>
    <s v="Male"/>
    <n v="80000"/>
    <n v="5"/>
    <x v="2"/>
    <s v="Management"/>
    <s v="Yes"/>
    <n v="3"/>
    <s v="more than 10 Miles"/>
    <s v="Europe"/>
    <s v="middle age"/>
    <n v="57"/>
    <x v="0"/>
  </r>
  <r>
    <n v="22830"/>
    <s v="Married"/>
    <s v="Male"/>
    <n v="120000"/>
    <n v="4"/>
    <x v="1"/>
    <s v="Management"/>
    <s v="Yes"/>
    <n v="3"/>
    <s v="more than 10 Miles"/>
    <s v="Europe"/>
    <s v="middle age"/>
    <n v="56"/>
    <x v="0"/>
  </r>
  <r>
    <n v="14777"/>
    <s v="Married"/>
    <s v="Female"/>
    <n v="40000"/>
    <n v="0"/>
    <x v="0"/>
    <s v="Clerical"/>
    <s v="Yes"/>
    <n v="0"/>
    <s v="0-1 Miles"/>
    <s v="Europe"/>
    <s v="adults"/>
    <n v="38"/>
    <x v="1"/>
  </r>
  <r>
    <n v="12591"/>
    <s v="Married"/>
    <s v="Female"/>
    <n v="30000"/>
    <n v="4"/>
    <x v="4"/>
    <s v="Clerical"/>
    <s v="Yes"/>
    <n v="0"/>
    <s v="0-1 Miles"/>
    <s v="Europe"/>
    <s v="mature adult "/>
    <n v="45"/>
    <x v="0"/>
  </r>
  <r>
    <n v="24174"/>
    <s v="Married"/>
    <s v="Male"/>
    <n v="20000"/>
    <n v="0"/>
    <x v="0"/>
    <s v="Clerical"/>
    <s v="Yes"/>
    <n v="0"/>
    <s v="0-1 Miles"/>
    <s v="Pacific"/>
    <s v="young adults"/>
    <n v="27"/>
    <x v="1"/>
  </r>
  <r>
    <n v="24611"/>
    <s v="Single"/>
    <s v="Male"/>
    <n v="90000"/>
    <n v="0"/>
    <x v="0"/>
    <s v="Professional"/>
    <s v="No"/>
    <n v="4"/>
    <s v="more than 10 Miles"/>
    <s v="Pacific"/>
    <s v="adults"/>
    <n v="35"/>
    <x v="1"/>
  </r>
  <r>
    <n v="11340"/>
    <s v="Married"/>
    <s v="Female"/>
    <n v="10000"/>
    <n v="1"/>
    <x v="4"/>
    <s v="Clerical"/>
    <s v="Yes"/>
    <n v="0"/>
    <s v="0-1 Miles"/>
    <s v="Europe"/>
    <s v="senior citizen"/>
    <n v="70"/>
    <x v="1"/>
  </r>
  <r>
    <n v="25693"/>
    <s v="Single"/>
    <s v="Female"/>
    <n v="30000"/>
    <n v="5"/>
    <x v="4"/>
    <s v="Clerical"/>
    <s v="Yes"/>
    <n v="0"/>
    <s v="0-1 Miles"/>
    <s v="Europe"/>
    <s v="mature adult "/>
    <n v="44"/>
    <x v="1"/>
  </r>
  <r>
    <n v="25555"/>
    <s v="Married"/>
    <s v="Female"/>
    <n v="10000"/>
    <n v="0"/>
    <x v="1"/>
    <s v="Manual"/>
    <s v="No"/>
    <n v="1"/>
    <s v="0-1 Miles"/>
    <s v="Pacific"/>
    <s v="young adults"/>
    <n v="26"/>
    <x v="1"/>
  </r>
  <r>
    <n v="22006"/>
    <s v="Married"/>
    <s v="Male"/>
    <n v="70000"/>
    <n v="5"/>
    <x v="1"/>
    <s v="Skilled Manual"/>
    <s v="Yes"/>
    <n v="3"/>
    <s v="5-10 Miles"/>
    <s v="Pacific"/>
    <s v="mature adult "/>
    <n v="46"/>
    <x v="0"/>
  </r>
  <r>
    <n v="20060"/>
    <s v="Single"/>
    <s v="Female"/>
    <n v="30000"/>
    <n v="0"/>
    <x v="2"/>
    <s v="Manual"/>
    <s v="No"/>
    <n v="1"/>
    <s v="2-5 Miles"/>
    <s v="Europe"/>
    <s v="adults"/>
    <n v="34"/>
    <x v="1"/>
  </r>
  <r>
    <n v="17702"/>
    <s v="Married"/>
    <s v="Male"/>
    <n v="10000"/>
    <n v="1"/>
    <x v="4"/>
    <s v="Manual"/>
    <s v="Yes"/>
    <n v="0"/>
    <s v="0-1 Miles"/>
    <s v="Europe"/>
    <s v="adults"/>
    <n v="37"/>
    <x v="0"/>
  </r>
  <r>
    <n v="12503"/>
    <s v="Single"/>
    <s v="Female"/>
    <n v="30000"/>
    <n v="3"/>
    <x v="1"/>
    <s v="Clerical"/>
    <s v="Yes"/>
    <n v="2"/>
    <s v="0-1 Miles"/>
    <s v="Europe"/>
    <s v="young adults"/>
    <n v="27"/>
    <x v="0"/>
  </r>
  <r>
    <n v="23908"/>
    <s v="Single"/>
    <s v="Male"/>
    <n v="30000"/>
    <n v="1"/>
    <x v="0"/>
    <s v="Clerical"/>
    <s v="No"/>
    <n v="1"/>
    <s v="0-1 Miles"/>
    <s v="Europe"/>
    <s v="adults"/>
    <n v="39"/>
    <x v="1"/>
  </r>
  <r>
    <n v="22527"/>
    <s v="Single"/>
    <s v="Female"/>
    <n v="20000"/>
    <n v="0"/>
    <x v="2"/>
    <s v="Manual"/>
    <s v="No"/>
    <n v="1"/>
    <s v="2-5 Miles"/>
    <s v="Europe"/>
    <s v="young adults"/>
    <n v="29"/>
    <x v="0"/>
  </r>
  <r>
    <n v="19057"/>
    <s v="Married"/>
    <s v="Female"/>
    <n v="120000"/>
    <n v="3"/>
    <x v="0"/>
    <s v="Management"/>
    <s v="No"/>
    <n v="2"/>
    <s v="more than 10 Miles"/>
    <s v="Europe"/>
    <s v="mature adult "/>
    <n v="52"/>
    <x v="1"/>
  </r>
  <r>
    <n v="18494"/>
    <s v="Married"/>
    <s v="Male"/>
    <n v="110000"/>
    <n v="5"/>
    <x v="0"/>
    <s v="Management"/>
    <s v="Yes"/>
    <n v="4"/>
    <s v="2-5 Miles"/>
    <s v="Pacific"/>
    <s v="mature adult "/>
    <n v="48"/>
    <x v="1"/>
  </r>
  <r>
    <n v="11249"/>
    <s v="Married"/>
    <s v="Female"/>
    <n v="130000"/>
    <n v="3"/>
    <x v="1"/>
    <s v="Professional"/>
    <s v="Yes"/>
    <n v="3"/>
    <s v="0-1 Miles"/>
    <s v="Europe"/>
    <s v="mature adult "/>
    <n v="51"/>
    <x v="1"/>
  </r>
  <r>
    <n v="21568"/>
    <s v="Married"/>
    <s v="Female"/>
    <n v="100000"/>
    <n v="0"/>
    <x v="2"/>
    <s v="Management"/>
    <s v="Yes"/>
    <n v="4"/>
    <s v="more than 10 Miles"/>
    <s v="Pacific"/>
    <s v="adults"/>
    <n v="34"/>
    <x v="1"/>
  </r>
  <r>
    <n v="13981"/>
    <s v="Married"/>
    <s v="Female"/>
    <n v="10000"/>
    <n v="5"/>
    <x v="2"/>
    <s v="Skilled Manual"/>
    <s v="No"/>
    <n v="3"/>
    <s v="1-2 Miles"/>
    <s v="Pacific"/>
    <s v="middle age"/>
    <n v="62"/>
    <x v="0"/>
  </r>
  <r>
    <n v="23432"/>
    <s v="Single"/>
    <s v="Male"/>
    <n v="70000"/>
    <n v="0"/>
    <x v="0"/>
    <s v="Professional"/>
    <s v="Yes"/>
    <n v="1"/>
    <s v="5-10 Miles"/>
    <s v="Pacific"/>
    <s v="adults"/>
    <n v="37"/>
    <x v="1"/>
  </r>
  <r>
    <n v="22931"/>
    <s v="Married"/>
    <s v="Male"/>
    <n v="100000"/>
    <n v="5"/>
    <x v="4"/>
    <s v="Management"/>
    <s v="No"/>
    <n v="1"/>
    <s v="1-2 Miles"/>
    <s v="Pacific"/>
    <s v="senior citizen"/>
    <n v="78"/>
    <x v="1"/>
  </r>
  <r>
    <n v="18172"/>
    <s v="Married"/>
    <s v="Male"/>
    <n v="130000"/>
    <n v="4"/>
    <x v="2"/>
    <s v="Professional"/>
    <s v="Yes"/>
    <n v="3"/>
    <s v="0-1 Miles"/>
    <s v="Europe"/>
    <s v="middle age"/>
    <n v="55"/>
    <x v="0"/>
  </r>
  <r>
    <n v="12666"/>
    <s v="Single"/>
    <s v="Male"/>
    <n v="60000"/>
    <n v="0"/>
    <x v="0"/>
    <s v="Professional"/>
    <s v="No"/>
    <n v="4"/>
    <s v="2-5 Miles"/>
    <s v="Pacific"/>
    <s v="adults"/>
    <n v="31"/>
    <x v="0"/>
  </r>
  <r>
    <n v="20598"/>
    <s v="Married"/>
    <s v="Male"/>
    <n v="100000"/>
    <n v="3"/>
    <x v="3"/>
    <s v="Professional"/>
    <s v="Yes"/>
    <n v="0"/>
    <s v="more than 10 Miles"/>
    <s v="Europe"/>
    <s v="middle age"/>
    <n v="59"/>
    <x v="1"/>
  </r>
  <r>
    <n v="21375"/>
    <s v="Single"/>
    <s v="Male"/>
    <n v="20000"/>
    <n v="2"/>
    <x v="3"/>
    <s v="Clerical"/>
    <s v="Yes"/>
    <n v="2"/>
    <s v="5-10 Miles"/>
    <s v="Pacific"/>
    <s v="middle age"/>
    <n v="57"/>
    <x v="0"/>
  </r>
  <r>
    <n v="20839"/>
    <s v="Single"/>
    <s v="Female"/>
    <n v="30000"/>
    <n v="3"/>
    <x v="4"/>
    <s v="Clerical"/>
    <s v="Yes"/>
    <n v="0"/>
    <s v="0-1 Miles"/>
    <s v="Europe"/>
    <s v="mature adult "/>
    <n v="47"/>
    <x v="1"/>
  </r>
  <r>
    <n v="21738"/>
    <s v="Married"/>
    <s v="Male"/>
    <n v="20000"/>
    <n v="1"/>
    <x v="4"/>
    <s v="Clerical"/>
    <s v="Yes"/>
    <n v="0"/>
    <s v="0-1 Miles"/>
    <s v="Europe"/>
    <s v="mature adult "/>
    <n v="43"/>
    <x v="0"/>
  </r>
  <r>
    <n v="14164"/>
    <s v="Single"/>
    <s v="Female"/>
    <n v="50000"/>
    <n v="0"/>
    <x v="4"/>
    <s v="Skilled Manual"/>
    <s v="Yes"/>
    <n v="0"/>
    <s v="0-1 Miles"/>
    <s v="Europe"/>
    <s v="adults"/>
    <n v="36"/>
    <x v="1"/>
  </r>
  <r>
    <n v="14193"/>
    <s v="Single"/>
    <s v="Female"/>
    <n v="100000"/>
    <n v="3"/>
    <x v="1"/>
    <s v="Management"/>
    <s v="Yes"/>
    <n v="4"/>
    <s v="more than 10 Miles"/>
    <s v="Europe"/>
    <s v="middle age"/>
    <n v="56"/>
    <x v="0"/>
  </r>
  <r>
    <n v="12705"/>
    <s v="Married"/>
    <s v="Male"/>
    <n v="150000"/>
    <n v="0"/>
    <x v="0"/>
    <s v="Management"/>
    <s v="Yes"/>
    <n v="4"/>
    <s v="0-1 Miles"/>
    <s v="Pacific"/>
    <s v="adults"/>
    <n v="37"/>
    <x v="1"/>
  </r>
  <r>
    <n v="22672"/>
    <s v="Single"/>
    <s v="Female"/>
    <n v="30000"/>
    <n v="2"/>
    <x v="1"/>
    <s v="Clerical"/>
    <s v="Yes"/>
    <n v="0"/>
    <s v="0-1 Miles"/>
    <s v="Europe"/>
    <s v="mature adult "/>
    <n v="43"/>
    <x v="0"/>
  </r>
  <r>
    <n v="26219"/>
    <s v="Married"/>
    <s v="Female"/>
    <n v="40000"/>
    <n v="1"/>
    <x v="0"/>
    <s v="Skilled Manual"/>
    <s v="Yes"/>
    <n v="1"/>
    <s v="1-2 Miles"/>
    <s v="Europe"/>
    <s v="adults"/>
    <n v="33"/>
    <x v="1"/>
  </r>
  <r>
    <n v="28468"/>
    <s v="Married"/>
    <s v="Female"/>
    <n v="10000"/>
    <n v="2"/>
    <x v="1"/>
    <s v="Manual"/>
    <s v="Yes"/>
    <n v="0"/>
    <s v="1-2 Miles"/>
    <s v="Europe"/>
    <s v="mature adult "/>
    <n v="51"/>
    <x v="0"/>
  </r>
  <r>
    <n v="23419"/>
    <s v="Single"/>
    <s v="Female"/>
    <n v="70000"/>
    <n v="5"/>
    <x v="0"/>
    <s v="Professional"/>
    <s v="Yes"/>
    <n v="3"/>
    <s v="more than 10 Miles"/>
    <s v="Pacific"/>
    <s v="adults"/>
    <n v="39"/>
    <x v="0"/>
  </r>
  <r>
    <n v="17964"/>
    <s v="Married"/>
    <s v="Male"/>
    <n v="40000"/>
    <n v="0"/>
    <x v="4"/>
    <s v="Clerical"/>
    <s v="Yes"/>
    <n v="0"/>
    <s v="0-1 Miles"/>
    <s v="Europe"/>
    <s v="adults"/>
    <n v="37"/>
    <x v="1"/>
  </r>
  <r>
    <n v="20919"/>
    <s v="Single"/>
    <s v="Female"/>
    <n v="30000"/>
    <n v="2"/>
    <x v="1"/>
    <s v="Clerical"/>
    <s v="Yes"/>
    <n v="2"/>
    <s v="0-1 Miles"/>
    <s v="Europe"/>
    <s v="mature adult "/>
    <n v="42"/>
    <x v="0"/>
  </r>
  <r>
    <n v="20927"/>
    <s v="Single"/>
    <s v="Female"/>
    <n v="20000"/>
    <n v="5"/>
    <x v="2"/>
    <s v="Manual"/>
    <s v="Yes"/>
    <n v="2"/>
    <s v="0-1 Miles"/>
    <s v="Europe"/>
    <s v="young adults"/>
    <n v="27"/>
    <x v="0"/>
  </r>
  <r>
    <n v="13133"/>
    <s v="Single"/>
    <s v="Male"/>
    <n v="100000"/>
    <n v="5"/>
    <x v="0"/>
    <s v="Professional"/>
    <s v="Yes"/>
    <n v="1"/>
    <s v="5-10 Miles"/>
    <s v="Pacific"/>
    <s v="mature adult "/>
    <n v="47"/>
    <x v="1"/>
  </r>
  <r>
    <n v="19626"/>
    <s v="Married"/>
    <s v="Male"/>
    <n v="70000"/>
    <n v="5"/>
    <x v="1"/>
    <s v="Skilled Manual"/>
    <s v="Yes"/>
    <n v="3"/>
    <s v="5-10 Miles"/>
    <s v="Pacific"/>
    <s v="mature adult "/>
    <n v="45"/>
    <x v="0"/>
  </r>
  <r>
    <n v="21039"/>
    <s v="Single"/>
    <s v="Female"/>
    <n v="50000"/>
    <n v="0"/>
    <x v="4"/>
    <s v="Skilled Manual"/>
    <s v="No"/>
    <n v="0"/>
    <s v="0-1 Miles"/>
    <s v="Europe"/>
    <s v="adults"/>
    <n v="37"/>
    <x v="1"/>
  </r>
  <r>
    <n v="12231"/>
    <s v="Single"/>
    <s v="Female"/>
    <n v="10000"/>
    <n v="2"/>
    <x v="1"/>
    <s v="Manual"/>
    <s v="Yes"/>
    <n v="0"/>
    <s v="0-1 Miles"/>
    <s v="Europe"/>
    <s v="mature adult "/>
    <n v="51"/>
    <x v="1"/>
  </r>
  <r>
    <n v="25665"/>
    <s v="Single"/>
    <s v="Female"/>
    <n v="20000"/>
    <n v="0"/>
    <x v="2"/>
    <s v="Manual"/>
    <s v="No"/>
    <n v="1"/>
    <s v="1-2 Miles"/>
    <s v="Europe"/>
    <s v="young adults"/>
    <n v="28"/>
    <x v="0"/>
  </r>
  <r>
    <n v="24061"/>
    <s v="Married"/>
    <s v="Male"/>
    <n v="10000"/>
    <n v="4"/>
    <x v="3"/>
    <s v="Manual"/>
    <s v="Yes"/>
    <n v="1"/>
    <s v="0-1 Miles"/>
    <s v="Europe"/>
    <s v="mature adult "/>
    <n v="40"/>
    <x v="1"/>
  </r>
  <r>
    <n v="26879"/>
    <s v="Single"/>
    <s v="Female"/>
    <n v="20000"/>
    <n v="0"/>
    <x v="2"/>
    <s v="Manual"/>
    <s v="No"/>
    <n v="1"/>
    <s v="2-5 Miles"/>
    <s v="Europe"/>
    <s v="adults"/>
    <n v="30"/>
    <x v="0"/>
  </r>
  <r>
    <n v="12284"/>
    <s v="Married"/>
    <s v="Female"/>
    <n v="30000"/>
    <n v="0"/>
    <x v="0"/>
    <s v="Clerical"/>
    <s v="No"/>
    <n v="0"/>
    <s v="0-1 Miles"/>
    <s v="Europe"/>
    <s v="adults"/>
    <n v="36"/>
    <x v="1"/>
  </r>
  <r>
    <n v="26654"/>
    <s v="Married"/>
    <s v="Female"/>
    <n v="90000"/>
    <n v="1"/>
    <x v="4"/>
    <s v="Management"/>
    <s v="Yes"/>
    <n v="0"/>
    <s v="0-1 Miles"/>
    <s v="Pacific"/>
    <s v="adults"/>
    <n v="37"/>
    <x v="1"/>
  </r>
  <r>
    <n v="14545"/>
    <s v="Married"/>
    <s v="Female"/>
    <n v="10000"/>
    <n v="2"/>
    <x v="1"/>
    <s v="Manual"/>
    <s v="Yes"/>
    <n v="0"/>
    <s v="1-2 Miles"/>
    <s v="Europe"/>
    <s v="mature adult "/>
    <n v="49"/>
    <x v="0"/>
  </r>
  <r>
    <n v="24201"/>
    <s v="Married"/>
    <s v="Female"/>
    <n v="10000"/>
    <n v="2"/>
    <x v="2"/>
    <s v="Manual"/>
    <s v="Yes"/>
    <n v="0"/>
    <s v="0-1 Miles"/>
    <s v="Europe"/>
    <s v="adults"/>
    <n v="37"/>
    <x v="1"/>
  </r>
  <r>
    <n v="20625"/>
    <s v="Married"/>
    <s v="Male"/>
    <n v="100000"/>
    <n v="0"/>
    <x v="2"/>
    <s v="Management"/>
    <s v="Yes"/>
    <n v="3"/>
    <s v="more than 10 Miles"/>
    <s v="Pacific"/>
    <s v="adults"/>
    <n v="35"/>
    <x v="1"/>
  </r>
  <r>
    <n v="16390"/>
    <s v="Single"/>
    <s v="Male"/>
    <n v="30000"/>
    <n v="1"/>
    <x v="0"/>
    <s v="Clerical"/>
    <s v="No"/>
    <n v="0"/>
    <s v="0-1 Miles"/>
    <s v="Europe"/>
    <s v="adults"/>
    <n v="38"/>
    <x v="1"/>
  </r>
  <r>
    <n v="14804"/>
    <s v="Single"/>
    <s v="Female"/>
    <n v="10000"/>
    <n v="3"/>
    <x v="3"/>
    <s v="Manual"/>
    <s v="Yes"/>
    <n v="2"/>
    <s v="0-1 Miles"/>
    <s v="Europe"/>
    <s v="mature adult "/>
    <n v="43"/>
    <x v="0"/>
  </r>
  <r>
    <n v="12629"/>
    <s v="Single"/>
    <s v="Male"/>
    <n v="20000"/>
    <n v="1"/>
    <x v="1"/>
    <s v="Manual"/>
    <s v="No"/>
    <n v="0"/>
    <s v="0-1 Miles"/>
    <s v="Europe"/>
    <s v="adults"/>
    <n v="37"/>
    <x v="0"/>
  </r>
  <r>
    <n v="14696"/>
    <s v="Single"/>
    <s v="Male"/>
    <n v="10000"/>
    <n v="0"/>
    <x v="3"/>
    <s v="Manual"/>
    <s v="No"/>
    <n v="2"/>
    <s v="0-1 Miles"/>
    <s v="Europe"/>
    <s v="adults"/>
    <n v="34"/>
    <x v="0"/>
  </r>
  <r>
    <n v="22005"/>
    <s v="Married"/>
    <s v="Female"/>
    <n v="70000"/>
    <n v="5"/>
    <x v="1"/>
    <s v="Skilled Manual"/>
    <s v="No"/>
    <n v="3"/>
    <s v="5-10 Miles"/>
    <s v="Pacific"/>
    <s v="mature adult "/>
    <n v="46"/>
    <x v="0"/>
  </r>
  <r>
    <n v="14544"/>
    <s v="Single"/>
    <s v="Male"/>
    <n v="10000"/>
    <n v="1"/>
    <x v="1"/>
    <s v="Manual"/>
    <s v="Yes"/>
    <n v="0"/>
    <s v="0-1 Miles"/>
    <s v="Europe"/>
    <s v="mature adult "/>
    <n v="49"/>
    <x v="0"/>
  </r>
  <r>
    <n v="14312"/>
    <s v="Married"/>
    <s v="Female"/>
    <n v="60000"/>
    <n v="1"/>
    <x v="1"/>
    <s v="Skilled Manual"/>
    <s v="Yes"/>
    <n v="1"/>
    <s v="5-10 Miles"/>
    <s v="Pacific"/>
    <s v="mature adult "/>
    <n v="45"/>
    <x v="0"/>
  </r>
  <r>
    <n v="29120"/>
    <s v="Single"/>
    <s v="Female"/>
    <n v="100000"/>
    <n v="1"/>
    <x v="0"/>
    <s v="Management"/>
    <s v="Yes"/>
    <n v="4"/>
    <s v="2-5 Miles"/>
    <s v="Pacific"/>
    <s v="mature adult "/>
    <n v="48"/>
    <x v="0"/>
  </r>
  <r>
    <n v="24187"/>
    <s v="Single"/>
    <s v="Female"/>
    <n v="30000"/>
    <n v="3"/>
    <x v="4"/>
    <s v="Clerical"/>
    <s v="No"/>
    <n v="0"/>
    <s v="0-1 Miles"/>
    <s v="Europe"/>
    <s v="mature adult "/>
    <n v="46"/>
    <x v="1"/>
  </r>
  <r>
    <n v="15758"/>
    <s v="Married"/>
    <s v="Male"/>
    <n v="130000"/>
    <n v="0"/>
    <x v="4"/>
    <s v="Management"/>
    <s v="Yes"/>
    <n v="0"/>
    <s v="5-10 Miles"/>
    <s v="Pacific"/>
    <s v="mature adult "/>
    <n v="48"/>
    <x v="0"/>
  </r>
  <r>
    <n v="29094"/>
    <s v="Married"/>
    <s v="Male"/>
    <n v="30000"/>
    <n v="3"/>
    <x v="2"/>
    <s v="Skilled Manual"/>
    <s v="Yes"/>
    <n v="2"/>
    <s v="5-10 Miles"/>
    <s v="Pacific"/>
    <s v="mature adult "/>
    <n v="54"/>
    <x v="1"/>
  </r>
  <r>
    <n v="28319"/>
    <s v="Single"/>
    <s v="Female"/>
    <n v="60000"/>
    <n v="1"/>
    <x v="1"/>
    <s v="Skilled Manual"/>
    <s v="No"/>
    <n v="1"/>
    <s v="0-1 Miles"/>
    <s v="Pacific"/>
    <s v="mature adult "/>
    <n v="46"/>
    <x v="1"/>
  </r>
  <r>
    <n v="16406"/>
    <s v="Married"/>
    <s v="Male"/>
    <n v="40000"/>
    <n v="0"/>
    <x v="0"/>
    <s v="Clerical"/>
    <s v="No"/>
    <n v="0"/>
    <s v="0-1 Miles"/>
    <s v="Europe"/>
    <s v="adults"/>
    <n v="38"/>
    <x v="1"/>
  </r>
  <r>
    <n v="20923"/>
    <s v="Married"/>
    <s v="Female"/>
    <n v="40000"/>
    <n v="1"/>
    <x v="0"/>
    <s v="Skilled Manual"/>
    <s v="Yes"/>
    <n v="0"/>
    <s v="0-1 Miles"/>
    <s v="Europe"/>
    <s v="mature adult "/>
    <n v="42"/>
    <x v="1"/>
  </r>
  <r>
    <n v="11378"/>
    <s v="Single"/>
    <s v="Female"/>
    <n v="10000"/>
    <n v="1"/>
    <x v="2"/>
    <s v="Manual"/>
    <s v="No"/>
    <n v="1"/>
    <s v="2-5 Miles"/>
    <s v="Europe"/>
    <s v="mature adult "/>
    <n v="46"/>
    <x v="1"/>
  </r>
  <r>
    <n v="20851"/>
    <s v="Single"/>
    <s v="Male"/>
    <n v="20000"/>
    <n v="0"/>
    <x v="1"/>
    <s v="Manual"/>
    <s v="No"/>
    <n v="1"/>
    <s v="2-5 Miles"/>
    <s v="Europe"/>
    <s v="adults"/>
    <n v="36"/>
    <x v="1"/>
  </r>
  <r>
    <n v="21557"/>
    <s v="Single"/>
    <s v="Female"/>
    <n v="110000"/>
    <n v="0"/>
    <x v="1"/>
    <s v="Management"/>
    <s v="Yes"/>
    <n v="3"/>
    <s v="more than 10 Miles"/>
    <s v="Pacific"/>
    <s v="adults"/>
    <n v="32"/>
    <x v="1"/>
  </r>
  <r>
    <n v="26663"/>
    <s v="Single"/>
    <s v="Female"/>
    <n v="60000"/>
    <n v="2"/>
    <x v="0"/>
    <s v="Professional"/>
    <s v="No"/>
    <n v="1"/>
    <s v="0-1 Miles"/>
    <s v="Pacific"/>
    <s v="adults"/>
    <n v="39"/>
    <x v="1"/>
  </r>
  <r>
    <n v="11896"/>
    <s v="Married"/>
    <s v="Male"/>
    <n v="100000"/>
    <n v="1"/>
    <x v="4"/>
    <s v="Management"/>
    <s v="Yes"/>
    <n v="0"/>
    <s v="2-5 Miles"/>
    <s v="Pacific"/>
    <s v="adults"/>
    <n v="36"/>
    <x v="1"/>
  </r>
  <r>
    <n v="14189"/>
    <s v="Married"/>
    <s v="Female"/>
    <n v="90000"/>
    <n v="4"/>
    <x v="2"/>
    <s v="Professional"/>
    <s v="No"/>
    <n v="2"/>
    <s v="2-5 Miles"/>
    <s v="Europe"/>
    <s v="mature adult "/>
    <n v="54"/>
    <x v="1"/>
  </r>
  <r>
    <n v="13136"/>
    <s v="Married"/>
    <s v="Female"/>
    <n v="30000"/>
    <n v="2"/>
    <x v="1"/>
    <s v="Clerical"/>
    <s v="No"/>
    <n v="2"/>
    <s v="5-10 Miles"/>
    <s v="Pacific"/>
    <s v="middle age"/>
    <n v="69"/>
    <x v="0"/>
  </r>
  <r>
    <n v="25906"/>
    <s v="Single"/>
    <s v="Female"/>
    <n v="10000"/>
    <n v="5"/>
    <x v="2"/>
    <s v="Skilled Manual"/>
    <s v="No"/>
    <n v="2"/>
    <s v="1-2 Miles"/>
    <s v="Pacific"/>
    <s v="middle age"/>
    <n v="62"/>
    <x v="0"/>
  </r>
  <r>
    <n v="17926"/>
    <s v="Single"/>
    <s v="Female"/>
    <n v="40000"/>
    <n v="0"/>
    <x v="0"/>
    <s v="Clerical"/>
    <s v="No"/>
    <n v="0"/>
    <s v="0-1 Miles"/>
    <s v="Pacific"/>
    <s v="young adults"/>
    <n v="28"/>
    <x v="1"/>
  </r>
  <r>
    <n v="26928"/>
    <s v="Single"/>
    <s v="Male"/>
    <n v="30000"/>
    <n v="1"/>
    <x v="0"/>
    <s v="Clerical"/>
    <s v="Yes"/>
    <n v="0"/>
    <s v="0-1 Miles"/>
    <s v="Europe"/>
    <s v="middle age"/>
    <n v="62"/>
    <x v="1"/>
  </r>
  <r>
    <n v="20897"/>
    <s v="Married"/>
    <s v="Female"/>
    <n v="30000"/>
    <n v="1"/>
    <x v="0"/>
    <s v="Skilled Manual"/>
    <s v="Yes"/>
    <n v="2"/>
    <s v="0-1 Miles"/>
    <s v="Europe"/>
    <s v="mature adult "/>
    <n v="40"/>
    <x v="0"/>
  </r>
  <r>
    <n v="28207"/>
    <s v="Married"/>
    <s v="Male"/>
    <n v="80000"/>
    <n v="4"/>
    <x v="4"/>
    <s v="Management"/>
    <s v="Yes"/>
    <n v="1"/>
    <s v="0-1 Miles"/>
    <s v="Pacific"/>
    <s v="adults"/>
    <n v="36"/>
    <x v="1"/>
  </r>
  <r>
    <n v="25923"/>
    <s v="Single"/>
    <s v="Male"/>
    <n v="10000"/>
    <n v="2"/>
    <x v="3"/>
    <s v="Clerical"/>
    <s v="Yes"/>
    <n v="2"/>
    <s v="5-10 Miles"/>
    <s v="Pacific"/>
    <s v="middle age"/>
    <n v="58"/>
    <x v="0"/>
  </r>
  <r>
    <n v="11000"/>
    <s v="Married"/>
    <s v="Male"/>
    <n v="90000"/>
    <n v="2"/>
    <x v="0"/>
    <s v="Professional"/>
    <s v="Yes"/>
    <n v="0"/>
    <s v="1-2 Miles"/>
    <s v="Pacific"/>
    <s v="mature adult "/>
    <n v="40"/>
    <x v="1"/>
  </r>
  <r>
    <n v="20974"/>
    <s v="Married"/>
    <s v="Male"/>
    <n v="10000"/>
    <n v="2"/>
    <x v="0"/>
    <s v="Clerical"/>
    <s v="Yes"/>
    <n v="1"/>
    <s v="0-1 Miles"/>
    <s v="Europe"/>
    <s v="middle age"/>
    <n v="66"/>
    <x v="0"/>
  </r>
  <r>
    <n v="28758"/>
    <s v="Married"/>
    <s v="Male"/>
    <n v="40000"/>
    <n v="2"/>
    <x v="1"/>
    <s v="Clerical"/>
    <s v="Yes"/>
    <n v="1"/>
    <s v="1-2 Miles"/>
    <s v="Europe"/>
    <s v="adults"/>
    <n v="35"/>
    <x v="1"/>
  </r>
  <r>
    <n v="11381"/>
    <s v="Married"/>
    <s v="Female"/>
    <n v="20000"/>
    <n v="2"/>
    <x v="1"/>
    <s v="Manual"/>
    <s v="Yes"/>
    <n v="1"/>
    <s v="2-5 Miles"/>
    <s v="Europe"/>
    <s v="mature adult "/>
    <n v="47"/>
    <x v="1"/>
  </r>
  <r>
    <n v="17522"/>
    <s v="Married"/>
    <s v="Male"/>
    <n v="120000"/>
    <n v="4"/>
    <x v="0"/>
    <s v="Management"/>
    <s v="Yes"/>
    <n v="1"/>
    <s v="2-5 Miles"/>
    <s v="Pacific"/>
    <s v="mature adult "/>
    <n v="47"/>
    <x v="0"/>
  </r>
  <r>
    <n v="21207"/>
    <s v="Married"/>
    <s v="Male"/>
    <n v="60000"/>
    <n v="1"/>
    <x v="1"/>
    <s v="Skilled Manual"/>
    <s v="Yes"/>
    <n v="1"/>
    <s v="5-10 Miles"/>
    <s v="Pacific"/>
    <s v="mature adult "/>
    <n v="46"/>
    <x v="0"/>
  </r>
  <r>
    <n v="28102"/>
    <s v="Married"/>
    <s v="Male"/>
    <n v="20000"/>
    <n v="4"/>
    <x v="2"/>
    <s v="Skilled Manual"/>
    <s v="Yes"/>
    <n v="2"/>
    <s v="5-10 Miles"/>
    <s v="Pacific"/>
    <s v="middle age"/>
    <n v="58"/>
    <x v="1"/>
  </r>
  <r>
    <n v="23105"/>
    <s v="Single"/>
    <s v="Male"/>
    <n v="40000"/>
    <n v="3"/>
    <x v="3"/>
    <s v="Clerical"/>
    <s v="No"/>
    <n v="2"/>
    <s v="5-10 Miles"/>
    <s v="Pacific"/>
    <s v="mature adult "/>
    <n v="52"/>
    <x v="1"/>
  </r>
  <r>
    <n v="18740"/>
    <s v="Married"/>
    <s v="Male"/>
    <n v="80000"/>
    <n v="5"/>
    <x v="0"/>
    <s v="Professional"/>
    <s v="No"/>
    <n v="1"/>
    <s v="0-1 Miles"/>
    <s v="Pacific"/>
    <s v="mature adult "/>
    <n v="47"/>
    <x v="1"/>
  </r>
  <r>
    <n v="21213"/>
    <s v="Single"/>
    <s v="Male"/>
    <n v="70000"/>
    <n v="0"/>
    <x v="0"/>
    <s v="Professional"/>
    <s v="No"/>
    <n v="1"/>
    <s v="5-10 Miles"/>
    <s v="Pacific"/>
    <s v="mature adult "/>
    <n v="41"/>
    <x v="0"/>
  </r>
  <r>
    <n v="17352"/>
    <s v="Married"/>
    <s v="Male"/>
    <n v="50000"/>
    <n v="2"/>
    <x v="4"/>
    <s v="Management"/>
    <s v="Yes"/>
    <n v="1"/>
    <s v="5-10 Miles"/>
    <s v="Pacific"/>
    <s v="middle age"/>
    <n v="64"/>
    <x v="1"/>
  </r>
  <r>
    <n v="14154"/>
    <s v="Married"/>
    <s v="Male"/>
    <n v="30000"/>
    <n v="0"/>
    <x v="0"/>
    <s v="Clerical"/>
    <s v="Yes"/>
    <n v="0"/>
    <s v="0-1 Miles"/>
    <s v="Europe"/>
    <s v="adults"/>
    <n v="35"/>
    <x v="1"/>
  </r>
  <r>
    <n v="19066"/>
    <s v="Married"/>
    <s v="Male"/>
    <n v="130000"/>
    <n v="4"/>
    <x v="1"/>
    <s v="Professional"/>
    <s v="No"/>
    <n v="3"/>
    <s v="more than 10 Miles"/>
    <s v="Europe"/>
    <s v="mature adult "/>
    <n v="54"/>
    <x v="0"/>
  </r>
  <r>
    <n v="11386"/>
    <s v="Married"/>
    <s v="Female"/>
    <n v="30000"/>
    <n v="3"/>
    <x v="0"/>
    <s v="Clerical"/>
    <s v="Yes"/>
    <n v="0"/>
    <s v="0-1 Miles"/>
    <s v="Europe"/>
    <s v="mature adult "/>
    <n v="45"/>
    <x v="0"/>
  </r>
  <r>
    <n v="20228"/>
    <s v="Married"/>
    <s v="Male"/>
    <n v="100000"/>
    <n v="0"/>
    <x v="4"/>
    <s v="Management"/>
    <s v="Yes"/>
    <n v="0"/>
    <s v="2-5 Miles"/>
    <s v="Pacific"/>
    <s v="mature adult "/>
    <n v="40"/>
    <x v="1"/>
  </r>
  <r>
    <n v="16675"/>
    <s v="Single"/>
    <s v="Female"/>
    <n v="160000"/>
    <n v="0"/>
    <x v="4"/>
    <s v="Management"/>
    <s v="No"/>
    <n v="3"/>
    <s v="0-1 Miles"/>
    <s v="Pacific"/>
    <s v="mature adult "/>
    <n v="47"/>
    <x v="1"/>
  </r>
  <r>
    <n v="16410"/>
    <s v="Single"/>
    <s v="Female"/>
    <n v="10000"/>
    <n v="4"/>
    <x v="3"/>
    <s v="Manual"/>
    <s v="Yes"/>
    <n v="2"/>
    <s v="0-1 Miles"/>
    <s v="Europe"/>
    <s v="mature adult "/>
    <n v="41"/>
    <x v="1"/>
  </r>
  <r>
    <n v="27760"/>
    <s v="Single"/>
    <s v="Female"/>
    <n v="40000"/>
    <n v="0"/>
    <x v="4"/>
    <s v="Clerical"/>
    <s v="No"/>
    <n v="0"/>
    <s v="0-1 Miles"/>
    <s v="Europe"/>
    <s v="adults"/>
    <n v="37"/>
    <x v="1"/>
  </r>
  <r>
    <n v="22930"/>
    <s v="Married"/>
    <s v="Male"/>
    <n v="90000"/>
    <n v="4"/>
    <x v="0"/>
    <s v="Professional"/>
    <s v="Yes"/>
    <n v="0"/>
    <s v="1-2 Miles"/>
    <s v="Pacific"/>
    <s v="adults"/>
    <n v="38"/>
    <x v="1"/>
  </r>
  <r>
    <n v="23780"/>
    <s v="Single"/>
    <s v="Male"/>
    <n v="40000"/>
    <n v="2"/>
    <x v="1"/>
    <s v="Clerical"/>
    <s v="No"/>
    <n v="2"/>
    <s v="0-1 Miles"/>
    <s v="Europe"/>
    <s v="adults"/>
    <n v="36"/>
    <x v="1"/>
  </r>
  <r>
    <n v="20994"/>
    <s v="Married"/>
    <s v="Female"/>
    <n v="20000"/>
    <n v="0"/>
    <x v="0"/>
    <s v="Clerical"/>
    <s v="No"/>
    <n v="0"/>
    <s v="0-1 Miles"/>
    <s v="Pacific"/>
    <s v="young adults"/>
    <n v="26"/>
    <x v="1"/>
  </r>
  <r>
    <n v="28379"/>
    <s v="Married"/>
    <s v="Male"/>
    <n v="30000"/>
    <n v="1"/>
    <x v="0"/>
    <s v="Skilled Manual"/>
    <s v="Yes"/>
    <n v="2"/>
    <s v="0-1 Miles"/>
    <s v="Europe"/>
    <s v="mature adult "/>
    <n v="40"/>
    <x v="0"/>
  </r>
  <r>
    <n v="14865"/>
    <s v="Single"/>
    <s v="Male"/>
    <n v="40000"/>
    <n v="2"/>
    <x v="1"/>
    <s v="Clerical"/>
    <s v="Yes"/>
    <n v="2"/>
    <s v="1-2 Miles"/>
    <s v="Europe"/>
    <s v="adults"/>
    <n v="36"/>
    <x v="0"/>
  </r>
  <r>
    <n v="12663"/>
    <s v="Married"/>
    <s v="Female"/>
    <n v="90000"/>
    <n v="5"/>
    <x v="3"/>
    <s v="Skilled Manual"/>
    <s v="Yes"/>
    <n v="2"/>
    <s v="more than 10 Miles"/>
    <s v="Europe"/>
    <s v="middle age"/>
    <n v="59"/>
    <x v="0"/>
  </r>
  <r>
    <n v="24898"/>
    <s v="Single"/>
    <s v="Female"/>
    <n v="80000"/>
    <n v="0"/>
    <x v="0"/>
    <s v="Professional"/>
    <s v="Yes"/>
    <n v="3"/>
    <s v="more than 10 Miles"/>
    <s v="Pacific"/>
    <s v="adults"/>
    <n v="32"/>
    <x v="0"/>
  </r>
  <r>
    <n v="19508"/>
    <s v="Married"/>
    <s v="Male"/>
    <n v="10000"/>
    <n v="0"/>
    <x v="3"/>
    <s v="Manual"/>
    <s v="No"/>
    <n v="2"/>
    <s v="0-1 Miles"/>
    <s v="Europe"/>
    <s v="adults"/>
    <n v="30"/>
    <x v="0"/>
  </r>
  <r>
    <n v="11489"/>
    <s v="Single"/>
    <s v="Female"/>
    <n v="20000"/>
    <n v="0"/>
    <x v="3"/>
    <s v="Manual"/>
    <s v="No"/>
    <n v="2"/>
    <s v="1-2 Miles"/>
    <s v="Europe"/>
    <s v="adults"/>
    <n v="35"/>
    <x v="1"/>
  </r>
  <r>
    <n v="18160"/>
    <s v="Married"/>
    <s v="Male"/>
    <n v="130000"/>
    <n v="3"/>
    <x v="2"/>
    <s v="Professional"/>
    <s v="Yes"/>
    <n v="4"/>
    <s v="5-10 Miles"/>
    <s v="Europe"/>
    <s v="mature adult "/>
    <n v="51"/>
    <x v="1"/>
  </r>
  <r>
    <n v="25241"/>
    <s v="Married"/>
    <s v="Male"/>
    <n v="90000"/>
    <n v="2"/>
    <x v="0"/>
    <s v="Professional"/>
    <s v="Yes"/>
    <n v="1"/>
    <s v="5-10 Miles"/>
    <s v="Pacific"/>
    <s v="mature adult "/>
    <n v="47"/>
    <x v="0"/>
  </r>
  <r>
    <n v="24369"/>
    <s v="Married"/>
    <s v="Male"/>
    <n v="80000"/>
    <n v="5"/>
    <x v="4"/>
    <s v="Management"/>
    <s v="No"/>
    <n v="2"/>
    <s v="0-1 Miles"/>
    <s v="Pacific"/>
    <s v="adults"/>
    <n v="39"/>
    <x v="0"/>
  </r>
  <r>
    <n v="27165"/>
    <s v="Single"/>
    <s v="Male"/>
    <n v="20000"/>
    <n v="0"/>
    <x v="3"/>
    <s v="Manual"/>
    <s v="No"/>
    <n v="2"/>
    <s v="0-1 Miles"/>
    <s v="Europe"/>
    <s v="adults"/>
    <n v="34"/>
    <x v="0"/>
  </r>
  <r>
    <n v="29424"/>
    <s v="Married"/>
    <s v="Male"/>
    <n v="10000"/>
    <n v="0"/>
    <x v="3"/>
    <s v="Manual"/>
    <s v="Yes"/>
    <n v="2"/>
    <s v="0-1 Miles"/>
    <s v="Europe"/>
    <s v="adults"/>
    <n v="32"/>
    <x v="0"/>
  </r>
  <r>
    <n v="15926"/>
    <s v="Single"/>
    <s v="Female"/>
    <n v="120000"/>
    <n v="3"/>
    <x v="2"/>
    <s v="Professional"/>
    <s v="Yes"/>
    <n v="4"/>
    <s v="5-10 Miles"/>
    <s v="Europe"/>
    <s v="mature adult "/>
    <n v="50"/>
    <x v="1"/>
  </r>
  <r>
    <n v="14554"/>
    <s v="Married"/>
    <s v="Male"/>
    <n v="20000"/>
    <n v="1"/>
    <x v="0"/>
    <s v="Clerical"/>
    <s v="Yes"/>
    <n v="0"/>
    <s v="0-1 Miles"/>
    <s v="Europe"/>
    <s v="middle age"/>
    <n v="66"/>
    <x v="0"/>
  </r>
  <r>
    <n v="16468"/>
    <s v="Single"/>
    <s v="Male"/>
    <n v="30000"/>
    <n v="0"/>
    <x v="1"/>
    <s v="Clerical"/>
    <s v="Yes"/>
    <n v="1"/>
    <s v="2-5 Miles"/>
    <s v="Europe"/>
    <s v="adults"/>
    <n v="30"/>
    <x v="0"/>
  </r>
  <r>
    <n v="19174"/>
    <s v="Single"/>
    <s v="Female"/>
    <n v="30000"/>
    <n v="0"/>
    <x v="2"/>
    <s v="Manual"/>
    <s v="No"/>
    <n v="1"/>
    <s v="2-5 Miles"/>
    <s v="Europe"/>
    <s v="adults"/>
    <n v="32"/>
    <x v="1"/>
  </r>
  <r>
    <n v="19183"/>
    <s v="Single"/>
    <s v="Male"/>
    <n v="10000"/>
    <n v="0"/>
    <x v="3"/>
    <s v="Manual"/>
    <s v="Yes"/>
    <n v="2"/>
    <s v="1-2 Miles"/>
    <s v="Europe"/>
    <s v="adults"/>
    <n v="35"/>
    <x v="0"/>
  </r>
  <r>
    <n v="13683"/>
    <s v="Single"/>
    <s v="Female"/>
    <n v="30000"/>
    <n v="0"/>
    <x v="2"/>
    <s v="Manual"/>
    <s v="No"/>
    <n v="1"/>
    <s v="2-5 Miles"/>
    <s v="Europe"/>
    <s v="adults"/>
    <n v="32"/>
    <x v="0"/>
  </r>
  <r>
    <n v="17848"/>
    <s v="Single"/>
    <s v="Male"/>
    <n v="30000"/>
    <n v="0"/>
    <x v="1"/>
    <s v="Clerical"/>
    <s v="No"/>
    <n v="1"/>
    <s v="2-5 Miles"/>
    <s v="Europe"/>
    <s v="adults"/>
    <n v="31"/>
    <x v="1"/>
  </r>
  <r>
    <n v="17894"/>
    <s v="Married"/>
    <s v="Female"/>
    <n v="20000"/>
    <n v="1"/>
    <x v="0"/>
    <s v="Clerical"/>
    <s v="Yes"/>
    <n v="0"/>
    <s v="0-1 Miles"/>
    <s v="Europe"/>
    <s v="mature adult "/>
    <n v="50"/>
    <x v="1"/>
  </r>
  <r>
    <n v="25651"/>
    <s v="Married"/>
    <s v="Male"/>
    <n v="40000"/>
    <n v="1"/>
    <x v="0"/>
    <s v="Skilled Manual"/>
    <s v="No"/>
    <n v="0"/>
    <s v="0-1 Miles"/>
    <s v="Europe"/>
    <s v="mature adult "/>
    <n v="43"/>
    <x v="1"/>
  </r>
  <r>
    <n v="22936"/>
    <s v="Single"/>
    <s v="Female"/>
    <n v="60000"/>
    <n v="1"/>
    <x v="1"/>
    <s v="Skilled Manual"/>
    <s v="No"/>
    <n v="1"/>
    <s v="0-1 Miles"/>
    <s v="Pacific"/>
    <s v="mature adult "/>
    <n v="45"/>
    <x v="1"/>
  </r>
  <r>
    <n v="23915"/>
    <s v="Married"/>
    <s v="Male"/>
    <n v="20000"/>
    <n v="2"/>
    <x v="2"/>
    <s v="Manual"/>
    <s v="Yes"/>
    <n v="2"/>
    <s v="0-1 Miles"/>
    <s v="Europe"/>
    <s v="mature adult "/>
    <n v="42"/>
    <x v="0"/>
  </r>
  <r>
    <n v="24121"/>
    <s v="Single"/>
    <s v="Female"/>
    <n v="30000"/>
    <n v="0"/>
    <x v="1"/>
    <s v="Clerical"/>
    <s v="No"/>
    <n v="1"/>
    <s v="0-1 Miles"/>
    <s v="Europe"/>
    <s v="young adults"/>
    <n v="29"/>
    <x v="1"/>
  </r>
  <r>
    <n v="27878"/>
    <s v="Single"/>
    <s v="Male"/>
    <n v="20000"/>
    <n v="0"/>
    <x v="1"/>
    <s v="Manual"/>
    <s v="No"/>
    <n v="0"/>
    <s v="0-1 Miles"/>
    <s v="Pacific"/>
    <s v="young adults"/>
    <n v="28"/>
    <x v="1"/>
  </r>
  <r>
    <n v="13572"/>
    <s v="Single"/>
    <s v="Male"/>
    <n v="10000"/>
    <n v="3"/>
    <x v="2"/>
    <s v="Manual"/>
    <s v="Yes"/>
    <n v="0"/>
    <s v="0-1 Miles"/>
    <s v="Europe"/>
    <s v="adults"/>
    <n v="37"/>
    <x v="1"/>
  </r>
  <r>
    <n v="27941"/>
    <s v="Married"/>
    <s v="Female"/>
    <n v="80000"/>
    <n v="4"/>
    <x v="1"/>
    <s v="Professional"/>
    <s v="Yes"/>
    <n v="2"/>
    <s v="2-5 Miles"/>
    <s v="Europe"/>
    <s v="mature adult "/>
    <n v="53"/>
    <x v="0"/>
  </r>
  <r>
    <n v="26354"/>
    <s v="Single"/>
    <s v="Male"/>
    <n v="40000"/>
    <n v="0"/>
    <x v="4"/>
    <s v="Clerical"/>
    <s v="No"/>
    <n v="0"/>
    <s v="0-1 Miles"/>
    <s v="Europe"/>
    <s v="adults"/>
    <n v="38"/>
    <x v="1"/>
  </r>
  <r>
    <n v="14785"/>
    <s v="Single"/>
    <s v="Male"/>
    <n v="30000"/>
    <n v="1"/>
    <x v="0"/>
    <s v="Clerical"/>
    <s v="No"/>
    <n v="1"/>
    <s v="1-2 Miles"/>
    <s v="Europe"/>
    <s v="adults"/>
    <n v="39"/>
    <x v="0"/>
  </r>
  <r>
    <n v="17238"/>
    <s v="Single"/>
    <s v="Male"/>
    <n v="80000"/>
    <n v="0"/>
    <x v="0"/>
    <s v="Professional"/>
    <s v="Yes"/>
    <n v="3"/>
    <s v="more than 10 Miles"/>
    <s v="Pacific"/>
    <s v="adults"/>
    <n v="32"/>
    <x v="0"/>
  </r>
  <r>
    <n v="23608"/>
    <s v="Married"/>
    <s v="Female"/>
    <n v="150000"/>
    <n v="3"/>
    <x v="2"/>
    <s v="Professional"/>
    <s v="Yes"/>
    <n v="3"/>
    <s v="0-1 Miles"/>
    <s v="Europe"/>
    <s v="mature adult "/>
    <n v="51"/>
    <x v="1"/>
  </r>
  <r>
    <n v="22538"/>
    <s v="Single"/>
    <s v="Female"/>
    <n v="10000"/>
    <n v="0"/>
    <x v="3"/>
    <s v="Manual"/>
    <s v="Yes"/>
    <n v="2"/>
    <s v="1-2 Miles"/>
    <s v="Europe"/>
    <s v="adults"/>
    <n v="33"/>
    <x v="0"/>
  </r>
  <r>
    <n v="12332"/>
    <s v="Married"/>
    <s v="Male"/>
    <n v="90000"/>
    <n v="4"/>
    <x v="2"/>
    <s v="Management"/>
    <s v="Yes"/>
    <n v="3"/>
    <s v="5-10 Miles"/>
    <s v="Europe"/>
    <s v="middle age"/>
    <n v="58"/>
    <x v="1"/>
  </r>
  <r>
    <n v="17230"/>
    <s v="Married"/>
    <s v="Male"/>
    <n v="80000"/>
    <n v="0"/>
    <x v="0"/>
    <s v="Professional"/>
    <s v="Yes"/>
    <n v="3"/>
    <s v="more than 10 Miles"/>
    <s v="Pacific"/>
    <s v="adults"/>
    <n v="30"/>
    <x v="0"/>
  </r>
  <r>
    <n v="13082"/>
    <s v="Single"/>
    <s v="Male"/>
    <n v="130000"/>
    <n v="0"/>
    <x v="4"/>
    <s v="Management"/>
    <s v="Yes"/>
    <n v="0"/>
    <s v="2-5 Miles"/>
    <s v="Pacific"/>
    <s v="mature adult "/>
    <n v="48"/>
    <x v="1"/>
  </r>
  <r>
    <n v="22518"/>
    <s v="Single"/>
    <s v="Female"/>
    <n v="30000"/>
    <n v="3"/>
    <x v="1"/>
    <s v="Clerical"/>
    <s v="No"/>
    <n v="2"/>
    <s v="0-1 Miles"/>
    <s v="Europe"/>
    <s v="young adults"/>
    <n v="27"/>
    <x v="1"/>
  </r>
  <r>
    <n v="13687"/>
    <s v="Married"/>
    <s v="Male"/>
    <n v="40000"/>
    <n v="1"/>
    <x v="0"/>
    <s v="Skilled Manual"/>
    <s v="Yes"/>
    <n v="1"/>
    <s v="0-1 Miles"/>
    <s v="Europe"/>
    <s v="adults"/>
    <n v="33"/>
    <x v="1"/>
  </r>
  <r>
    <n v="23571"/>
    <s v="Married"/>
    <s v="Female"/>
    <n v="40000"/>
    <n v="2"/>
    <x v="0"/>
    <s v="Management"/>
    <s v="Yes"/>
    <n v="2"/>
    <s v="0-1 Miles"/>
    <s v="Pacific"/>
    <s v="middle age"/>
    <n v="66"/>
    <x v="1"/>
  </r>
  <r>
    <n v="19305"/>
    <s v="Single"/>
    <s v="Female"/>
    <n v="10000"/>
    <n v="2"/>
    <x v="2"/>
    <s v="Manual"/>
    <s v="Yes"/>
    <n v="1"/>
    <s v="0-1 Miles"/>
    <s v="Europe"/>
    <s v="adults"/>
    <n v="38"/>
    <x v="1"/>
  </r>
  <r>
    <n v="22636"/>
    <s v="Single"/>
    <s v="Female"/>
    <n v="40000"/>
    <n v="0"/>
    <x v="0"/>
    <s v="Clerical"/>
    <s v="No"/>
    <n v="0"/>
    <s v="0-1 Miles"/>
    <s v="Europe"/>
    <s v="adults"/>
    <n v="38"/>
    <x v="1"/>
  </r>
  <r>
    <n v="17310"/>
    <s v="Married"/>
    <s v="Male"/>
    <n v="60000"/>
    <n v="1"/>
    <x v="1"/>
    <s v="Skilled Manual"/>
    <s v="Yes"/>
    <n v="1"/>
    <s v="0-1 Miles"/>
    <s v="Pacific"/>
    <s v="mature adult "/>
    <n v="45"/>
    <x v="1"/>
  </r>
  <r>
    <n v="12133"/>
    <s v="Married"/>
    <s v="Female"/>
    <n v="130000"/>
    <n v="3"/>
    <x v="1"/>
    <s v="Professional"/>
    <s v="Yes"/>
    <n v="3"/>
    <s v="5-10 Miles"/>
    <s v="Europe"/>
    <s v="mature adult "/>
    <n v="50"/>
    <x v="1"/>
  </r>
  <r>
    <n v="25918"/>
    <s v="Single"/>
    <s v="Female"/>
    <n v="30000"/>
    <n v="2"/>
    <x v="1"/>
    <s v="Clerical"/>
    <s v="No"/>
    <n v="2"/>
    <s v="5-10 Miles"/>
    <s v="Pacific"/>
    <s v="middle age"/>
    <n v="60"/>
    <x v="1"/>
  </r>
  <r>
    <n v="25752"/>
    <s v="Single"/>
    <s v="Female"/>
    <n v="20000"/>
    <n v="2"/>
    <x v="1"/>
    <s v="Manual"/>
    <s v="No"/>
    <n v="1"/>
    <s v="0-1 Miles"/>
    <s v="Europe"/>
    <s v="mature adult "/>
    <n v="53"/>
    <x v="1"/>
  </r>
  <r>
    <n v="17324"/>
    <s v="Married"/>
    <s v="Female"/>
    <n v="100000"/>
    <n v="4"/>
    <x v="0"/>
    <s v="Professional"/>
    <s v="Yes"/>
    <n v="1"/>
    <s v="more than 10 Miles"/>
    <s v="Pacific"/>
    <s v="mature adult "/>
    <n v="46"/>
    <x v="0"/>
  </r>
  <r>
    <n v="22918"/>
    <s v="Single"/>
    <s v="Male"/>
    <n v="80000"/>
    <n v="5"/>
    <x v="4"/>
    <s v="Management"/>
    <s v="Yes"/>
    <n v="3"/>
    <s v="0-1 Miles"/>
    <s v="Pacific"/>
    <s v="mature adult "/>
    <n v="50"/>
    <x v="0"/>
  </r>
  <r>
    <n v="12510"/>
    <s v="Married"/>
    <s v="Male"/>
    <n v="40000"/>
    <n v="1"/>
    <x v="0"/>
    <s v="Skilled Manual"/>
    <s v="Yes"/>
    <n v="1"/>
    <s v="0-1 Miles"/>
    <s v="Europe"/>
    <s v="mature adult "/>
    <n v="43"/>
    <x v="1"/>
  </r>
  <r>
    <n v="25512"/>
    <s v="Single"/>
    <s v="Male"/>
    <n v="20000"/>
    <n v="0"/>
    <x v="2"/>
    <s v="Manual"/>
    <s v="No"/>
    <n v="1"/>
    <s v="2-5 Miles"/>
    <s v="Europe"/>
    <s v="adults"/>
    <n v="30"/>
    <x v="0"/>
  </r>
  <r>
    <n v="16179"/>
    <s v="Single"/>
    <s v="Female"/>
    <n v="80000"/>
    <n v="5"/>
    <x v="0"/>
    <s v="Professional"/>
    <s v="Yes"/>
    <n v="4"/>
    <s v="1-2 Miles"/>
    <s v="Pacific"/>
    <s v="adults"/>
    <n v="38"/>
    <x v="0"/>
  </r>
  <r>
    <n v="15628"/>
    <s v="Married"/>
    <s v="Female"/>
    <n v="40000"/>
    <n v="1"/>
    <x v="0"/>
    <s v="Skilled Manual"/>
    <s v="Yes"/>
    <n v="1"/>
    <s v="0-1 Miles"/>
    <s v="Europe"/>
    <s v="senior citizen"/>
    <n v="89"/>
    <x v="0"/>
  </r>
  <r>
    <n v="20977"/>
    <s v="Married"/>
    <s v="Male"/>
    <n v="20000"/>
    <n v="1"/>
    <x v="0"/>
    <s v="Clerical"/>
    <s v="Yes"/>
    <n v="0"/>
    <s v="0-1 Miles"/>
    <s v="Europe"/>
    <s v="middle age"/>
    <n v="64"/>
    <x v="1"/>
  </r>
  <r>
    <n v="18140"/>
    <s v="Married"/>
    <s v="Male"/>
    <n v="130000"/>
    <n v="3"/>
    <x v="1"/>
    <s v="Professional"/>
    <s v="No"/>
    <n v="3"/>
    <s v="5-10 Miles"/>
    <s v="Europe"/>
    <s v="mature adult "/>
    <n v="51"/>
    <x v="1"/>
  </r>
  <r>
    <n v="20417"/>
    <s v="Married"/>
    <s v="Male"/>
    <n v="30000"/>
    <n v="3"/>
    <x v="1"/>
    <s v="Clerical"/>
    <s v="No"/>
    <n v="2"/>
    <s v="5-10 Miles"/>
    <s v="Pacific"/>
    <s v="middle age"/>
    <n v="56"/>
    <x v="0"/>
  </r>
  <r>
    <n v="18267"/>
    <s v="Married"/>
    <s v="Male"/>
    <n v="60000"/>
    <n v="3"/>
    <x v="0"/>
    <s v="Professional"/>
    <s v="Yes"/>
    <n v="2"/>
    <s v="5-10 Miles"/>
    <s v="Pacific"/>
    <s v="mature adult "/>
    <n v="43"/>
    <x v="0"/>
  </r>
  <r>
    <n v="13620"/>
    <s v="Single"/>
    <s v="Male"/>
    <n v="70000"/>
    <n v="0"/>
    <x v="0"/>
    <s v="Professional"/>
    <s v="No"/>
    <n v="3"/>
    <s v="more than 10 Miles"/>
    <s v="Pacific"/>
    <s v="adults"/>
    <n v="30"/>
    <x v="1"/>
  </r>
  <r>
    <n v="22974"/>
    <s v="Married"/>
    <s v="Female"/>
    <n v="30000"/>
    <n v="2"/>
    <x v="1"/>
    <s v="Clerical"/>
    <s v="Yes"/>
    <n v="2"/>
    <s v="5-10 Miles"/>
    <s v="Pacific"/>
    <s v="middle age"/>
    <n v="69"/>
    <x v="0"/>
  </r>
  <r>
    <n v="13586"/>
    <s v="Married"/>
    <s v="Male"/>
    <n v="80000"/>
    <n v="4"/>
    <x v="1"/>
    <s v="Professional"/>
    <s v="Yes"/>
    <n v="2"/>
    <s v="more than 10 Miles"/>
    <s v="Europe"/>
    <s v="mature adult "/>
    <n v="53"/>
    <x v="0"/>
  </r>
  <r>
    <n v="17978"/>
    <s v="Married"/>
    <s v="Male"/>
    <n v="40000"/>
    <n v="0"/>
    <x v="4"/>
    <s v="Clerical"/>
    <s v="Yes"/>
    <n v="0"/>
    <s v="0-1 Miles"/>
    <s v="Europe"/>
    <s v="adults"/>
    <n v="37"/>
    <x v="1"/>
  </r>
  <r>
    <n v="12581"/>
    <s v="Single"/>
    <s v="Female"/>
    <n v="10000"/>
    <n v="0"/>
    <x v="1"/>
    <s v="Manual"/>
    <s v="No"/>
    <n v="1"/>
    <s v="0-1 Miles"/>
    <s v="Pacific"/>
    <s v="young adults"/>
    <n v="28"/>
    <x v="1"/>
  </r>
  <r>
    <n v="18018"/>
    <s v="Single"/>
    <s v="Male"/>
    <n v="30000"/>
    <n v="3"/>
    <x v="1"/>
    <s v="Clerical"/>
    <s v="Yes"/>
    <n v="0"/>
    <s v="0-1 Miles"/>
    <s v="Europe"/>
    <s v="mature adult "/>
    <n v="43"/>
    <x v="0"/>
  </r>
  <r>
    <n v="28957"/>
    <s v="Single"/>
    <s v="Female"/>
    <n v="120000"/>
    <n v="0"/>
    <x v="3"/>
    <s v="Professional"/>
    <s v="Yes"/>
    <n v="4"/>
    <s v="more than 10 Miles"/>
    <s v="Pacific"/>
    <s v="adults"/>
    <n v="34"/>
    <x v="1"/>
  </r>
  <r>
    <n v="13690"/>
    <s v="Single"/>
    <s v="Female"/>
    <n v="20000"/>
    <n v="0"/>
    <x v="3"/>
    <s v="Manual"/>
    <s v="No"/>
    <n v="2"/>
    <s v="1-2 Miles"/>
    <s v="Europe"/>
    <s v="adults"/>
    <n v="34"/>
    <x v="1"/>
  </r>
  <r>
    <n v="12568"/>
    <s v="Married"/>
    <s v="Female"/>
    <n v="30000"/>
    <n v="1"/>
    <x v="0"/>
    <s v="Clerical"/>
    <s v="Yes"/>
    <n v="0"/>
    <s v="0-1 Miles"/>
    <s v="Europe"/>
    <s v="middle age"/>
    <n v="64"/>
    <x v="0"/>
  </r>
  <r>
    <n v="13122"/>
    <s v="Married"/>
    <s v="Female"/>
    <n v="80000"/>
    <n v="0"/>
    <x v="0"/>
    <s v="Professional"/>
    <s v="Yes"/>
    <n v="1"/>
    <s v="1-2 Miles"/>
    <s v="Pacific"/>
    <s v="mature adult "/>
    <n v="41"/>
    <x v="1"/>
  </r>
  <r>
    <n v="21184"/>
    <s v="Single"/>
    <s v="Male"/>
    <n v="70000"/>
    <n v="0"/>
    <x v="0"/>
    <s v="Professional"/>
    <s v="No"/>
    <n v="1"/>
    <s v="5-10 Miles"/>
    <s v="Pacific"/>
    <s v="adults"/>
    <n v="38"/>
    <x v="0"/>
  </r>
  <r>
    <n v="26150"/>
    <s v="Single"/>
    <s v="Female"/>
    <n v="70000"/>
    <n v="0"/>
    <x v="0"/>
    <s v="Professional"/>
    <s v="No"/>
    <n v="1"/>
    <s v="0-1 Miles"/>
    <s v="Pacific"/>
    <s v="mature adult "/>
    <n v="41"/>
    <x v="1"/>
  </r>
  <r>
    <n v="24151"/>
    <s v="Single"/>
    <s v="Male"/>
    <n v="20000"/>
    <n v="1"/>
    <x v="0"/>
    <s v="Clerical"/>
    <s v="No"/>
    <n v="0"/>
    <s v="0-1 Miles"/>
    <s v="Europe"/>
    <s v="mature adult "/>
    <n v="51"/>
    <x v="0"/>
  </r>
  <r>
    <n v="23962"/>
    <s v="Married"/>
    <s v="Female"/>
    <n v="10000"/>
    <n v="0"/>
    <x v="3"/>
    <s v="Manual"/>
    <s v="Yes"/>
    <n v="2"/>
    <s v="1-2 Miles"/>
    <s v="Europe"/>
    <s v="adults"/>
    <n v="32"/>
    <x v="0"/>
  </r>
  <r>
    <n v="17793"/>
    <s v="Married"/>
    <s v="Female"/>
    <n v="40000"/>
    <n v="0"/>
    <x v="0"/>
    <s v="Clerical"/>
    <s v="Yes"/>
    <n v="0"/>
    <s v="0-1 Miles"/>
    <s v="Europe"/>
    <s v="adults"/>
    <n v="38"/>
    <x v="1"/>
  </r>
  <r>
    <n v="14926"/>
    <s v="Married"/>
    <s v="Male"/>
    <n v="30000"/>
    <n v="1"/>
    <x v="0"/>
    <s v="Clerical"/>
    <s v="Yes"/>
    <n v="0"/>
    <s v="0-1 Miles"/>
    <s v="Europe"/>
    <s v="adults"/>
    <n v="38"/>
    <x v="1"/>
  </r>
  <r>
    <n v="16163"/>
    <s v="Single"/>
    <s v="Male"/>
    <n v="60000"/>
    <n v="2"/>
    <x v="0"/>
    <s v="Professional"/>
    <s v="Yes"/>
    <n v="1"/>
    <s v="2-5 Miles"/>
    <s v="Pacific"/>
    <s v="adults"/>
    <n v="38"/>
    <x v="1"/>
  </r>
  <r>
    <n v="21365"/>
    <s v="Married"/>
    <s v="Female"/>
    <n v="10000"/>
    <n v="2"/>
    <x v="3"/>
    <s v="Clerical"/>
    <s v="Yes"/>
    <n v="2"/>
    <s v="5-10 Miles"/>
    <s v="Pacific"/>
    <s v="middle age"/>
    <n v="58"/>
    <x v="0"/>
  </r>
  <r>
    <n v="27771"/>
    <s v="Single"/>
    <s v="Male"/>
    <n v="30000"/>
    <n v="1"/>
    <x v="0"/>
    <s v="Clerical"/>
    <s v="Yes"/>
    <n v="1"/>
    <s v="1-2 Miles"/>
    <s v="Europe"/>
    <s v="adults"/>
    <n v="39"/>
    <x v="1"/>
  </r>
  <r>
    <n v="26167"/>
    <s v="Single"/>
    <s v="Female"/>
    <n v="40000"/>
    <n v="2"/>
    <x v="0"/>
    <s v="Management"/>
    <s v="No"/>
    <n v="1"/>
    <s v="5-10 Miles"/>
    <s v="Pacific"/>
    <s v="mature adult "/>
    <n v="53"/>
    <x v="1"/>
  </r>
  <r>
    <n v="25792"/>
    <s v="Single"/>
    <s v="Female"/>
    <n v="110000"/>
    <n v="3"/>
    <x v="0"/>
    <s v="Management"/>
    <s v="Yes"/>
    <n v="4"/>
    <s v="more than 10 Miles"/>
    <s v="Europe"/>
    <s v="mature adult "/>
    <n v="53"/>
    <x v="0"/>
  </r>
  <r>
    <n v="11555"/>
    <s v="Married"/>
    <s v="Female"/>
    <n v="40000"/>
    <n v="1"/>
    <x v="0"/>
    <s v="Clerical"/>
    <s v="Yes"/>
    <n v="0"/>
    <s v="0-1 Miles"/>
    <s v="Europe"/>
    <s v="senior citizen"/>
    <n v="80"/>
    <x v="0"/>
  </r>
  <r>
    <n v="22381"/>
    <s v="Married"/>
    <s v="Male"/>
    <n v="10000"/>
    <n v="1"/>
    <x v="4"/>
    <s v="Manual"/>
    <s v="Yes"/>
    <n v="0"/>
    <s v="0-1 Miles"/>
    <s v="Europe"/>
    <s v="mature adult "/>
    <n v="44"/>
    <x v="0"/>
  </r>
  <r>
    <n v="17882"/>
    <s v="Married"/>
    <s v="Male"/>
    <n v="20000"/>
    <n v="1"/>
    <x v="4"/>
    <s v="Clerical"/>
    <s v="Yes"/>
    <n v="0"/>
    <s v="0-1 Miles"/>
    <s v="Europe"/>
    <s v="mature adult "/>
    <n v="44"/>
    <x v="0"/>
  </r>
  <r>
    <n v="22174"/>
    <s v="Married"/>
    <s v="Male"/>
    <n v="30000"/>
    <n v="3"/>
    <x v="2"/>
    <s v="Skilled Manual"/>
    <s v="Yes"/>
    <n v="2"/>
    <s v="5-10 Miles"/>
    <s v="Pacific"/>
    <s v="mature adult "/>
    <n v="54"/>
    <x v="1"/>
  </r>
  <r>
    <n v="22439"/>
    <s v="Married"/>
    <s v="Female"/>
    <n v="30000"/>
    <n v="0"/>
    <x v="0"/>
    <s v="Clerical"/>
    <s v="Yes"/>
    <n v="0"/>
    <s v="0-1 Miles"/>
    <s v="Europe"/>
    <s v="adults"/>
    <n v="37"/>
    <x v="1"/>
  </r>
  <r>
    <n v="18012"/>
    <s v="Married"/>
    <s v="Female"/>
    <n v="40000"/>
    <n v="1"/>
    <x v="0"/>
    <s v="Skilled Manual"/>
    <s v="Yes"/>
    <n v="0"/>
    <s v="0-1 Miles"/>
    <s v="Europe"/>
    <s v="mature adult "/>
    <n v="41"/>
    <x v="0"/>
  </r>
  <r>
    <n v="27582"/>
    <s v="Single"/>
    <s v="Female"/>
    <n v="90000"/>
    <n v="2"/>
    <x v="0"/>
    <s v="Professional"/>
    <s v="No"/>
    <n v="0"/>
    <s v="0-1 Miles"/>
    <s v="Pacific"/>
    <s v="adults"/>
    <n v="36"/>
    <x v="1"/>
  </r>
  <r>
    <n v="12744"/>
    <s v="Single"/>
    <s v="Female"/>
    <n v="40000"/>
    <n v="2"/>
    <x v="1"/>
    <s v="Clerical"/>
    <s v="Yes"/>
    <n v="0"/>
    <s v="0-1 Miles"/>
    <s v="Europe"/>
    <s v="adults"/>
    <n v="33"/>
    <x v="0"/>
  </r>
  <r>
    <n v="22821"/>
    <s v="Married"/>
    <s v="Female"/>
    <n v="130000"/>
    <n v="3"/>
    <x v="1"/>
    <s v="Professional"/>
    <s v="Yes"/>
    <n v="4"/>
    <s v="0-1 Miles"/>
    <s v="Europe"/>
    <s v="mature adult "/>
    <n v="52"/>
    <x v="0"/>
  </r>
  <r>
    <n v="20171"/>
    <s v="Married"/>
    <s v="Female"/>
    <n v="20000"/>
    <n v="2"/>
    <x v="1"/>
    <s v="Manual"/>
    <s v="Yes"/>
    <n v="1"/>
    <s v="0-1 Miles"/>
    <s v="Europe"/>
    <s v="mature adult "/>
    <n v="46"/>
    <x v="1"/>
  </r>
  <r>
    <n v="11116"/>
    <s v="Married"/>
    <s v="Male"/>
    <n v="70000"/>
    <n v="5"/>
    <x v="1"/>
    <s v="Skilled Manual"/>
    <s v="Yes"/>
    <n v="2"/>
    <s v="5-10 Miles"/>
    <s v="Pacific"/>
    <s v="mature adult "/>
    <n v="43"/>
    <x v="0"/>
  </r>
  <r>
    <n v="20053"/>
    <s v="Single"/>
    <s v="Male"/>
    <n v="40000"/>
    <n v="2"/>
    <x v="1"/>
    <s v="Clerical"/>
    <s v="Yes"/>
    <n v="0"/>
    <s v="0-1 Miles"/>
    <s v="Europe"/>
    <s v="adults"/>
    <n v="34"/>
    <x v="0"/>
  </r>
  <r>
    <n v="25266"/>
    <s v="Single"/>
    <s v="Female"/>
    <n v="30000"/>
    <n v="2"/>
    <x v="1"/>
    <s v="Clerical"/>
    <s v="No"/>
    <n v="2"/>
    <s v="5-10 Miles"/>
    <s v="Pacific"/>
    <s v="middle age"/>
    <n v="67"/>
    <x v="0"/>
  </r>
  <r>
    <n v="17960"/>
    <s v="Married"/>
    <s v="Female"/>
    <n v="40000"/>
    <n v="0"/>
    <x v="4"/>
    <s v="Clerical"/>
    <s v="Yes"/>
    <n v="0"/>
    <s v="0-1 Miles"/>
    <s v="Europe"/>
    <s v="adults"/>
    <n v="35"/>
    <x v="1"/>
  </r>
  <r>
    <n v="13961"/>
    <s v="Married"/>
    <s v="Female"/>
    <n v="80000"/>
    <n v="5"/>
    <x v="4"/>
    <s v="Management"/>
    <s v="Yes"/>
    <n v="3"/>
    <s v="0-1 Miles"/>
    <s v="Pacific"/>
    <s v="mature adult "/>
    <n v="40"/>
    <x v="0"/>
  </r>
  <r>
    <n v="11897"/>
    <s v="Single"/>
    <s v="Male"/>
    <n v="60000"/>
    <n v="2"/>
    <x v="0"/>
    <s v="Professional"/>
    <s v="No"/>
    <n v="1"/>
    <s v="0-1 Miles"/>
    <s v="Pacific"/>
    <s v="adults"/>
    <n v="37"/>
    <x v="1"/>
  </r>
  <r>
    <n v="11139"/>
    <s v="Single"/>
    <s v="Female"/>
    <n v="30000"/>
    <n v="2"/>
    <x v="1"/>
    <s v="Clerical"/>
    <s v="No"/>
    <n v="2"/>
    <s v="5-10 Miles"/>
    <s v="Pacific"/>
    <s v="middle age"/>
    <n v="67"/>
    <x v="0"/>
  </r>
  <r>
    <n v="11576"/>
    <s v="Married"/>
    <s v="Male"/>
    <n v="30000"/>
    <n v="1"/>
    <x v="0"/>
    <s v="Skilled Manual"/>
    <s v="Yes"/>
    <n v="2"/>
    <s v="0-1 Miles"/>
    <s v="Europe"/>
    <s v="mature adult "/>
    <n v="41"/>
    <x v="1"/>
  </r>
  <r>
    <n v="19255"/>
    <s v="Single"/>
    <s v="Male"/>
    <n v="10000"/>
    <n v="2"/>
    <x v="1"/>
    <s v="Manual"/>
    <s v="Yes"/>
    <n v="1"/>
    <s v="0-1 Miles"/>
    <s v="Europe"/>
    <s v="mature adult "/>
    <n v="51"/>
    <x v="1"/>
  </r>
  <r>
    <n v="18153"/>
    <s v="Married"/>
    <s v="Female"/>
    <n v="100000"/>
    <n v="2"/>
    <x v="0"/>
    <s v="Management"/>
    <s v="Yes"/>
    <n v="4"/>
    <s v="more than 10 Miles"/>
    <s v="Europe"/>
    <s v="middle age"/>
    <n v="59"/>
    <x v="0"/>
  </r>
  <r>
    <n v="14547"/>
    <s v="Married"/>
    <s v="Male"/>
    <n v="10000"/>
    <n v="2"/>
    <x v="1"/>
    <s v="Manual"/>
    <s v="Yes"/>
    <n v="0"/>
    <s v="1-2 Miles"/>
    <s v="Europe"/>
    <s v="mature adult "/>
    <n v="51"/>
    <x v="0"/>
  </r>
  <r>
    <n v="24901"/>
    <s v="Single"/>
    <s v="Male"/>
    <n v="110000"/>
    <n v="0"/>
    <x v="1"/>
    <s v="Management"/>
    <s v="No"/>
    <n v="3"/>
    <s v="more than 10 Miles"/>
    <s v="Pacific"/>
    <s v="adults"/>
    <n v="32"/>
    <x v="1"/>
  </r>
  <r>
    <n v="27169"/>
    <s v="Single"/>
    <s v="Male"/>
    <n v="30000"/>
    <n v="0"/>
    <x v="2"/>
    <s v="Manual"/>
    <s v="Yes"/>
    <n v="1"/>
    <s v="2-5 Miles"/>
    <s v="Europe"/>
    <s v="adults"/>
    <n v="34"/>
    <x v="1"/>
  </r>
  <r>
    <n v="14805"/>
    <s v="Single"/>
    <s v="Female"/>
    <n v="10000"/>
    <n v="3"/>
    <x v="3"/>
    <s v="Manual"/>
    <s v="Yes"/>
    <n v="2"/>
    <s v="0-1 Miles"/>
    <s v="Europe"/>
    <s v="mature adult "/>
    <n v="43"/>
    <x v="0"/>
  </r>
  <r>
    <n v="15822"/>
    <s v="Married"/>
    <s v="Male"/>
    <n v="40000"/>
    <n v="2"/>
    <x v="0"/>
    <s v="Management"/>
    <s v="Yes"/>
    <n v="2"/>
    <s v="0-1 Miles"/>
    <s v="Pacific"/>
    <s v="middle age"/>
    <n v="67"/>
    <x v="0"/>
  </r>
  <r>
    <n v="19389"/>
    <s v="Single"/>
    <s v="Male"/>
    <n v="30000"/>
    <n v="0"/>
    <x v="1"/>
    <s v="Clerical"/>
    <s v="No"/>
    <n v="1"/>
    <s v="2-5 Miles"/>
    <s v="Europe"/>
    <s v="young adults"/>
    <n v="28"/>
    <x v="0"/>
  </r>
  <r>
    <n v="17048"/>
    <s v="Single"/>
    <s v="Female"/>
    <n v="90000"/>
    <n v="1"/>
    <x v="4"/>
    <s v="Management"/>
    <s v="Yes"/>
    <n v="0"/>
    <s v="0-1 Miles"/>
    <s v="Pacific"/>
    <s v="adults"/>
    <n v="36"/>
    <x v="1"/>
  </r>
  <r>
    <n v="22204"/>
    <s v="Married"/>
    <s v="Male"/>
    <n v="110000"/>
    <n v="4"/>
    <x v="0"/>
    <s v="Management"/>
    <s v="Yes"/>
    <n v="3"/>
    <s v="2-5 Miles"/>
    <s v="Pacific"/>
    <s v="mature adult "/>
    <n v="48"/>
    <x v="0"/>
  </r>
  <r>
    <n v="12718"/>
    <s v="Single"/>
    <s v="Female"/>
    <n v="30000"/>
    <n v="0"/>
    <x v="1"/>
    <s v="Clerical"/>
    <s v="Yes"/>
    <n v="1"/>
    <s v="2-5 Miles"/>
    <s v="Europe"/>
    <s v="adults"/>
    <n v="31"/>
    <x v="0"/>
  </r>
  <r>
    <n v="15019"/>
    <s v="Single"/>
    <s v="Female"/>
    <n v="30000"/>
    <n v="3"/>
    <x v="2"/>
    <s v="Skilled Manual"/>
    <s v="Yes"/>
    <n v="2"/>
    <s v="5-10 Miles"/>
    <s v="Pacific"/>
    <s v="middle age"/>
    <n v="55"/>
    <x v="0"/>
  </r>
  <r>
    <n v="28488"/>
    <s v="Single"/>
    <s v="Male"/>
    <n v="20000"/>
    <n v="0"/>
    <x v="1"/>
    <s v="Manual"/>
    <s v="Yes"/>
    <n v="0"/>
    <s v="0-1 Miles"/>
    <s v="Pacific"/>
    <s v="young adults"/>
    <n v="28"/>
    <x v="1"/>
  </r>
  <r>
    <n v="21891"/>
    <s v="Married"/>
    <s v="Female"/>
    <n v="110000"/>
    <n v="0"/>
    <x v="2"/>
    <s v="Management"/>
    <s v="Yes"/>
    <n v="3"/>
    <s v="more than 10 Miles"/>
    <s v="Pacific"/>
    <s v="adults"/>
    <n v="34"/>
    <x v="1"/>
  </r>
  <r>
    <n v="27814"/>
    <s v="Single"/>
    <s v="Female"/>
    <n v="30000"/>
    <n v="3"/>
    <x v="1"/>
    <s v="Clerical"/>
    <s v="No"/>
    <n v="1"/>
    <s v="0-1 Miles"/>
    <s v="Europe"/>
    <s v="young adults"/>
    <n v="26"/>
    <x v="0"/>
  </r>
  <r>
    <n v="22175"/>
    <s v="Married"/>
    <s v="Female"/>
    <n v="30000"/>
    <n v="3"/>
    <x v="2"/>
    <s v="Skilled Manual"/>
    <s v="Yes"/>
    <n v="2"/>
    <s v="5-10 Miles"/>
    <s v="Pacific"/>
    <s v="mature adult "/>
    <n v="53"/>
    <x v="1"/>
  </r>
  <r>
    <n v="29447"/>
    <s v="Single"/>
    <s v="Female"/>
    <n v="10000"/>
    <n v="2"/>
    <x v="0"/>
    <s v="Clerical"/>
    <s v="No"/>
    <n v="1"/>
    <s v="2-5 Miles"/>
    <s v="Europe"/>
    <s v="middle age"/>
    <n v="68"/>
    <x v="0"/>
  </r>
  <r>
    <n v="19784"/>
    <s v="Married"/>
    <s v="Female"/>
    <n v="80000"/>
    <n v="2"/>
    <x v="2"/>
    <s v="Skilled Manual"/>
    <s v="Yes"/>
    <n v="2"/>
    <s v="5-10 Miles"/>
    <s v="Pacific"/>
    <s v="mature adult "/>
    <n v="50"/>
    <x v="1"/>
  </r>
  <r>
    <n v="27824"/>
    <s v="Single"/>
    <s v="Female"/>
    <n v="30000"/>
    <n v="3"/>
    <x v="1"/>
    <s v="Clerical"/>
    <s v="Yes"/>
    <n v="2"/>
    <s v="0-1 Miles"/>
    <s v="Europe"/>
    <s v="young adults"/>
    <n v="28"/>
    <x v="1"/>
  </r>
  <r>
    <n v="24093"/>
    <s v="Single"/>
    <s v="Female"/>
    <n v="80000"/>
    <n v="0"/>
    <x v="4"/>
    <s v="Skilled Manual"/>
    <s v="No"/>
    <n v="0"/>
    <s v="0-1 Miles"/>
    <s v="Europe"/>
    <s v="mature adult "/>
    <n v="40"/>
    <x v="1"/>
  </r>
  <r>
    <n v="19618"/>
    <s v="Married"/>
    <s v="Male"/>
    <n v="70000"/>
    <n v="5"/>
    <x v="1"/>
    <s v="Skilled Manual"/>
    <s v="Yes"/>
    <n v="2"/>
    <s v="0-1 Miles"/>
    <s v="Pacific"/>
    <s v="mature adult "/>
    <n v="44"/>
    <x v="0"/>
  </r>
  <r>
    <n v="21561"/>
    <s v="Single"/>
    <s v="Male"/>
    <n v="90000"/>
    <n v="0"/>
    <x v="0"/>
    <s v="Professional"/>
    <s v="No"/>
    <n v="3"/>
    <s v="more than 10 Miles"/>
    <s v="Pacific"/>
    <s v="adults"/>
    <n v="34"/>
    <x v="1"/>
  </r>
  <r>
    <n v="11061"/>
    <s v="Married"/>
    <s v="Male"/>
    <n v="70000"/>
    <n v="2"/>
    <x v="1"/>
    <s v="Skilled Manual"/>
    <s v="Yes"/>
    <n v="2"/>
    <s v="5-10 Miles"/>
    <s v="Pacific"/>
    <s v="mature adult "/>
    <n v="52"/>
    <x v="1"/>
  </r>
  <r>
    <n v="26651"/>
    <s v="Single"/>
    <s v="Male"/>
    <n v="80000"/>
    <n v="4"/>
    <x v="4"/>
    <s v="Management"/>
    <s v="Yes"/>
    <n v="0"/>
    <s v="0-1 Miles"/>
    <s v="Pacific"/>
    <s v="adults"/>
    <n v="36"/>
    <x v="1"/>
  </r>
  <r>
    <n v="21108"/>
    <s v="Married"/>
    <s v="Female"/>
    <n v="40000"/>
    <n v="1"/>
    <x v="0"/>
    <s v="Skilled Manual"/>
    <s v="Yes"/>
    <n v="1"/>
    <s v="0-1 Miles"/>
    <s v="Europe"/>
    <s v="mature adult "/>
    <n v="43"/>
    <x v="1"/>
  </r>
  <r>
    <n v="12731"/>
    <s v="Single"/>
    <s v="Male"/>
    <n v="30000"/>
    <n v="0"/>
    <x v="2"/>
    <s v="Manual"/>
    <s v="No"/>
    <n v="1"/>
    <s v="1-2 Miles"/>
    <s v="Europe"/>
    <s v="adults"/>
    <n v="32"/>
    <x v="0"/>
  </r>
  <r>
    <n v="25307"/>
    <s v="Married"/>
    <s v="Female"/>
    <n v="40000"/>
    <n v="1"/>
    <x v="0"/>
    <s v="Skilled Manual"/>
    <s v="Yes"/>
    <n v="1"/>
    <s v="1-2 Miles"/>
    <s v="Europe"/>
    <s v="adults"/>
    <n v="32"/>
    <x v="1"/>
  </r>
  <r>
    <n v="14278"/>
    <s v="Married"/>
    <s v="Female"/>
    <n v="130000"/>
    <n v="0"/>
    <x v="4"/>
    <s v="Management"/>
    <s v="Yes"/>
    <n v="1"/>
    <s v="more than 10 Miles"/>
    <s v="Pacific"/>
    <s v="mature adult "/>
    <n v="48"/>
    <x v="0"/>
  </r>
  <r>
    <n v="20711"/>
    <s v="Married"/>
    <s v="Female"/>
    <n v="40000"/>
    <n v="1"/>
    <x v="0"/>
    <s v="Skilled Manual"/>
    <s v="Yes"/>
    <n v="0"/>
    <s v="1-2 Miles"/>
    <s v="Europe"/>
    <s v="adults"/>
    <n v="32"/>
    <x v="1"/>
  </r>
  <r>
    <n v="11383"/>
    <s v="Married"/>
    <s v="Female"/>
    <n v="30000"/>
    <n v="3"/>
    <x v="4"/>
    <s v="Clerical"/>
    <s v="Yes"/>
    <n v="0"/>
    <s v="0-1 Miles"/>
    <s v="Europe"/>
    <s v="mature adult "/>
    <n v="46"/>
    <x v="0"/>
  </r>
  <r>
    <n v="12497"/>
    <s v="Married"/>
    <s v="Female"/>
    <n v="40000"/>
    <n v="1"/>
    <x v="0"/>
    <s v="Skilled Manual"/>
    <s v="Yes"/>
    <n v="0"/>
    <s v="0-1 Miles"/>
    <s v="Europe"/>
    <s v="mature adult "/>
    <n v="42"/>
    <x v="0"/>
  </r>
  <r>
    <n v="16559"/>
    <s v="Single"/>
    <s v="Female"/>
    <n v="10000"/>
    <n v="2"/>
    <x v="2"/>
    <s v="Manual"/>
    <s v="Yes"/>
    <n v="0"/>
    <s v="0-1 Miles"/>
    <s v="Europe"/>
    <s v="adults"/>
    <n v="36"/>
    <x v="1"/>
  </r>
  <r>
    <n v="11585"/>
    <s v="Married"/>
    <s v="Female"/>
    <n v="40000"/>
    <n v="1"/>
    <x v="0"/>
    <s v="Skilled Manual"/>
    <s v="Yes"/>
    <n v="0"/>
    <s v="0-1 Miles"/>
    <s v="Europe"/>
    <s v="mature adult "/>
    <n v="41"/>
    <x v="0"/>
  </r>
  <r>
    <n v="20277"/>
    <s v="Married"/>
    <s v="Female"/>
    <n v="30000"/>
    <n v="2"/>
    <x v="1"/>
    <s v="Clerical"/>
    <s v="No"/>
    <n v="2"/>
    <s v="0-1 Miles"/>
    <s v="Pacific"/>
    <s v="middle age"/>
    <n v="69"/>
    <x v="0"/>
  </r>
  <r>
    <n v="26765"/>
    <s v="Single"/>
    <s v="Female"/>
    <n v="70000"/>
    <n v="5"/>
    <x v="1"/>
    <s v="Skilled Manual"/>
    <s v="Yes"/>
    <n v="2"/>
    <s v="5-10 Miles"/>
    <s v="Pacific"/>
    <s v="mature adult "/>
    <n v="45"/>
    <x v="0"/>
  </r>
  <r>
    <n v="12389"/>
    <s v="Single"/>
    <s v="Male"/>
    <n v="30000"/>
    <n v="0"/>
    <x v="2"/>
    <s v="Manual"/>
    <s v="No"/>
    <n v="1"/>
    <s v="2-5 Miles"/>
    <s v="Europe"/>
    <s v="adults"/>
    <n v="34"/>
    <x v="0"/>
  </r>
  <r>
    <n v="13585"/>
    <s v="Married"/>
    <s v="Female"/>
    <n v="80000"/>
    <n v="4"/>
    <x v="1"/>
    <s v="Professional"/>
    <s v="No"/>
    <n v="1"/>
    <s v="2-5 Miles"/>
    <s v="Europe"/>
    <s v="mature adult "/>
    <n v="53"/>
    <x v="1"/>
  </r>
  <r>
    <n v="26385"/>
    <s v="Single"/>
    <s v="Male"/>
    <n v="120000"/>
    <n v="3"/>
    <x v="2"/>
    <s v="Professional"/>
    <s v="No"/>
    <n v="4"/>
    <s v="5-10 Miles"/>
    <s v="Europe"/>
    <s v="mature adult "/>
    <n v="50"/>
    <x v="0"/>
  </r>
  <r>
    <n v="12236"/>
    <s v="Married"/>
    <s v="Female"/>
    <n v="20000"/>
    <n v="1"/>
    <x v="1"/>
    <s v="Manual"/>
    <s v="Yes"/>
    <n v="0"/>
    <s v="0-1 Miles"/>
    <s v="Europe"/>
    <s v="middle age"/>
    <n v="65"/>
    <x v="0"/>
  </r>
  <r>
    <n v="21560"/>
    <s v="Married"/>
    <s v="Male"/>
    <n v="120000"/>
    <n v="0"/>
    <x v="3"/>
    <s v="Professional"/>
    <s v="Yes"/>
    <n v="4"/>
    <s v="more than 10 Miles"/>
    <s v="Pacific"/>
    <s v="adults"/>
    <n v="32"/>
    <x v="1"/>
  </r>
  <r>
    <n v="21554"/>
    <s v="Single"/>
    <s v="Female"/>
    <n v="80000"/>
    <n v="0"/>
    <x v="0"/>
    <s v="Professional"/>
    <s v="No"/>
    <n v="3"/>
    <s v="more than 10 Miles"/>
    <s v="Pacific"/>
    <s v="adults"/>
    <n v="33"/>
    <x v="0"/>
  </r>
  <r>
    <n v="13662"/>
    <s v="Single"/>
    <s v="Male"/>
    <n v="20000"/>
    <n v="0"/>
    <x v="3"/>
    <s v="Manual"/>
    <s v="Yes"/>
    <n v="2"/>
    <s v="1-2 Miles"/>
    <s v="Europe"/>
    <s v="adults"/>
    <n v="31"/>
    <x v="1"/>
  </r>
  <r>
    <n v="13089"/>
    <s v="Married"/>
    <s v="Female"/>
    <n v="120000"/>
    <n v="1"/>
    <x v="0"/>
    <s v="Management"/>
    <s v="Yes"/>
    <n v="2"/>
    <s v="0-1 Miles"/>
    <s v="Pacific"/>
    <s v="mature adult "/>
    <n v="46"/>
    <x v="1"/>
  </r>
  <r>
    <n v="14791"/>
    <s v="Married"/>
    <s v="Female"/>
    <n v="40000"/>
    <n v="0"/>
    <x v="0"/>
    <s v="Clerical"/>
    <s v="Yes"/>
    <n v="0"/>
    <s v="0-1 Miles"/>
    <s v="Europe"/>
    <s v="adults"/>
    <n v="39"/>
    <x v="1"/>
  </r>
  <r>
    <n v="19331"/>
    <s v="Single"/>
    <s v="Male"/>
    <n v="20000"/>
    <n v="2"/>
    <x v="2"/>
    <s v="Manual"/>
    <s v="Yes"/>
    <n v="1"/>
    <s v="0-1 Miles"/>
    <s v="Europe"/>
    <s v="mature adult "/>
    <n v="40"/>
    <x v="0"/>
  </r>
  <r>
    <n v="17754"/>
    <s v="Single"/>
    <s v="Female"/>
    <n v="30000"/>
    <n v="3"/>
    <x v="0"/>
    <s v="Clerical"/>
    <s v="Yes"/>
    <n v="0"/>
    <s v="0-1 Miles"/>
    <s v="Europe"/>
    <s v="mature adult "/>
    <n v="46"/>
    <x v="1"/>
  </r>
  <r>
    <n v="11149"/>
    <s v="Married"/>
    <s v="Male"/>
    <n v="40000"/>
    <n v="2"/>
    <x v="0"/>
    <s v="Management"/>
    <s v="Yes"/>
    <n v="2"/>
    <s v="0-1 Miles"/>
    <s v="Pacific"/>
    <s v="middle age"/>
    <n v="65"/>
    <x v="0"/>
  </r>
  <r>
    <n v="16549"/>
    <s v="Single"/>
    <s v="Female"/>
    <n v="30000"/>
    <n v="3"/>
    <x v="0"/>
    <s v="Clerical"/>
    <s v="Yes"/>
    <n v="0"/>
    <s v="0-1 Miles"/>
    <s v="Europe"/>
    <s v="mature adult "/>
    <n v="47"/>
    <x v="1"/>
  </r>
  <r>
    <n v="24305"/>
    <s v="Single"/>
    <s v="Male"/>
    <n v="100000"/>
    <n v="1"/>
    <x v="0"/>
    <s v="Management"/>
    <s v="No"/>
    <n v="3"/>
    <s v="0-1 Miles"/>
    <s v="Pacific"/>
    <s v="mature adult "/>
    <n v="46"/>
    <x v="1"/>
  </r>
  <r>
    <n v="18253"/>
    <s v="Married"/>
    <s v="Female"/>
    <n v="80000"/>
    <n v="5"/>
    <x v="4"/>
    <s v="Management"/>
    <s v="Yes"/>
    <n v="3"/>
    <s v="0-1 Miles"/>
    <s v="Pacific"/>
    <s v="mature adult "/>
    <n v="40"/>
    <x v="0"/>
  </r>
  <r>
    <n v="20147"/>
    <s v="Married"/>
    <s v="Female"/>
    <n v="30000"/>
    <n v="1"/>
    <x v="0"/>
    <s v="Clerical"/>
    <s v="Yes"/>
    <n v="0"/>
    <s v="0-1 Miles"/>
    <s v="Europe"/>
    <s v="middle age"/>
    <n v="65"/>
    <x v="0"/>
  </r>
  <r>
    <n v="15612"/>
    <s v="Single"/>
    <s v="Male"/>
    <n v="30000"/>
    <n v="0"/>
    <x v="2"/>
    <s v="Manual"/>
    <s v="No"/>
    <n v="1"/>
    <s v="1-2 Miles"/>
    <s v="Europe"/>
    <s v="young adults"/>
    <n v="28"/>
    <x v="0"/>
  </r>
  <r>
    <n v="28323"/>
    <s v="Single"/>
    <s v="Male"/>
    <n v="70000"/>
    <n v="0"/>
    <x v="0"/>
    <s v="Professional"/>
    <s v="No"/>
    <n v="2"/>
    <s v="5-10 Miles"/>
    <s v="Pacific"/>
    <s v="mature adult "/>
    <n v="43"/>
    <x v="1"/>
  </r>
  <r>
    <n v="22634"/>
    <s v="Single"/>
    <s v="Female"/>
    <n v="40000"/>
    <n v="0"/>
    <x v="4"/>
    <s v="Clerical"/>
    <s v="Yes"/>
    <n v="0"/>
    <s v="0-1 Miles"/>
    <s v="Europe"/>
    <s v="adults"/>
    <n v="38"/>
    <x v="1"/>
  </r>
  <r>
    <n v="15665"/>
    <s v="Married"/>
    <s v="Female"/>
    <n v="30000"/>
    <n v="0"/>
    <x v="0"/>
    <s v="Clerical"/>
    <s v="Yes"/>
    <n v="0"/>
    <s v="0-1 Miles"/>
    <s v="Europe"/>
    <s v="mature adult "/>
    <n v="47"/>
    <x v="1"/>
  </r>
  <r>
    <n v="27585"/>
    <s v="Married"/>
    <s v="Female"/>
    <n v="90000"/>
    <n v="2"/>
    <x v="0"/>
    <s v="Professional"/>
    <s v="No"/>
    <n v="0"/>
    <s v="0-1 Miles"/>
    <s v="Pacific"/>
    <s v="adults"/>
    <n v="36"/>
    <x v="1"/>
  </r>
  <r>
    <n v="19748"/>
    <s v="Married"/>
    <s v="Male"/>
    <n v="20000"/>
    <n v="4"/>
    <x v="2"/>
    <s v="Skilled Manual"/>
    <s v="No"/>
    <n v="2"/>
    <s v="1-2 Miles"/>
    <s v="Pacific"/>
    <s v="middle age"/>
    <n v="60"/>
    <x v="0"/>
  </r>
  <r>
    <n v="21974"/>
    <s v="Single"/>
    <s v="Female"/>
    <n v="70000"/>
    <n v="0"/>
    <x v="0"/>
    <s v="Professional"/>
    <s v="Yes"/>
    <n v="1"/>
    <s v="5-10 Miles"/>
    <s v="Pacific"/>
    <s v="mature adult "/>
    <n v="42"/>
    <x v="1"/>
  </r>
  <r>
    <n v="14032"/>
    <s v="Married"/>
    <s v="Male"/>
    <n v="70000"/>
    <n v="2"/>
    <x v="2"/>
    <s v="Skilled Manual"/>
    <s v="No"/>
    <n v="2"/>
    <s v="1-2 Miles"/>
    <s v="Pacific"/>
    <s v="mature adult "/>
    <n v="50"/>
    <x v="1"/>
  </r>
  <r>
    <n v="22610"/>
    <s v="Married"/>
    <s v="Male"/>
    <n v="30000"/>
    <n v="0"/>
    <x v="0"/>
    <s v="Clerical"/>
    <s v="Yes"/>
    <n v="0"/>
    <s v="0-1 Miles"/>
    <s v="Europe"/>
    <s v="adults"/>
    <n v="35"/>
    <x v="1"/>
  </r>
  <r>
    <n v="26984"/>
    <s v="Married"/>
    <s v="Male"/>
    <n v="40000"/>
    <n v="1"/>
    <x v="0"/>
    <s v="Skilled Manual"/>
    <s v="Yes"/>
    <n v="1"/>
    <s v="0-1 Miles"/>
    <s v="Europe"/>
    <s v="adults"/>
    <n v="32"/>
    <x v="1"/>
  </r>
  <r>
    <n v="18294"/>
    <s v="Married"/>
    <s v="Female"/>
    <n v="90000"/>
    <n v="1"/>
    <x v="0"/>
    <s v="Professional"/>
    <s v="Yes"/>
    <n v="1"/>
    <s v="5-10 Miles"/>
    <s v="Pacific"/>
    <s v="mature adult "/>
    <n v="46"/>
    <x v="0"/>
  </r>
  <r>
    <n v="28564"/>
    <s v="Single"/>
    <s v="Female"/>
    <n v="40000"/>
    <n v="2"/>
    <x v="1"/>
    <s v="Clerical"/>
    <s v="Yes"/>
    <n v="0"/>
    <s v="1-2 Miles"/>
    <s v="Europe"/>
    <s v="adults"/>
    <n v="33"/>
    <x v="1"/>
  </r>
  <r>
    <n v="28521"/>
    <s v="Single"/>
    <s v="Male"/>
    <n v="40000"/>
    <n v="0"/>
    <x v="4"/>
    <s v="Clerical"/>
    <s v="No"/>
    <n v="0"/>
    <s v="0-1 Miles"/>
    <s v="Europe"/>
    <s v="adults"/>
    <n v="36"/>
    <x v="1"/>
  </r>
  <r>
    <n v="15450"/>
    <s v="Married"/>
    <s v="Male"/>
    <n v="10000"/>
    <n v="1"/>
    <x v="4"/>
    <s v="Clerical"/>
    <s v="Yes"/>
    <n v="0"/>
    <s v="0-1 Miles"/>
    <s v="Europe"/>
    <s v="senior citizen"/>
    <n v="70"/>
    <x v="0"/>
  </r>
  <r>
    <n v="25681"/>
    <s v="Single"/>
    <s v="Female"/>
    <n v="30000"/>
    <n v="0"/>
    <x v="1"/>
    <s v="Clerical"/>
    <s v="No"/>
    <n v="1"/>
    <s v="2-5 Miles"/>
    <s v="Europe"/>
    <s v="adults"/>
    <n v="31"/>
    <x v="1"/>
  </r>
  <r>
    <n v="19491"/>
    <s v="Single"/>
    <s v="Male"/>
    <n v="30000"/>
    <n v="2"/>
    <x v="1"/>
    <s v="Clerical"/>
    <s v="Yes"/>
    <n v="2"/>
    <s v="0-1 Miles"/>
    <s v="Europe"/>
    <s v="mature adult "/>
    <n v="42"/>
    <x v="0"/>
  </r>
  <r>
    <n v="26415"/>
    <s v="Married"/>
    <s v="Female"/>
    <n v="90000"/>
    <n v="4"/>
    <x v="3"/>
    <s v="Skilled Manual"/>
    <s v="Yes"/>
    <n v="4"/>
    <s v="more than 10 Miles"/>
    <s v="Europe"/>
    <s v="middle age"/>
    <n v="58"/>
    <x v="0"/>
  </r>
  <r>
    <n v="12821"/>
    <s v="Married"/>
    <s v="Male"/>
    <n v="40000"/>
    <n v="0"/>
    <x v="0"/>
    <s v="Clerical"/>
    <s v="Yes"/>
    <n v="0"/>
    <s v="0-1 Miles"/>
    <s v="Europe"/>
    <s v="adults"/>
    <n v="39"/>
    <x v="0"/>
  </r>
  <r>
    <n v="15629"/>
    <s v="Single"/>
    <s v="Female"/>
    <n v="10000"/>
    <n v="0"/>
    <x v="3"/>
    <s v="Manual"/>
    <s v="Yes"/>
    <n v="2"/>
    <s v="1-2 Miles"/>
    <s v="Europe"/>
    <s v="adults"/>
    <n v="34"/>
    <x v="0"/>
  </r>
  <r>
    <n v="27835"/>
    <s v="Married"/>
    <s v="Male"/>
    <n v="20000"/>
    <n v="0"/>
    <x v="3"/>
    <s v="Manual"/>
    <s v="Yes"/>
    <n v="2"/>
    <s v="0-1 Miles"/>
    <s v="Europe"/>
    <s v="adults"/>
    <n v="32"/>
    <x v="0"/>
  </r>
  <r>
    <n v="11738"/>
    <s v="Married"/>
    <s v="Male"/>
    <n v="60000"/>
    <n v="4"/>
    <x v="0"/>
    <s v="Professional"/>
    <s v="Yes"/>
    <n v="0"/>
    <s v="2-5 Miles"/>
    <s v="North America"/>
    <s v="mature adult "/>
    <n v="46"/>
    <x v="0"/>
  </r>
  <r>
    <n v="25065"/>
    <s v="Married"/>
    <s v="Male"/>
    <n v="70000"/>
    <n v="2"/>
    <x v="3"/>
    <s v="Skilled Manual"/>
    <s v="Yes"/>
    <n v="2"/>
    <s v="5-10 Miles"/>
    <s v="North America"/>
    <s v="mature adult "/>
    <n v="48"/>
    <x v="0"/>
  </r>
  <r>
    <n v="26238"/>
    <s v="Single"/>
    <s v="Female"/>
    <n v="40000"/>
    <n v="3"/>
    <x v="1"/>
    <s v="Clerical"/>
    <s v="Yes"/>
    <n v="1"/>
    <s v="1-2 Miles"/>
    <s v="North America"/>
    <s v="adults"/>
    <n v="31"/>
    <x v="1"/>
  </r>
  <r>
    <n v="23707"/>
    <s v="Single"/>
    <s v="Male"/>
    <n v="70000"/>
    <n v="5"/>
    <x v="0"/>
    <s v="Management"/>
    <s v="Yes"/>
    <n v="3"/>
    <s v="more than 10 Miles"/>
    <s v="North America"/>
    <s v="middle age"/>
    <n v="60"/>
    <x v="1"/>
  </r>
  <r>
    <n v="27650"/>
    <s v="Married"/>
    <s v="Male"/>
    <n v="70000"/>
    <n v="4"/>
    <x v="2"/>
    <s v="Professional"/>
    <s v="Yes"/>
    <n v="0"/>
    <s v="5-10 Miles"/>
    <s v="North America"/>
    <s v="mature adult "/>
    <n v="51"/>
    <x v="0"/>
  </r>
  <r>
    <n v="24981"/>
    <s v="Married"/>
    <s v="Male"/>
    <n v="60000"/>
    <n v="2"/>
    <x v="1"/>
    <s v="Professional"/>
    <s v="Yes"/>
    <n v="2"/>
    <s v="more than 10 Miles"/>
    <s v="North America"/>
    <s v="middle age"/>
    <n v="56"/>
    <x v="0"/>
  </r>
  <r>
    <n v="20678"/>
    <s v="Single"/>
    <s v="Female"/>
    <n v="60000"/>
    <n v="3"/>
    <x v="0"/>
    <s v="Skilled Manual"/>
    <s v="Yes"/>
    <n v="1"/>
    <s v="2-5 Miles"/>
    <s v="North America"/>
    <s v="mature adult "/>
    <n v="40"/>
    <x v="1"/>
  </r>
  <r>
    <n v="15302"/>
    <s v="Single"/>
    <s v="Female"/>
    <n v="70000"/>
    <n v="1"/>
    <x v="4"/>
    <s v="Professional"/>
    <s v="Yes"/>
    <n v="0"/>
    <s v="2-5 Miles"/>
    <s v="North America"/>
    <s v="adults"/>
    <n v="34"/>
    <x v="1"/>
  </r>
  <r>
    <n v="26012"/>
    <s v="Married"/>
    <s v="Male"/>
    <n v="80000"/>
    <n v="1"/>
    <x v="1"/>
    <s v="Skilled Manual"/>
    <s v="Yes"/>
    <n v="1"/>
    <s v="2-5 Miles"/>
    <s v="North America"/>
    <s v="mature adult "/>
    <n v="48"/>
    <x v="1"/>
  </r>
  <r>
    <n v="26575"/>
    <s v="Single"/>
    <s v="Female"/>
    <n v="40000"/>
    <n v="0"/>
    <x v="2"/>
    <s v="Skilled Manual"/>
    <s v="No"/>
    <n v="2"/>
    <s v="1-2 Miles"/>
    <s v="North America"/>
    <s v="adults"/>
    <n v="31"/>
    <x v="1"/>
  </r>
  <r>
    <n v="15559"/>
    <s v="Married"/>
    <s v="Male"/>
    <n v="60000"/>
    <n v="5"/>
    <x v="0"/>
    <s v="Professional"/>
    <s v="Yes"/>
    <n v="1"/>
    <s v="2-5 Miles"/>
    <s v="North America"/>
    <s v="mature adult "/>
    <n v="47"/>
    <x v="0"/>
  </r>
  <r>
    <n v="19235"/>
    <s v="Married"/>
    <s v="Female"/>
    <n v="50000"/>
    <n v="0"/>
    <x v="4"/>
    <s v="Skilled Manual"/>
    <s v="Yes"/>
    <n v="0"/>
    <s v="0-1 Miles"/>
    <s v="North America"/>
    <s v="adults"/>
    <n v="34"/>
    <x v="0"/>
  </r>
  <r>
    <n v="15275"/>
    <s v="Married"/>
    <s v="Male"/>
    <n v="40000"/>
    <n v="0"/>
    <x v="1"/>
    <s v="Skilled Manual"/>
    <s v="Yes"/>
    <n v="1"/>
    <s v="5-10 Miles"/>
    <s v="North America"/>
    <s v="young adults"/>
    <n v="29"/>
    <x v="0"/>
  </r>
  <r>
    <n v="20339"/>
    <s v="Married"/>
    <s v="Female"/>
    <n v="130000"/>
    <n v="1"/>
    <x v="0"/>
    <s v="Management"/>
    <s v="Yes"/>
    <n v="4"/>
    <s v="2-5 Miles"/>
    <s v="North America"/>
    <s v="mature adult "/>
    <n v="44"/>
    <x v="1"/>
  </r>
  <r>
    <n v="25405"/>
    <s v="Married"/>
    <s v="Male"/>
    <n v="70000"/>
    <n v="2"/>
    <x v="0"/>
    <s v="Skilled Manual"/>
    <s v="Yes"/>
    <n v="1"/>
    <s v="2-5 Miles"/>
    <s v="North America"/>
    <s v="adults"/>
    <n v="38"/>
    <x v="1"/>
  </r>
  <r>
    <n v="15940"/>
    <s v="Married"/>
    <s v="Male"/>
    <n v="100000"/>
    <n v="4"/>
    <x v="1"/>
    <s v="Professional"/>
    <s v="Yes"/>
    <n v="4"/>
    <s v="0-1 Miles"/>
    <s v="North America"/>
    <s v="mature adult "/>
    <n v="40"/>
    <x v="0"/>
  </r>
  <r>
    <n v="25074"/>
    <s v="Married"/>
    <s v="Female"/>
    <n v="70000"/>
    <n v="4"/>
    <x v="0"/>
    <s v="Professional"/>
    <s v="Yes"/>
    <n v="2"/>
    <s v="2-5 Miles"/>
    <s v="North America"/>
    <s v="mature adult "/>
    <n v="42"/>
    <x v="1"/>
  </r>
  <r>
    <n v="24738"/>
    <s v="Married"/>
    <s v="Female"/>
    <n v="40000"/>
    <n v="1"/>
    <x v="1"/>
    <s v="Clerical"/>
    <s v="Yes"/>
    <n v="1"/>
    <s v="1-2 Miles"/>
    <s v="North America"/>
    <s v="mature adult "/>
    <n v="51"/>
    <x v="1"/>
  </r>
  <r>
    <n v="16337"/>
    <s v="Married"/>
    <s v="Male"/>
    <n v="60000"/>
    <n v="0"/>
    <x v="1"/>
    <s v="Skilled Manual"/>
    <s v="No"/>
    <n v="2"/>
    <s v="1-2 Miles"/>
    <s v="North America"/>
    <s v="young adults"/>
    <n v="29"/>
    <x v="0"/>
  </r>
  <r>
    <n v="24357"/>
    <s v="Married"/>
    <s v="Male"/>
    <n v="80000"/>
    <n v="3"/>
    <x v="0"/>
    <s v="Professional"/>
    <s v="Yes"/>
    <n v="1"/>
    <s v="2-5 Miles"/>
    <s v="North America"/>
    <s v="mature adult "/>
    <n v="48"/>
    <x v="1"/>
  </r>
  <r>
    <n v="18613"/>
    <s v="Single"/>
    <s v="Male"/>
    <n v="70000"/>
    <n v="0"/>
    <x v="0"/>
    <s v="Professional"/>
    <s v="No"/>
    <n v="1"/>
    <s v="2-5 Miles"/>
    <s v="North America"/>
    <s v="adults"/>
    <n v="37"/>
    <x v="1"/>
  </r>
  <r>
    <n v="12207"/>
    <s v="Single"/>
    <s v="Male"/>
    <n v="80000"/>
    <n v="4"/>
    <x v="0"/>
    <s v="Management"/>
    <s v="Yes"/>
    <n v="0"/>
    <s v="5-10 Miles"/>
    <s v="North America"/>
    <s v="middle age"/>
    <n v="66"/>
    <x v="1"/>
  </r>
  <r>
    <n v="18052"/>
    <s v="Married"/>
    <s v="Female"/>
    <n v="60000"/>
    <n v="1"/>
    <x v="1"/>
    <s v="Skilled Manual"/>
    <s v="Yes"/>
    <n v="1"/>
    <s v="0-1 Miles"/>
    <s v="North America"/>
    <s v="mature adult "/>
    <n v="45"/>
    <x v="1"/>
  </r>
  <r>
    <n v="13353"/>
    <s v="Single"/>
    <s v="Female"/>
    <n v="60000"/>
    <n v="4"/>
    <x v="4"/>
    <s v="Management"/>
    <s v="Yes"/>
    <n v="2"/>
    <s v="more than 10 Miles"/>
    <s v="North America"/>
    <s v="middle age"/>
    <n v="61"/>
    <x v="1"/>
  </r>
  <r>
    <n v="19399"/>
    <s v="Single"/>
    <s v="Male"/>
    <n v="40000"/>
    <n v="0"/>
    <x v="0"/>
    <s v="Professional"/>
    <s v="No"/>
    <n v="1"/>
    <s v="2-5 Miles"/>
    <s v="North America"/>
    <s v="mature adult "/>
    <n v="45"/>
    <x v="0"/>
  </r>
  <r>
    <n v="16154"/>
    <s v="Married"/>
    <s v="Female"/>
    <n v="70000"/>
    <n v="5"/>
    <x v="0"/>
    <s v="Professional"/>
    <s v="Yes"/>
    <n v="2"/>
    <s v="2-5 Miles"/>
    <s v="North America"/>
    <s v="mature adult "/>
    <n v="47"/>
    <x v="0"/>
  </r>
  <r>
    <n v="22219"/>
    <s v="Married"/>
    <s v="Female"/>
    <n v="60000"/>
    <n v="2"/>
    <x v="2"/>
    <s v="Professional"/>
    <s v="Yes"/>
    <n v="2"/>
    <s v="5-10 Miles"/>
    <s v="North America"/>
    <s v="mature adult "/>
    <n v="49"/>
    <x v="0"/>
  </r>
  <r>
    <n v="17269"/>
    <s v="Single"/>
    <s v="Male"/>
    <n v="60000"/>
    <n v="3"/>
    <x v="0"/>
    <s v="Professional"/>
    <s v="No"/>
    <n v="0"/>
    <s v="0-1 Miles"/>
    <s v="North America"/>
    <s v="mature adult "/>
    <n v="47"/>
    <x v="1"/>
  </r>
  <r>
    <n v="23586"/>
    <s v="Married"/>
    <s v="Female"/>
    <n v="80000"/>
    <n v="0"/>
    <x v="0"/>
    <s v="Management"/>
    <s v="Yes"/>
    <n v="1"/>
    <s v="1-2 Miles"/>
    <s v="North America"/>
    <s v="adults"/>
    <n v="34"/>
    <x v="1"/>
  </r>
  <r>
    <n v="15740"/>
    <s v="Married"/>
    <s v="Male"/>
    <n v="80000"/>
    <n v="5"/>
    <x v="0"/>
    <s v="Management"/>
    <s v="Yes"/>
    <n v="2"/>
    <s v="1-2 Miles"/>
    <s v="North America"/>
    <s v="middle age"/>
    <n v="64"/>
    <x v="0"/>
  </r>
  <r>
    <n v="27638"/>
    <s v="Single"/>
    <s v="Male"/>
    <n v="100000"/>
    <n v="1"/>
    <x v="1"/>
    <s v="Professional"/>
    <s v="No"/>
    <n v="3"/>
    <s v="1-2 Miles"/>
    <s v="North America"/>
    <s v="mature adult "/>
    <n v="44"/>
    <x v="0"/>
  </r>
  <r>
    <n v="18976"/>
    <s v="Single"/>
    <s v="Male"/>
    <n v="40000"/>
    <n v="4"/>
    <x v="2"/>
    <s v="Professional"/>
    <s v="Yes"/>
    <n v="2"/>
    <s v="more than 10 Miles"/>
    <s v="North America"/>
    <s v="middle age"/>
    <n v="62"/>
    <x v="1"/>
  </r>
  <r>
    <n v="19413"/>
    <s v="Single"/>
    <s v="Male"/>
    <n v="60000"/>
    <n v="3"/>
    <x v="0"/>
    <s v="Professional"/>
    <s v="No"/>
    <n v="1"/>
    <s v="0-1 Miles"/>
    <s v="North America"/>
    <s v="mature adult "/>
    <n v="47"/>
    <x v="1"/>
  </r>
  <r>
    <n v="13283"/>
    <s v="Married"/>
    <s v="Male"/>
    <n v="80000"/>
    <n v="3"/>
    <x v="1"/>
    <s v="Professional"/>
    <s v="No"/>
    <n v="2"/>
    <s v="0-1 Miles"/>
    <s v="North America"/>
    <s v="mature adult "/>
    <n v="49"/>
    <x v="1"/>
  </r>
  <r>
    <n v="17471"/>
    <s v="Single"/>
    <s v="Female"/>
    <n v="80000"/>
    <n v="4"/>
    <x v="4"/>
    <s v="Management"/>
    <s v="Yes"/>
    <n v="2"/>
    <s v="5-10 Miles"/>
    <s v="North America"/>
    <s v="middle age"/>
    <n v="67"/>
    <x v="0"/>
  </r>
  <r>
    <n v="16791"/>
    <s v="Single"/>
    <s v="Male"/>
    <n v="60000"/>
    <n v="5"/>
    <x v="0"/>
    <s v="Management"/>
    <s v="Yes"/>
    <n v="3"/>
    <s v="more than 10 Miles"/>
    <s v="North America"/>
    <s v="middle age"/>
    <n v="59"/>
    <x v="1"/>
  </r>
  <r>
    <n v="15382"/>
    <s v="Married"/>
    <s v="Female"/>
    <n v="110000"/>
    <n v="1"/>
    <x v="0"/>
    <s v="Management"/>
    <s v="Yes"/>
    <n v="2"/>
    <s v="1-2 Miles"/>
    <s v="North America"/>
    <s v="mature adult "/>
    <n v="44"/>
    <x v="0"/>
  </r>
  <r>
    <n v="11641"/>
    <s v="Married"/>
    <s v="Male"/>
    <n v="50000"/>
    <n v="1"/>
    <x v="0"/>
    <s v="Skilled Manual"/>
    <s v="Yes"/>
    <n v="0"/>
    <s v="0-1 Miles"/>
    <s v="North America"/>
    <s v="adults"/>
    <n v="36"/>
    <x v="0"/>
  </r>
  <r>
    <n v="11935"/>
    <s v="Single"/>
    <s v="Female"/>
    <n v="30000"/>
    <n v="0"/>
    <x v="1"/>
    <s v="Skilled Manual"/>
    <s v="Yes"/>
    <n v="1"/>
    <s v="5-10 Miles"/>
    <s v="North America"/>
    <s v="young adults"/>
    <n v="28"/>
    <x v="0"/>
  </r>
  <r>
    <n v="13233"/>
    <s v="Married"/>
    <s v="Male"/>
    <n v="60000"/>
    <n v="2"/>
    <x v="1"/>
    <s v="Professional"/>
    <s v="Yes"/>
    <n v="1"/>
    <s v="more than 10 Miles"/>
    <s v="North America"/>
    <s v="middle age"/>
    <n v="57"/>
    <x v="1"/>
  </r>
  <r>
    <n v="25909"/>
    <s v="Married"/>
    <s v="Male"/>
    <n v="60000"/>
    <n v="0"/>
    <x v="1"/>
    <s v="Skilled Manual"/>
    <s v="Yes"/>
    <n v="1"/>
    <s v="5-10 Miles"/>
    <s v="North America"/>
    <s v="young adults"/>
    <n v="27"/>
    <x v="1"/>
  </r>
  <r>
    <n v="14092"/>
    <s v="Single"/>
    <s v="Male"/>
    <n v="30000"/>
    <n v="0"/>
    <x v="3"/>
    <s v="Clerical"/>
    <s v="Yes"/>
    <n v="2"/>
    <s v="5-10 Miles"/>
    <s v="North America"/>
    <s v="young adults"/>
    <n v="28"/>
    <x v="0"/>
  </r>
  <r>
    <n v="29143"/>
    <s v="Single"/>
    <s v="Female"/>
    <n v="60000"/>
    <n v="1"/>
    <x v="0"/>
    <s v="Professional"/>
    <s v="No"/>
    <n v="1"/>
    <s v="0-1 Miles"/>
    <s v="North America"/>
    <s v="mature adult "/>
    <n v="44"/>
    <x v="1"/>
  </r>
  <r>
    <n v="24941"/>
    <s v="Married"/>
    <s v="Male"/>
    <n v="60000"/>
    <n v="3"/>
    <x v="0"/>
    <s v="Management"/>
    <s v="Yes"/>
    <n v="2"/>
    <s v="more than 10 Miles"/>
    <s v="North America"/>
    <s v="middle age"/>
    <n v="66"/>
    <x v="0"/>
  </r>
  <r>
    <n v="24637"/>
    <s v="Married"/>
    <s v="Male"/>
    <n v="40000"/>
    <n v="4"/>
    <x v="2"/>
    <s v="Professional"/>
    <s v="Yes"/>
    <n v="2"/>
    <s v="more than 10 Miles"/>
    <s v="North America"/>
    <s v="middle age"/>
    <n v="64"/>
    <x v="0"/>
  </r>
  <r>
    <n v="23893"/>
    <s v="Married"/>
    <s v="Male"/>
    <n v="50000"/>
    <n v="3"/>
    <x v="0"/>
    <s v="Skilled Manual"/>
    <s v="Yes"/>
    <n v="3"/>
    <s v="more than 10 Miles"/>
    <s v="North America"/>
    <s v="mature adult "/>
    <n v="41"/>
    <x v="0"/>
  </r>
  <r>
    <n v="13907"/>
    <s v="Single"/>
    <s v="Female"/>
    <n v="80000"/>
    <n v="3"/>
    <x v="0"/>
    <s v="Skilled Manual"/>
    <s v="Yes"/>
    <n v="1"/>
    <s v="0-1 Miles"/>
    <s v="North America"/>
    <s v="mature adult "/>
    <n v="41"/>
    <x v="1"/>
  </r>
  <r>
    <n v="14900"/>
    <s v="Married"/>
    <s v="Female"/>
    <n v="40000"/>
    <n v="1"/>
    <x v="1"/>
    <s v="Clerical"/>
    <s v="Yes"/>
    <n v="1"/>
    <s v="1-2 Miles"/>
    <s v="North America"/>
    <s v="mature adult "/>
    <n v="49"/>
    <x v="1"/>
  </r>
  <r>
    <n v="11262"/>
    <s v="Married"/>
    <s v="Female"/>
    <n v="80000"/>
    <n v="4"/>
    <x v="0"/>
    <s v="Management"/>
    <s v="Yes"/>
    <n v="0"/>
    <s v="0-1 Miles"/>
    <s v="North America"/>
    <s v="mature adult "/>
    <n v="42"/>
    <x v="0"/>
  </r>
  <r>
    <n v="22294"/>
    <s v="Single"/>
    <s v="Female"/>
    <n v="70000"/>
    <n v="0"/>
    <x v="0"/>
    <s v="Professional"/>
    <s v="No"/>
    <n v="1"/>
    <s v="2-5 Miles"/>
    <s v="North America"/>
    <s v="adults"/>
    <n v="37"/>
    <x v="1"/>
  </r>
  <r>
    <n v="12195"/>
    <s v="Single"/>
    <s v="Female"/>
    <n v="70000"/>
    <n v="3"/>
    <x v="4"/>
    <s v="Management"/>
    <s v="Yes"/>
    <n v="2"/>
    <s v="1-2 Miles"/>
    <s v="North America"/>
    <s v="mature adult "/>
    <n v="52"/>
    <x v="0"/>
  </r>
  <r>
    <n v="25375"/>
    <s v="Married"/>
    <s v="Male"/>
    <n v="50000"/>
    <n v="1"/>
    <x v="4"/>
    <s v="Skilled Manual"/>
    <s v="Yes"/>
    <n v="0"/>
    <s v="1-2 Miles"/>
    <s v="North America"/>
    <s v="adults"/>
    <n v="34"/>
    <x v="0"/>
  </r>
  <r>
    <n v="11143"/>
    <s v="Married"/>
    <s v="Male"/>
    <n v="40000"/>
    <n v="0"/>
    <x v="2"/>
    <s v="Skilled Manual"/>
    <s v="Yes"/>
    <n v="2"/>
    <s v="5-10 Miles"/>
    <s v="North America"/>
    <s v="young adults"/>
    <n v="29"/>
    <x v="0"/>
  </r>
  <r>
    <n v="25898"/>
    <s v="Married"/>
    <s v="Female"/>
    <n v="70000"/>
    <n v="2"/>
    <x v="2"/>
    <s v="Professional"/>
    <s v="Yes"/>
    <n v="2"/>
    <s v="2-5 Miles"/>
    <s v="North America"/>
    <s v="mature adult "/>
    <n v="53"/>
    <x v="0"/>
  </r>
  <r>
    <n v="24397"/>
    <s v="Single"/>
    <s v="Male"/>
    <n v="120000"/>
    <n v="2"/>
    <x v="0"/>
    <s v="Management"/>
    <s v="No"/>
    <n v="4"/>
    <s v="1-2 Miles"/>
    <s v="North America"/>
    <s v="mature adult "/>
    <n v="40"/>
    <x v="0"/>
  </r>
  <r>
    <n v="19758"/>
    <s v="Single"/>
    <s v="Male"/>
    <n v="60000"/>
    <n v="0"/>
    <x v="1"/>
    <s v="Skilled Manual"/>
    <s v="No"/>
    <n v="2"/>
    <s v="1-2 Miles"/>
    <s v="North America"/>
    <s v="young adults"/>
    <n v="29"/>
    <x v="0"/>
  </r>
  <r>
    <n v="15529"/>
    <s v="Married"/>
    <s v="Male"/>
    <n v="60000"/>
    <n v="4"/>
    <x v="0"/>
    <s v="Professional"/>
    <s v="Yes"/>
    <n v="2"/>
    <s v="2-5 Miles"/>
    <s v="North America"/>
    <s v="mature adult "/>
    <n v="43"/>
    <x v="1"/>
  </r>
  <r>
    <n v="19884"/>
    <s v="Married"/>
    <s v="Male"/>
    <n v="60000"/>
    <n v="2"/>
    <x v="2"/>
    <s v="Professional"/>
    <s v="Yes"/>
    <n v="2"/>
    <s v="2-5 Miles"/>
    <s v="North America"/>
    <s v="middle age"/>
    <n v="55"/>
    <x v="1"/>
  </r>
  <r>
    <n v="18674"/>
    <s v="Single"/>
    <s v="Female"/>
    <n v="80000"/>
    <n v="4"/>
    <x v="4"/>
    <s v="Skilled Manual"/>
    <s v="No"/>
    <n v="0"/>
    <s v="0-1 Miles"/>
    <s v="North America"/>
    <s v="mature adult "/>
    <n v="48"/>
    <x v="0"/>
  </r>
  <r>
    <n v="13453"/>
    <s v="Married"/>
    <s v="Female"/>
    <n v="130000"/>
    <n v="3"/>
    <x v="0"/>
    <s v="Management"/>
    <s v="Yes"/>
    <n v="3"/>
    <s v="0-1 Miles"/>
    <s v="North America"/>
    <s v="mature adult "/>
    <n v="45"/>
    <x v="1"/>
  </r>
  <r>
    <n v="14063"/>
    <s v="Single"/>
    <s v="Female"/>
    <n v="70000"/>
    <n v="0"/>
    <x v="0"/>
    <s v="Professional"/>
    <s v="No"/>
    <n v="1"/>
    <s v="0-1 Miles"/>
    <s v="Pacific"/>
    <s v="mature adult "/>
    <n v="42"/>
    <x v="1"/>
  </r>
  <r>
    <n v="27393"/>
    <s v="Married"/>
    <s v="Female"/>
    <n v="50000"/>
    <n v="4"/>
    <x v="0"/>
    <s v="Management"/>
    <s v="Yes"/>
    <n v="2"/>
    <s v="more than 10 Miles"/>
    <s v="North America"/>
    <s v="middle age"/>
    <n v="63"/>
    <x v="0"/>
  </r>
  <r>
    <n v="14417"/>
    <s v="Single"/>
    <s v="Male"/>
    <n v="60000"/>
    <n v="3"/>
    <x v="2"/>
    <s v="Professional"/>
    <s v="Yes"/>
    <n v="2"/>
    <s v="more than 10 Miles"/>
    <s v="North America"/>
    <s v="mature adult "/>
    <n v="54"/>
    <x v="1"/>
  </r>
  <r>
    <n v="17533"/>
    <s v="Married"/>
    <s v="Male"/>
    <n v="40000"/>
    <n v="3"/>
    <x v="1"/>
    <s v="Professional"/>
    <s v="No"/>
    <n v="2"/>
    <s v="5-10 Miles"/>
    <s v="North America"/>
    <s v="senior citizen"/>
    <n v="73"/>
    <x v="1"/>
  </r>
  <r>
    <n v="18580"/>
    <s v="Married"/>
    <s v="Female"/>
    <n v="60000"/>
    <n v="2"/>
    <x v="4"/>
    <s v="Professional"/>
    <s v="Yes"/>
    <n v="0"/>
    <s v="2-5 Miles"/>
    <s v="North America"/>
    <s v="mature adult "/>
    <n v="40"/>
    <x v="1"/>
  </r>
  <r>
    <n v="17025"/>
    <s v="Single"/>
    <s v="Male"/>
    <n v="50000"/>
    <n v="0"/>
    <x v="1"/>
    <s v="Skilled Manual"/>
    <s v="No"/>
    <n v="1"/>
    <s v="2-5 Miles"/>
    <s v="North America"/>
    <s v="adults"/>
    <n v="39"/>
    <x v="1"/>
  </r>
  <r>
    <n v="25293"/>
    <s v="Married"/>
    <s v="Male"/>
    <n v="80000"/>
    <n v="4"/>
    <x v="0"/>
    <s v="Management"/>
    <s v="Yes"/>
    <n v="0"/>
    <s v="1-2 Miles"/>
    <s v="North America"/>
    <s v="mature adult "/>
    <n v="42"/>
    <x v="0"/>
  </r>
  <r>
    <n v="24725"/>
    <s v="Married"/>
    <s v="Female"/>
    <n v="40000"/>
    <n v="3"/>
    <x v="1"/>
    <s v="Clerical"/>
    <s v="Yes"/>
    <n v="0"/>
    <s v="1-2 Miles"/>
    <s v="North America"/>
    <s v="adults"/>
    <n v="31"/>
    <x v="0"/>
  </r>
  <r>
    <n v="23200"/>
    <s v="Married"/>
    <s v="Female"/>
    <n v="50000"/>
    <n v="3"/>
    <x v="0"/>
    <s v="Skilled Manual"/>
    <s v="Yes"/>
    <n v="2"/>
    <s v="0-1 Miles"/>
    <s v="North America"/>
    <s v="mature adult "/>
    <n v="41"/>
    <x v="0"/>
  </r>
  <r>
    <n v="15895"/>
    <s v="Single"/>
    <s v="Female"/>
    <n v="60000"/>
    <n v="2"/>
    <x v="0"/>
    <s v="Management"/>
    <s v="Yes"/>
    <n v="0"/>
    <s v="more than 10 Miles"/>
    <s v="North America"/>
    <s v="middle age"/>
    <n v="58"/>
    <x v="0"/>
  </r>
  <r>
    <n v="18577"/>
    <s v="Married"/>
    <s v="Female"/>
    <n v="60000"/>
    <n v="0"/>
    <x v="4"/>
    <s v="Professional"/>
    <s v="Yes"/>
    <n v="0"/>
    <s v="0-1 Miles"/>
    <s v="North America"/>
    <s v="mature adult "/>
    <n v="40"/>
    <x v="0"/>
  </r>
  <r>
    <n v="27218"/>
    <s v="Married"/>
    <s v="Female"/>
    <n v="20000"/>
    <n v="2"/>
    <x v="3"/>
    <s v="Clerical"/>
    <s v="No"/>
    <n v="0"/>
    <s v="0-1 Miles"/>
    <s v="North America"/>
    <s v="mature adult "/>
    <n v="48"/>
    <x v="0"/>
  </r>
  <r>
    <n v="18560"/>
    <s v="Married"/>
    <s v="Female"/>
    <n v="70000"/>
    <n v="2"/>
    <x v="4"/>
    <s v="Professional"/>
    <s v="Yes"/>
    <n v="0"/>
    <s v="2-5 Miles"/>
    <s v="North America"/>
    <s v="adults"/>
    <n v="34"/>
    <x v="1"/>
  </r>
  <r>
    <n v="25006"/>
    <s v="Single"/>
    <s v="Female"/>
    <n v="30000"/>
    <n v="0"/>
    <x v="1"/>
    <s v="Skilled Manual"/>
    <s v="Yes"/>
    <n v="1"/>
    <s v="5-10 Miles"/>
    <s v="North America"/>
    <s v="young adults"/>
    <n v="28"/>
    <x v="0"/>
  </r>
  <r>
    <n v="17369"/>
    <s v="Single"/>
    <s v="Male"/>
    <n v="30000"/>
    <n v="0"/>
    <x v="1"/>
    <s v="Skilled Manual"/>
    <s v="Yes"/>
    <n v="1"/>
    <s v="5-10 Miles"/>
    <s v="North America"/>
    <s v="young adults"/>
    <n v="27"/>
    <x v="0"/>
  </r>
  <r>
    <n v="14495"/>
    <s v="Married"/>
    <s v="Male"/>
    <n v="40000"/>
    <n v="3"/>
    <x v="1"/>
    <s v="Professional"/>
    <s v="No"/>
    <n v="2"/>
    <s v="5-10 Miles"/>
    <s v="North America"/>
    <s v="mature adult "/>
    <n v="54"/>
    <x v="1"/>
  </r>
  <r>
    <n v="18847"/>
    <s v="Married"/>
    <s v="Female"/>
    <n v="60000"/>
    <n v="2"/>
    <x v="4"/>
    <s v="Management"/>
    <s v="Yes"/>
    <n v="2"/>
    <s v="5-10 Miles"/>
    <s v="North America"/>
    <s v="senior citizen"/>
    <n v="70"/>
    <x v="0"/>
  </r>
  <r>
    <n v="14754"/>
    <s v="Married"/>
    <s v="Male"/>
    <n v="40000"/>
    <n v="1"/>
    <x v="1"/>
    <s v="Clerical"/>
    <s v="Yes"/>
    <n v="1"/>
    <s v="1-2 Miles"/>
    <s v="North America"/>
    <s v="mature adult "/>
    <n v="48"/>
    <x v="1"/>
  </r>
  <r>
    <n v="23378"/>
    <s v="Married"/>
    <s v="Male"/>
    <n v="70000"/>
    <n v="1"/>
    <x v="1"/>
    <s v="Skilled Manual"/>
    <s v="Yes"/>
    <n v="1"/>
    <s v="2-5 Miles"/>
    <s v="North America"/>
    <s v="mature adult "/>
    <n v="44"/>
    <x v="1"/>
  </r>
  <r>
    <n v="26452"/>
    <s v="Single"/>
    <s v="Male"/>
    <n v="50000"/>
    <n v="3"/>
    <x v="4"/>
    <s v="Management"/>
    <s v="Yes"/>
    <n v="2"/>
    <s v="more than 10 Miles"/>
    <s v="North America"/>
    <s v="middle age"/>
    <n v="69"/>
    <x v="0"/>
  </r>
  <r>
    <n v="20370"/>
    <s v="Married"/>
    <s v="Male"/>
    <n v="70000"/>
    <n v="3"/>
    <x v="3"/>
    <s v="Skilled Manual"/>
    <s v="Yes"/>
    <n v="2"/>
    <s v="5-10 Miles"/>
    <s v="North America"/>
    <s v="mature adult "/>
    <n v="52"/>
    <x v="0"/>
  </r>
  <r>
    <n v="20528"/>
    <s v="Married"/>
    <s v="Male"/>
    <n v="40000"/>
    <n v="2"/>
    <x v="3"/>
    <s v="Skilled Manual"/>
    <s v="Yes"/>
    <n v="2"/>
    <s v="2-5 Miles"/>
    <s v="North America"/>
    <s v="middle age"/>
    <n v="55"/>
    <x v="0"/>
  </r>
  <r>
    <n v="23549"/>
    <s v="Single"/>
    <s v="Male"/>
    <n v="30000"/>
    <n v="0"/>
    <x v="2"/>
    <s v="Skilled Manual"/>
    <s v="Yes"/>
    <n v="2"/>
    <s v="5-10 Miles"/>
    <s v="North America"/>
    <s v="adults"/>
    <n v="30"/>
    <x v="0"/>
  </r>
  <r>
    <n v="21751"/>
    <s v="Married"/>
    <s v="Male"/>
    <n v="60000"/>
    <n v="3"/>
    <x v="4"/>
    <s v="Management"/>
    <s v="Yes"/>
    <n v="2"/>
    <s v="1-2 Miles"/>
    <s v="North America"/>
    <s v="middle age"/>
    <n v="63"/>
    <x v="0"/>
  </r>
  <r>
    <n v="21266"/>
    <s v="Single"/>
    <s v="Female"/>
    <n v="80000"/>
    <n v="0"/>
    <x v="0"/>
    <s v="Management"/>
    <s v="Yes"/>
    <n v="1"/>
    <s v="1-2 Miles"/>
    <s v="North America"/>
    <s v="adults"/>
    <n v="34"/>
    <x v="1"/>
  </r>
  <r>
    <n v="13388"/>
    <s v="Single"/>
    <s v="Male"/>
    <n v="60000"/>
    <n v="2"/>
    <x v="1"/>
    <s v="Professional"/>
    <s v="Yes"/>
    <n v="1"/>
    <s v="more than 10 Miles"/>
    <s v="North America"/>
    <s v="middle age"/>
    <n v="56"/>
    <x v="0"/>
  </r>
  <r>
    <n v="18752"/>
    <s v="Single"/>
    <s v="Female"/>
    <n v="40000"/>
    <n v="0"/>
    <x v="2"/>
    <s v="Skilled Manual"/>
    <s v="Yes"/>
    <n v="1"/>
    <s v="5-10 Miles"/>
    <s v="North America"/>
    <s v="adults"/>
    <n v="31"/>
    <x v="0"/>
  </r>
  <r>
    <n v="16917"/>
    <s v="Married"/>
    <s v="Male"/>
    <n v="120000"/>
    <n v="1"/>
    <x v="0"/>
    <s v="Management"/>
    <s v="Yes"/>
    <n v="4"/>
    <s v="0-1 Miles"/>
    <s v="North America"/>
    <s v="adults"/>
    <n v="38"/>
    <x v="0"/>
  </r>
  <r>
    <n v="15313"/>
    <s v="Married"/>
    <s v="Male"/>
    <n v="60000"/>
    <n v="4"/>
    <x v="0"/>
    <s v="Management"/>
    <s v="Yes"/>
    <n v="2"/>
    <s v="2-5 Miles"/>
    <s v="North America"/>
    <s v="middle age"/>
    <n v="59"/>
    <x v="0"/>
  </r>
  <r>
    <n v="25329"/>
    <s v="Single"/>
    <s v="Female"/>
    <n v="40000"/>
    <n v="3"/>
    <x v="1"/>
    <s v="Clerical"/>
    <s v="No"/>
    <n v="2"/>
    <s v="0-1 Miles"/>
    <s v="North America"/>
    <s v="adults"/>
    <n v="32"/>
    <x v="0"/>
  </r>
  <r>
    <n v="20380"/>
    <s v="Married"/>
    <s v="Female"/>
    <n v="60000"/>
    <n v="3"/>
    <x v="4"/>
    <s v="Management"/>
    <s v="Yes"/>
    <n v="2"/>
    <s v="more than 10 Miles"/>
    <s v="North America"/>
    <s v="middle age"/>
    <n v="69"/>
    <x v="0"/>
  </r>
  <r>
    <n v="23089"/>
    <s v="Married"/>
    <s v="Male"/>
    <n v="40000"/>
    <n v="0"/>
    <x v="1"/>
    <s v="Skilled Manual"/>
    <s v="Yes"/>
    <n v="1"/>
    <s v="5-10 Miles"/>
    <s v="North America"/>
    <s v="young adults"/>
    <n v="28"/>
    <x v="0"/>
  </r>
  <r>
    <n v="13749"/>
    <s v="Married"/>
    <s v="Male"/>
    <n v="80000"/>
    <n v="4"/>
    <x v="4"/>
    <s v="Skilled Manual"/>
    <s v="Yes"/>
    <n v="0"/>
    <s v="1-2 Miles"/>
    <s v="North America"/>
    <s v="mature adult "/>
    <n v="47"/>
    <x v="0"/>
  </r>
  <r>
    <n v="24943"/>
    <s v="Married"/>
    <s v="Male"/>
    <n v="60000"/>
    <n v="3"/>
    <x v="0"/>
    <s v="Management"/>
    <s v="Yes"/>
    <n v="2"/>
    <s v="more than 10 Miles"/>
    <s v="North America"/>
    <s v="middle age"/>
    <n v="66"/>
    <x v="0"/>
  </r>
  <r>
    <n v="28667"/>
    <s v="Single"/>
    <s v="Male"/>
    <n v="70000"/>
    <n v="2"/>
    <x v="0"/>
    <s v="Skilled Manual"/>
    <s v="No"/>
    <n v="1"/>
    <s v="0-1 Miles"/>
    <s v="North America"/>
    <s v="adults"/>
    <n v="37"/>
    <x v="1"/>
  </r>
  <r>
    <n v="15194"/>
    <s v="Single"/>
    <s v="Male"/>
    <n v="120000"/>
    <n v="2"/>
    <x v="0"/>
    <s v="Management"/>
    <s v="No"/>
    <n v="3"/>
    <s v="0-1 Miles"/>
    <s v="North America"/>
    <s v="adults"/>
    <n v="39"/>
    <x v="1"/>
  </r>
  <r>
    <n v="17436"/>
    <s v="Married"/>
    <s v="Male"/>
    <n v="60000"/>
    <n v="2"/>
    <x v="2"/>
    <s v="Professional"/>
    <s v="No"/>
    <n v="2"/>
    <s v="1-2 Miles"/>
    <s v="North America"/>
    <s v="mature adult "/>
    <n v="51"/>
    <x v="0"/>
  </r>
  <r>
    <n v="18935"/>
    <s v="Married"/>
    <s v="Female"/>
    <n v="130000"/>
    <n v="0"/>
    <x v="4"/>
    <s v="Management"/>
    <s v="Yes"/>
    <n v="3"/>
    <s v="1-2 Miles"/>
    <s v="North America"/>
    <s v="mature adult "/>
    <n v="40"/>
    <x v="0"/>
  </r>
  <r>
    <n v="16871"/>
    <s v="Married"/>
    <s v="Female"/>
    <n v="90000"/>
    <n v="2"/>
    <x v="2"/>
    <s v="Professional"/>
    <s v="Yes"/>
    <n v="1"/>
    <s v="more than 10 Miles"/>
    <s v="North America"/>
    <s v="mature adult "/>
    <n v="51"/>
    <x v="1"/>
  </r>
  <r>
    <n v="12100"/>
    <s v="Single"/>
    <s v="Male"/>
    <n v="60000"/>
    <n v="2"/>
    <x v="0"/>
    <s v="Management"/>
    <s v="Yes"/>
    <n v="0"/>
    <s v="more than 10 Miles"/>
    <s v="North America"/>
    <s v="middle age"/>
    <n v="57"/>
    <x v="0"/>
  </r>
  <r>
    <n v="23158"/>
    <s v="Married"/>
    <s v="Female"/>
    <n v="60000"/>
    <n v="1"/>
    <x v="4"/>
    <s v="Professional"/>
    <s v="No"/>
    <n v="0"/>
    <s v="0-1 Miles"/>
    <s v="North America"/>
    <s v="adults"/>
    <n v="35"/>
    <x v="1"/>
  </r>
  <r>
    <n v="18545"/>
    <s v="Married"/>
    <s v="Male"/>
    <n v="40000"/>
    <n v="4"/>
    <x v="2"/>
    <s v="Professional"/>
    <s v="No"/>
    <n v="2"/>
    <s v="more than 10 Miles"/>
    <s v="North America"/>
    <s v="middle age"/>
    <n v="61"/>
    <x v="1"/>
  </r>
  <r>
    <n v="18391"/>
    <s v="Single"/>
    <s v="Female"/>
    <n v="80000"/>
    <n v="5"/>
    <x v="1"/>
    <s v="Professional"/>
    <s v="Yes"/>
    <n v="2"/>
    <s v="5-10 Miles"/>
    <s v="North America"/>
    <s v="mature adult "/>
    <n v="44"/>
    <x v="0"/>
  </r>
  <r>
    <n v="19812"/>
    <s v="Single"/>
    <s v="Female"/>
    <n v="70000"/>
    <n v="2"/>
    <x v="1"/>
    <s v="Professional"/>
    <s v="Yes"/>
    <n v="0"/>
    <s v="5-10 Miles"/>
    <s v="North America"/>
    <s v="mature adult "/>
    <n v="49"/>
    <x v="1"/>
  </r>
  <r>
    <n v="27660"/>
    <s v="Married"/>
    <s v="Male"/>
    <n v="80000"/>
    <n v="4"/>
    <x v="4"/>
    <s v="Management"/>
    <s v="Yes"/>
    <n v="2"/>
    <s v="5-10 Miles"/>
    <s v="North America"/>
    <s v="senior citizen"/>
    <n v="70"/>
    <x v="0"/>
  </r>
  <r>
    <n v="18058"/>
    <s v="Single"/>
    <s v="Female"/>
    <n v="20000"/>
    <n v="3"/>
    <x v="2"/>
    <s v="Skilled Manual"/>
    <s v="Yes"/>
    <n v="2"/>
    <s v="2-5 Miles"/>
    <s v="North America"/>
    <s v="senior citizen"/>
    <n v="78"/>
    <x v="0"/>
  </r>
  <r>
    <n v="20343"/>
    <s v="Married"/>
    <s v="Female"/>
    <n v="90000"/>
    <n v="4"/>
    <x v="1"/>
    <s v="Professional"/>
    <s v="Yes"/>
    <n v="1"/>
    <s v="1-2 Miles"/>
    <s v="North America"/>
    <s v="mature adult "/>
    <n v="45"/>
    <x v="0"/>
  </r>
  <r>
    <n v="28997"/>
    <s v="Single"/>
    <s v="Male"/>
    <n v="40000"/>
    <n v="2"/>
    <x v="2"/>
    <s v="Professional"/>
    <s v="No"/>
    <n v="1"/>
    <s v="2-5 Miles"/>
    <s v="North America"/>
    <s v="middle age"/>
    <n v="58"/>
    <x v="1"/>
  </r>
  <r>
    <n v="24398"/>
    <s v="Married"/>
    <s v="Male"/>
    <n v="130000"/>
    <n v="1"/>
    <x v="4"/>
    <s v="Management"/>
    <s v="Yes"/>
    <n v="4"/>
    <s v="0-1 Miles"/>
    <s v="North America"/>
    <s v="mature adult "/>
    <n v="41"/>
    <x v="0"/>
  </r>
  <r>
    <n v="19002"/>
    <s v="Married"/>
    <s v="Female"/>
    <n v="60000"/>
    <n v="2"/>
    <x v="1"/>
    <s v="Professional"/>
    <s v="Yes"/>
    <n v="1"/>
    <s v="2-5 Miles"/>
    <s v="North America"/>
    <s v="middle age"/>
    <n v="57"/>
    <x v="1"/>
  </r>
  <r>
    <n v="28609"/>
    <s v="Married"/>
    <s v="Male"/>
    <n v="30000"/>
    <n v="2"/>
    <x v="2"/>
    <s v="Skilled Manual"/>
    <s v="No"/>
    <n v="2"/>
    <s v="0-1 Miles"/>
    <s v="North America"/>
    <s v="mature adult "/>
    <n v="49"/>
    <x v="0"/>
  </r>
  <r>
    <n v="29231"/>
    <s v="Single"/>
    <s v="Male"/>
    <n v="80000"/>
    <n v="4"/>
    <x v="1"/>
    <s v="Professional"/>
    <s v="No"/>
    <n v="2"/>
    <s v="0-1 Miles"/>
    <s v="North America"/>
    <s v="mature adult "/>
    <n v="43"/>
    <x v="0"/>
  </r>
  <r>
    <n v="18858"/>
    <s v="Single"/>
    <s v="Male"/>
    <n v="60000"/>
    <n v="2"/>
    <x v="3"/>
    <s v="Skilled Manual"/>
    <s v="Yes"/>
    <n v="2"/>
    <s v="5-10 Miles"/>
    <s v="North America"/>
    <s v="mature adult "/>
    <n v="52"/>
    <x v="1"/>
  </r>
  <r>
    <n v="20000"/>
    <s v="Married"/>
    <s v="Male"/>
    <n v="60000"/>
    <n v="1"/>
    <x v="4"/>
    <s v="Professional"/>
    <s v="Yes"/>
    <n v="0"/>
    <s v="0-1 Miles"/>
    <s v="North America"/>
    <s v="adults"/>
    <n v="35"/>
    <x v="1"/>
  </r>
  <r>
    <n v="25261"/>
    <s v="Married"/>
    <s v="Male"/>
    <n v="40000"/>
    <n v="0"/>
    <x v="2"/>
    <s v="Skilled Manual"/>
    <s v="Yes"/>
    <n v="2"/>
    <s v="5-10 Miles"/>
    <s v="North America"/>
    <s v="young adults"/>
    <n v="27"/>
    <x v="0"/>
  </r>
  <r>
    <n v="17458"/>
    <s v="Single"/>
    <s v="Male"/>
    <n v="70000"/>
    <n v="3"/>
    <x v="2"/>
    <s v="Professional"/>
    <s v="Yes"/>
    <n v="0"/>
    <s v="5-10 Miles"/>
    <s v="North America"/>
    <s v="mature adult "/>
    <n v="52"/>
    <x v="1"/>
  </r>
  <r>
    <n v="11644"/>
    <s v="Single"/>
    <s v="Male"/>
    <n v="40000"/>
    <n v="2"/>
    <x v="0"/>
    <s v="Skilled Manual"/>
    <s v="Yes"/>
    <n v="0"/>
    <s v="2-5 Miles"/>
    <s v="North America"/>
    <s v="adults"/>
    <n v="36"/>
    <x v="0"/>
  </r>
  <r>
    <n v="16145"/>
    <s v="Single"/>
    <s v="Female"/>
    <n v="70000"/>
    <n v="5"/>
    <x v="4"/>
    <s v="Professional"/>
    <s v="Yes"/>
    <n v="3"/>
    <s v="more than 10 Miles"/>
    <s v="North America"/>
    <s v="mature adult "/>
    <n v="46"/>
    <x v="1"/>
  </r>
  <r>
    <n v="16890"/>
    <s v="Married"/>
    <s v="Male"/>
    <n v="60000"/>
    <n v="3"/>
    <x v="3"/>
    <s v="Skilled Manual"/>
    <s v="Yes"/>
    <n v="2"/>
    <s v="5-10 Miles"/>
    <s v="North America"/>
    <s v="mature adult "/>
    <n v="52"/>
    <x v="1"/>
  </r>
  <r>
    <n v="25983"/>
    <s v="Married"/>
    <s v="Male"/>
    <n v="70000"/>
    <n v="0"/>
    <x v="0"/>
    <s v="Professional"/>
    <s v="No"/>
    <n v="1"/>
    <s v="0-1 Miles"/>
    <s v="North America"/>
    <s v="mature adult "/>
    <n v="43"/>
    <x v="0"/>
  </r>
  <r>
    <n v="14633"/>
    <s v="Married"/>
    <s v="Male"/>
    <n v="60000"/>
    <n v="1"/>
    <x v="1"/>
    <s v="Skilled Manual"/>
    <s v="Yes"/>
    <n v="1"/>
    <s v="2-5 Miles"/>
    <s v="North America"/>
    <s v="mature adult "/>
    <n v="44"/>
    <x v="0"/>
  </r>
  <r>
    <n v="22994"/>
    <s v="Married"/>
    <s v="Female"/>
    <n v="80000"/>
    <n v="0"/>
    <x v="0"/>
    <s v="Management"/>
    <s v="Yes"/>
    <n v="1"/>
    <s v="1-2 Miles"/>
    <s v="North America"/>
    <s v="adults"/>
    <n v="34"/>
    <x v="1"/>
  </r>
  <r>
    <n v="22983"/>
    <s v="Single"/>
    <s v="Female"/>
    <n v="30000"/>
    <n v="0"/>
    <x v="3"/>
    <s v="Clerical"/>
    <s v="Yes"/>
    <n v="2"/>
    <s v="5-10 Miles"/>
    <s v="North America"/>
    <s v="young adults"/>
    <n v="27"/>
    <x v="0"/>
  </r>
  <r>
    <n v="25184"/>
    <s v="Single"/>
    <s v="Male"/>
    <n v="110000"/>
    <n v="1"/>
    <x v="1"/>
    <s v="Professional"/>
    <s v="Yes"/>
    <n v="4"/>
    <s v="5-10 Miles"/>
    <s v="North America"/>
    <s v="mature adult "/>
    <n v="45"/>
    <x v="1"/>
  </r>
  <r>
    <n v="14469"/>
    <s v="Married"/>
    <s v="Female"/>
    <n v="100000"/>
    <n v="3"/>
    <x v="1"/>
    <s v="Professional"/>
    <s v="Yes"/>
    <n v="4"/>
    <s v="1-2 Miles"/>
    <s v="North America"/>
    <s v="mature adult "/>
    <n v="45"/>
    <x v="0"/>
  </r>
  <r>
    <n v="11538"/>
    <s v="Single"/>
    <s v="Female"/>
    <n v="60000"/>
    <n v="4"/>
    <x v="4"/>
    <s v="Skilled Manual"/>
    <s v="No"/>
    <n v="0"/>
    <s v="0-1 Miles"/>
    <s v="North America"/>
    <s v="mature adult "/>
    <n v="47"/>
    <x v="1"/>
  </r>
  <r>
    <n v="16245"/>
    <s v="Single"/>
    <s v="Female"/>
    <n v="80000"/>
    <n v="4"/>
    <x v="4"/>
    <s v="Skilled Manual"/>
    <s v="Yes"/>
    <n v="0"/>
    <s v="1-2 Miles"/>
    <s v="North America"/>
    <s v="mature adult "/>
    <n v="47"/>
    <x v="0"/>
  </r>
  <r>
    <n v="17858"/>
    <s v="Married"/>
    <s v="Male"/>
    <n v="40000"/>
    <n v="4"/>
    <x v="2"/>
    <s v="Skilled Manual"/>
    <s v="Yes"/>
    <n v="2"/>
    <s v="2-5 Miles"/>
    <s v="North America"/>
    <s v="mature adult "/>
    <n v="44"/>
    <x v="1"/>
  </r>
  <r>
    <n v="25347"/>
    <s v="Single"/>
    <s v="Female"/>
    <n v="20000"/>
    <n v="3"/>
    <x v="3"/>
    <s v="Clerical"/>
    <s v="No"/>
    <n v="2"/>
    <s v="0-1 Miles"/>
    <s v="North America"/>
    <s v="mature adult "/>
    <n v="49"/>
    <x v="0"/>
  </r>
  <r>
    <n v="15814"/>
    <s v="Single"/>
    <s v="Female"/>
    <n v="40000"/>
    <n v="0"/>
    <x v="2"/>
    <s v="Skilled Manual"/>
    <s v="Yes"/>
    <n v="1"/>
    <s v="5-10 Miles"/>
    <s v="North America"/>
    <s v="adults"/>
    <n v="30"/>
    <x v="0"/>
  </r>
  <r>
    <n v="11259"/>
    <s v="Married"/>
    <s v="Female"/>
    <n v="100000"/>
    <n v="4"/>
    <x v="1"/>
    <s v="Professional"/>
    <s v="Yes"/>
    <n v="4"/>
    <s v="2-5 Miles"/>
    <s v="North America"/>
    <s v="mature adult "/>
    <n v="41"/>
    <x v="1"/>
  </r>
  <r>
    <n v="11200"/>
    <s v="Married"/>
    <s v="Male"/>
    <n v="70000"/>
    <n v="4"/>
    <x v="0"/>
    <s v="Management"/>
    <s v="Yes"/>
    <n v="1"/>
    <s v="1-2 Miles"/>
    <s v="North America"/>
    <s v="middle age"/>
    <n v="58"/>
    <x v="0"/>
  </r>
  <r>
    <n v="25101"/>
    <s v="Married"/>
    <s v="Male"/>
    <n v="60000"/>
    <n v="5"/>
    <x v="0"/>
    <s v="Professional"/>
    <s v="Yes"/>
    <n v="1"/>
    <s v="2-5 Miles"/>
    <s v="North America"/>
    <s v="mature adult "/>
    <n v="47"/>
    <x v="0"/>
  </r>
  <r>
    <n v="21801"/>
    <s v="Married"/>
    <s v="Female"/>
    <n v="70000"/>
    <n v="4"/>
    <x v="1"/>
    <s v="Professional"/>
    <s v="Yes"/>
    <n v="1"/>
    <s v="1-2 Miles"/>
    <s v="North America"/>
    <s v="middle age"/>
    <n v="55"/>
    <x v="0"/>
  </r>
  <r>
    <n v="25943"/>
    <s v="Single"/>
    <s v="Female"/>
    <n v="70000"/>
    <n v="0"/>
    <x v="1"/>
    <s v="Skilled Manual"/>
    <s v="No"/>
    <n v="2"/>
    <s v="0-1 Miles"/>
    <s v="North America"/>
    <s v="young adults"/>
    <n v="27"/>
    <x v="1"/>
  </r>
  <r>
    <n v="22127"/>
    <s v="Married"/>
    <s v="Male"/>
    <n v="60000"/>
    <n v="3"/>
    <x v="4"/>
    <s v="Management"/>
    <s v="Yes"/>
    <n v="2"/>
    <s v="1-2 Miles"/>
    <s v="North America"/>
    <s v="middle age"/>
    <n v="67"/>
    <x v="0"/>
  </r>
  <r>
    <n v="20414"/>
    <s v="Married"/>
    <s v="Female"/>
    <n v="60000"/>
    <n v="0"/>
    <x v="1"/>
    <s v="Skilled Manual"/>
    <s v="Yes"/>
    <n v="2"/>
    <s v="5-10 Miles"/>
    <s v="North America"/>
    <s v="young adults"/>
    <n v="29"/>
    <x v="0"/>
  </r>
  <r>
    <n v="23672"/>
    <s v="Married"/>
    <s v="Female"/>
    <n v="60000"/>
    <n v="3"/>
    <x v="4"/>
    <s v="Management"/>
    <s v="Yes"/>
    <n v="2"/>
    <s v="1-2 Miles"/>
    <s v="North America"/>
    <s v="middle age"/>
    <n v="67"/>
    <x v="0"/>
  </r>
  <r>
    <n v="29255"/>
    <s v="Single"/>
    <s v="Male"/>
    <n v="80000"/>
    <n v="3"/>
    <x v="1"/>
    <s v="Professional"/>
    <s v="No"/>
    <n v="1"/>
    <s v="1-2 Miles"/>
    <s v="North America"/>
    <s v="mature adult "/>
    <n v="51"/>
    <x v="1"/>
  </r>
  <r>
    <n v="28815"/>
    <s v="Married"/>
    <s v="Female"/>
    <n v="50000"/>
    <n v="1"/>
    <x v="4"/>
    <s v="Skilled Manual"/>
    <s v="Yes"/>
    <n v="0"/>
    <s v="0-1 Miles"/>
    <s v="North America"/>
    <s v="adults"/>
    <n v="35"/>
    <x v="0"/>
  </r>
  <r>
    <n v="27753"/>
    <s v="Married"/>
    <s v="Male"/>
    <n v="40000"/>
    <n v="0"/>
    <x v="2"/>
    <s v="Skilled Manual"/>
    <s v="No"/>
    <n v="2"/>
    <s v="1-2 Miles"/>
    <s v="North America"/>
    <s v="adults"/>
    <n v="30"/>
    <x v="0"/>
  </r>
  <r>
    <n v="27643"/>
    <s v="Single"/>
    <s v="Male"/>
    <n v="70000"/>
    <n v="5"/>
    <x v="1"/>
    <s v="Professional"/>
    <s v="Yes"/>
    <n v="3"/>
    <s v="2-5 Miles"/>
    <s v="North America"/>
    <s v="mature adult "/>
    <n v="44"/>
    <x v="0"/>
  </r>
  <r>
    <n v="13754"/>
    <s v="Single"/>
    <s v="Female"/>
    <n v="80000"/>
    <n v="4"/>
    <x v="4"/>
    <s v="Skilled Manual"/>
    <s v="Yes"/>
    <n v="0"/>
    <s v="1-2 Miles"/>
    <s v="North America"/>
    <s v="mature adult "/>
    <n v="48"/>
    <x v="0"/>
  </r>
  <r>
    <n v="22088"/>
    <s v="Married"/>
    <s v="Female"/>
    <n v="130000"/>
    <n v="1"/>
    <x v="0"/>
    <s v="Management"/>
    <s v="Yes"/>
    <n v="2"/>
    <s v="0-1 Miles"/>
    <s v="North America"/>
    <s v="mature adult "/>
    <n v="45"/>
    <x v="1"/>
  </r>
  <r>
    <n v="27388"/>
    <s v="Married"/>
    <s v="Male"/>
    <n v="60000"/>
    <n v="3"/>
    <x v="0"/>
    <s v="Management"/>
    <s v="No"/>
    <n v="2"/>
    <s v="1-2 Miles"/>
    <s v="North America"/>
    <s v="middle age"/>
    <n v="66"/>
    <x v="0"/>
  </r>
  <r>
    <n v="24745"/>
    <s v="Single"/>
    <s v="Female"/>
    <n v="30000"/>
    <n v="2"/>
    <x v="2"/>
    <s v="Skilled Manual"/>
    <s v="No"/>
    <n v="2"/>
    <s v="0-1 Miles"/>
    <s v="North America"/>
    <s v="mature adult "/>
    <n v="49"/>
    <x v="0"/>
  </r>
  <r>
    <n v="29237"/>
    <s v="Single"/>
    <s v="Female"/>
    <n v="120000"/>
    <n v="4"/>
    <x v="1"/>
    <s v="Professional"/>
    <s v="Yes"/>
    <n v="3"/>
    <s v="5-10 Miles"/>
    <s v="North America"/>
    <s v="mature adult "/>
    <n v="43"/>
    <x v="1"/>
  </r>
  <r>
    <n v="15272"/>
    <s v="Single"/>
    <s v="Male"/>
    <n v="40000"/>
    <n v="0"/>
    <x v="2"/>
    <s v="Skilled Manual"/>
    <s v="No"/>
    <n v="2"/>
    <s v="1-2 Miles"/>
    <s v="North America"/>
    <s v="adults"/>
    <n v="30"/>
    <x v="0"/>
  </r>
  <r>
    <n v="18949"/>
    <s v="Single"/>
    <s v="Male"/>
    <n v="70000"/>
    <n v="0"/>
    <x v="4"/>
    <s v="Management"/>
    <s v="Yes"/>
    <n v="2"/>
    <s v="5-10 Miles"/>
    <s v="North America"/>
    <s v="senior citizen"/>
    <n v="74"/>
    <x v="1"/>
  </r>
  <r>
    <n v="14507"/>
    <s v="Married"/>
    <s v="Male"/>
    <n v="100000"/>
    <n v="2"/>
    <x v="4"/>
    <s v="Management"/>
    <s v="Yes"/>
    <n v="3"/>
    <s v="1-2 Miles"/>
    <s v="North America"/>
    <s v="middle age"/>
    <n v="65"/>
    <x v="0"/>
  </r>
  <r>
    <n v="25886"/>
    <s v="Married"/>
    <s v="Female"/>
    <n v="60000"/>
    <n v="2"/>
    <x v="1"/>
    <s v="Professional"/>
    <s v="Yes"/>
    <n v="2"/>
    <s v="2-5 Miles"/>
    <s v="North America"/>
    <s v="middle age"/>
    <n v="56"/>
    <x v="1"/>
  </r>
  <r>
    <n v="21441"/>
    <s v="Married"/>
    <s v="Male"/>
    <n v="50000"/>
    <n v="4"/>
    <x v="0"/>
    <s v="Management"/>
    <s v="Yes"/>
    <n v="2"/>
    <s v="more than 10 Miles"/>
    <s v="North America"/>
    <s v="middle age"/>
    <n v="64"/>
    <x v="0"/>
  </r>
  <r>
    <n v="21741"/>
    <s v="Married"/>
    <s v="Female"/>
    <n v="70000"/>
    <n v="3"/>
    <x v="1"/>
    <s v="Professional"/>
    <s v="Yes"/>
    <n v="2"/>
    <s v="5-10 Miles"/>
    <s v="North America"/>
    <s v="mature adult "/>
    <n v="50"/>
    <x v="1"/>
  </r>
  <r>
    <n v="14572"/>
    <s v="Married"/>
    <s v="Female"/>
    <n v="70000"/>
    <n v="3"/>
    <x v="4"/>
    <s v="Professional"/>
    <s v="Yes"/>
    <n v="0"/>
    <s v="2-5 Miles"/>
    <s v="North America"/>
    <s v="adults"/>
    <n v="35"/>
    <x v="1"/>
  </r>
  <r>
    <n v="23368"/>
    <s v="Married"/>
    <s v="Female"/>
    <n v="60000"/>
    <n v="5"/>
    <x v="0"/>
    <s v="Skilled Manual"/>
    <s v="Yes"/>
    <n v="3"/>
    <s v="more than 10 Miles"/>
    <s v="North America"/>
    <s v="mature adult "/>
    <n v="41"/>
    <x v="0"/>
  </r>
  <r>
    <n v="16217"/>
    <s v="Single"/>
    <s v="Female"/>
    <n v="60000"/>
    <n v="0"/>
    <x v="4"/>
    <s v="Skilled Manual"/>
    <s v="Yes"/>
    <n v="0"/>
    <s v="0-1 Miles"/>
    <s v="North America"/>
    <s v="adults"/>
    <n v="39"/>
    <x v="0"/>
  </r>
  <r>
    <n v="16247"/>
    <s v="Single"/>
    <s v="Female"/>
    <n v="60000"/>
    <n v="4"/>
    <x v="4"/>
    <s v="Skilled Manual"/>
    <s v="No"/>
    <n v="0"/>
    <s v="1-2 Miles"/>
    <s v="North America"/>
    <s v="mature adult "/>
    <n v="47"/>
    <x v="0"/>
  </r>
  <r>
    <n v="22010"/>
    <s v="Single"/>
    <s v="Male"/>
    <n v="40000"/>
    <n v="0"/>
    <x v="2"/>
    <s v="Skilled Manual"/>
    <s v="Yes"/>
    <n v="2"/>
    <s v="5-10 Miles"/>
    <s v="North America"/>
    <s v="adults"/>
    <n v="31"/>
    <x v="0"/>
  </r>
  <r>
    <n v="25872"/>
    <s v="Single"/>
    <s v="Female"/>
    <n v="70000"/>
    <n v="2"/>
    <x v="0"/>
    <s v="Management"/>
    <s v="No"/>
    <n v="1"/>
    <s v="2-5 Miles"/>
    <s v="North America"/>
    <s v="middle age"/>
    <n v="58"/>
    <x v="1"/>
  </r>
  <r>
    <n v="19164"/>
    <s v="Single"/>
    <s v="Female"/>
    <n v="70000"/>
    <n v="0"/>
    <x v="0"/>
    <s v="Professional"/>
    <s v="No"/>
    <n v="1"/>
    <s v="2-5 Miles"/>
    <s v="North America"/>
    <s v="adults"/>
    <n v="38"/>
    <x v="1"/>
  </r>
  <r>
    <n v="18435"/>
    <s v="Single"/>
    <s v="Female"/>
    <n v="70000"/>
    <n v="5"/>
    <x v="4"/>
    <s v="Management"/>
    <s v="Yes"/>
    <n v="2"/>
    <s v="more than 10 Miles"/>
    <s v="North America"/>
    <s v="middle age"/>
    <n v="67"/>
    <x v="1"/>
  </r>
  <r>
    <n v="14284"/>
    <s v="Single"/>
    <s v="Male"/>
    <n v="60000"/>
    <n v="0"/>
    <x v="1"/>
    <s v="Professional"/>
    <s v="No"/>
    <n v="2"/>
    <s v="1-2 Miles"/>
    <s v="North America"/>
    <s v="adults"/>
    <n v="32"/>
    <x v="1"/>
  </r>
  <r>
    <n v="11287"/>
    <s v="Married"/>
    <s v="Male"/>
    <n v="70000"/>
    <n v="5"/>
    <x v="1"/>
    <s v="Professional"/>
    <s v="No"/>
    <n v="3"/>
    <s v="5-10 Miles"/>
    <s v="North America"/>
    <s v="mature adult "/>
    <n v="45"/>
    <x v="0"/>
  </r>
  <r>
    <n v="13066"/>
    <s v="Single"/>
    <s v="Male"/>
    <n v="30000"/>
    <n v="0"/>
    <x v="2"/>
    <s v="Skilled Manual"/>
    <s v="No"/>
    <n v="2"/>
    <s v="1-2 Miles"/>
    <s v="North America"/>
    <s v="adults"/>
    <n v="31"/>
    <x v="1"/>
  </r>
  <r>
    <n v="29106"/>
    <s v="Single"/>
    <s v="Male"/>
    <n v="40000"/>
    <n v="0"/>
    <x v="2"/>
    <s v="Skilled Manual"/>
    <s v="No"/>
    <n v="2"/>
    <s v="1-2 Miles"/>
    <s v="North America"/>
    <s v="adults"/>
    <n v="31"/>
    <x v="1"/>
  </r>
  <r>
    <n v="26236"/>
    <s v="Married"/>
    <s v="Female"/>
    <n v="40000"/>
    <n v="3"/>
    <x v="1"/>
    <s v="Clerical"/>
    <s v="Yes"/>
    <n v="1"/>
    <s v="0-1 Miles"/>
    <s v="North America"/>
    <s v="adults"/>
    <n v="31"/>
    <x v="0"/>
  </r>
  <r>
    <n v="17531"/>
    <s v="Married"/>
    <s v="Male"/>
    <n v="60000"/>
    <n v="2"/>
    <x v="2"/>
    <s v="Professional"/>
    <s v="No"/>
    <n v="2"/>
    <s v="5-10 Miles"/>
    <s v="North America"/>
    <s v="mature adult "/>
    <n v="50"/>
    <x v="0"/>
  </r>
  <r>
    <n v="12964"/>
    <s v="Married"/>
    <s v="Male"/>
    <n v="70000"/>
    <n v="1"/>
    <x v="1"/>
    <s v="Skilled Manual"/>
    <s v="Yes"/>
    <n v="1"/>
    <s v="0-1 Miles"/>
    <s v="North America"/>
    <s v="mature adult "/>
    <n v="44"/>
    <x v="0"/>
  </r>
  <r>
    <n v="19133"/>
    <s v="Single"/>
    <s v="Male"/>
    <n v="50000"/>
    <n v="2"/>
    <x v="0"/>
    <s v="Skilled Manual"/>
    <s v="Yes"/>
    <n v="1"/>
    <s v="2-5 Miles"/>
    <s v="North America"/>
    <s v="adults"/>
    <n v="38"/>
    <x v="1"/>
  </r>
  <r>
    <n v="24643"/>
    <s v="Single"/>
    <s v="Female"/>
    <n v="60000"/>
    <n v="4"/>
    <x v="0"/>
    <s v="Management"/>
    <s v="Yes"/>
    <n v="2"/>
    <s v="more than 10 Miles"/>
    <s v="North America"/>
    <s v="middle age"/>
    <n v="63"/>
    <x v="0"/>
  </r>
  <r>
    <n v="21599"/>
    <s v="Married"/>
    <s v="Female"/>
    <n v="60000"/>
    <n v="1"/>
    <x v="4"/>
    <s v="Professional"/>
    <s v="Yes"/>
    <n v="0"/>
    <s v="2-5 Miles"/>
    <s v="North America"/>
    <s v="adults"/>
    <n v="36"/>
    <x v="1"/>
  </r>
  <r>
    <n v="22976"/>
    <s v="Single"/>
    <s v="Male"/>
    <n v="40000"/>
    <n v="0"/>
    <x v="2"/>
    <s v="Skilled Manual"/>
    <s v="No"/>
    <n v="2"/>
    <s v="0-1 Miles"/>
    <s v="North America"/>
    <s v="young adults"/>
    <n v="28"/>
    <x v="1"/>
  </r>
  <r>
    <n v="27637"/>
    <s v="Single"/>
    <s v="Female"/>
    <n v="100000"/>
    <n v="1"/>
    <x v="1"/>
    <s v="Professional"/>
    <s v="No"/>
    <n v="3"/>
    <s v="1-2 Miles"/>
    <s v="North America"/>
    <s v="mature adult "/>
    <n v="44"/>
    <x v="0"/>
  </r>
  <r>
    <n v="11890"/>
    <s v="Married"/>
    <s v="Female"/>
    <n v="70000"/>
    <n v="5"/>
    <x v="4"/>
    <s v="Professional"/>
    <s v="Yes"/>
    <n v="1"/>
    <s v="0-1 Miles"/>
    <s v="North America"/>
    <s v="mature adult "/>
    <n v="47"/>
    <x v="0"/>
  </r>
  <r>
    <n v="28580"/>
    <s v="Married"/>
    <s v="Female"/>
    <n v="80000"/>
    <n v="0"/>
    <x v="4"/>
    <s v="Skilled Manual"/>
    <s v="Yes"/>
    <n v="0"/>
    <s v="1-2 Miles"/>
    <s v="North America"/>
    <s v="mature adult "/>
    <n v="40"/>
    <x v="1"/>
  </r>
  <r>
    <n v="14443"/>
    <s v="Married"/>
    <s v="Male"/>
    <n v="130000"/>
    <n v="1"/>
    <x v="4"/>
    <s v="Management"/>
    <s v="Yes"/>
    <n v="4"/>
    <s v="0-1 Miles"/>
    <s v="North America"/>
    <s v="mature adult "/>
    <n v="40"/>
    <x v="0"/>
  </r>
  <r>
    <n v="17864"/>
    <s v="Married"/>
    <s v="Female"/>
    <n v="60000"/>
    <n v="1"/>
    <x v="1"/>
    <s v="Skilled Manual"/>
    <s v="Yes"/>
    <n v="1"/>
    <s v="2-5 Miles"/>
    <s v="North America"/>
    <s v="mature adult "/>
    <n v="46"/>
    <x v="1"/>
  </r>
  <r>
    <n v="20505"/>
    <s v="Married"/>
    <s v="Female"/>
    <n v="40000"/>
    <n v="5"/>
    <x v="2"/>
    <s v="Professional"/>
    <s v="No"/>
    <n v="2"/>
    <s v="more than 10 Miles"/>
    <s v="North America"/>
    <s v="middle age"/>
    <n v="61"/>
    <x v="0"/>
  </r>
  <r>
    <n v="14592"/>
    <s v="Married"/>
    <s v="Female"/>
    <n v="60000"/>
    <n v="0"/>
    <x v="4"/>
    <s v="Professional"/>
    <s v="Yes"/>
    <n v="0"/>
    <s v="0-1 Miles"/>
    <s v="North America"/>
    <s v="mature adult "/>
    <n v="40"/>
    <x v="0"/>
  </r>
  <r>
    <n v="22227"/>
    <s v="Married"/>
    <s v="Female"/>
    <n v="60000"/>
    <n v="2"/>
    <x v="2"/>
    <s v="Professional"/>
    <s v="Yes"/>
    <n v="2"/>
    <s v="5-10 Miles"/>
    <s v="North America"/>
    <s v="mature adult "/>
    <n v="50"/>
    <x v="0"/>
  </r>
  <r>
    <n v="21471"/>
    <s v="Married"/>
    <s v="Male"/>
    <n v="70000"/>
    <n v="2"/>
    <x v="1"/>
    <s v="Professional"/>
    <s v="Yes"/>
    <n v="1"/>
    <s v="more than 10 Miles"/>
    <s v="North America"/>
    <s v="middle age"/>
    <n v="59"/>
    <x v="0"/>
  </r>
  <r>
    <n v="22252"/>
    <s v="Single"/>
    <s v="Female"/>
    <n v="60000"/>
    <n v="1"/>
    <x v="4"/>
    <s v="Professional"/>
    <s v="Yes"/>
    <n v="0"/>
    <s v="2-5 Miles"/>
    <s v="North America"/>
    <s v="adults"/>
    <n v="36"/>
    <x v="1"/>
  </r>
  <r>
    <n v="21260"/>
    <s v="Single"/>
    <s v="Female"/>
    <n v="40000"/>
    <n v="0"/>
    <x v="2"/>
    <s v="Skilled Manual"/>
    <s v="Yes"/>
    <n v="2"/>
    <s v="5-10 Miles"/>
    <s v="North America"/>
    <s v="adults"/>
    <n v="30"/>
    <x v="0"/>
  </r>
  <r>
    <n v="11817"/>
    <s v="Single"/>
    <s v="Female"/>
    <n v="70000"/>
    <n v="4"/>
    <x v="4"/>
    <s v="Professional"/>
    <s v="Yes"/>
    <n v="0"/>
    <s v="2-5 Miles"/>
    <s v="North America"/>
    <s v="adults"/>
    <n v="35"/>
    <x v="1"/>
  </r>
  <r>
    <n v="19223"/>
    <s v="Married"/>
    <s v="Female"/>
    <n v="30000"/>
    <n v="2"/>
    <x v="2"/>
    <s v="Skilled Manual"/>
    <s v="Yes"/>
    <n v="2"/>
    <s v="1-2 Miles"/>
    <s v="North America"/>
    <s v="mature adult "/>
    <n v="48"/>
    <x v="0"/>
  </r>
  <r>
    <n v="18517"/>
    <s v="Married"/>
    <s v="Male"/>
    <n v="100000"/>
    <n v="3"/>
    <x v="0"/>
    <s v="Management"/>
    <s v="Yes"/>
    <n v="4"/>
    <s v="0-1 Miles"/>
    <s v="North America"/>
    <s v="mature adult "/>
    <n v="41"/>
    <x v="0"/>
  </r>
  <r>
    <n v="21717"/>
    <s v="Married"/>
    <s v="Male"/>
    <n v="40000"/>
    <n v="2"/>
    <x v="1"/>
    <s v="Clerical"/>
    <s v="Yes"/>
    <n v="1"/>
    <s v="0-1 Miles"/>
    <s v="North America"/>
    <s v="mature adult "/>
    <n v="47"/>
    <x v="0"/>
  </r>
  <r>
    <n v="13760"/>
    <s v="Married"/>
    <s v="Male"/>
    <n v="60000"/>
    <n v="4"/>
    <x v="4"/>
    <s v="Skilled Manual"/>
    <s v="No"/>
    <n v="0"/>
    <s v="0-1 Miles"/>
    <s v="North America"/>
    <s v="mature adult "/>
    <n v="47"/>
    <x v="0"/>
  </r>
  <r>
    <n v="18145"/>
    <s v="Married"/>
    <s v="Male"/>
    <n v="80000"/>
    <n v="5"/>
    <x v="0"/>
    <s v="Management"/>
    <s v="No"/>
    <n v="2"/>
    <s v="2-5 Miles"/>
    <s v="Europe"/>
    <s v="middle age"/>
    <n v="62"/>
    <x v="0"/>
  </r>
  <r>
    <n v="21770"/>
    <s v="Married"/>
    <s v="Male"/>
    <n v="60000"/>
    <n v="4"/>
    <x v="0"/>
    <s v="Management"/>
    <s v="Yes"/>
    <n v="2"/>
    <s v="more than 10 Miles"/>
    <s v="North America"/>
    <s v="middle age"/>
    <n v="60"/>
    <x v="0"/>
  </r>
  <r>
    <n v="11165"/>
    <s v="Married"/>
    <s v="Female"/>
    <n v="60000"/>
    <n v="0"/>
    <x v="1"/>
    <s v="Skilled Manual"/>
    <s v="No"/>
    <n v="1"/>
    <s v="1-2 Miles"/>
    <s v="North America"/>
    <s v="adults"/>
    <n v="33"/>
    <x v="0"/>
  </r>
  <r>
    <n v="16377"/>
    <s v="Single"/>
    <s v="Female"/>
    <n v="80000"/>
    <n v="4"/>
    <x v="4"/>
    <s v="Skilled Manual"/>
    <s v="No"/>
    <n v="0"/>
    <s v="0-1 Miles"/>
    <s v="North America"/>
    <s v="mature adult "/>
    <n v="47"/>
    <x v="0"/>
  </r>
  <r>
    <n v="26248"/>
    <s v="Married"/>
    <s v="Male"/>
    <n v="20000"/>
    <n v="3"/>
    <x v="3"/>
    <s v="Clerical"/>
    <s v="No"/>
    <n v="2"/>
    <s v="0-1 Miles"/>
    <s v="North America"/>
    <s v="mature adult "/>
    <n v="52"/>
    <x v="0"/>
  </r>
  <r>
    <n v="23461"/>
    <s v="Married"/>
    <s v="Female"/>
    <n v="90000"/>
    <n v="5"/>
    <x v="1"/>
    <s v="Professional"/>
    <s v="Yes"/>
    <n v="3"/>
    <s v="2-5 Miles"/>
    <s v="North America"/>
    <s v="mature adult "/>
    <n v="40"/>
    <x v="0"/>
  </r>
  <r>
    <n v="29133"/>
    <s v="Single"/>
    <s v="Female"/>
    <n v="60000"/>
    <n v="4"/>
    <x v="0"/>
    <s v="Skilled Manual"/>
    <s v="No"/>
    <n v="2"/>
    <s v="0-1 Miles"/>
    <s v="North America"/>
    <s v="mature adult "/>
    <n v="42"/>
    <x v="0"/>
  </r>
  <r>
    <n v="27673"/>
    <s v="Single"/>
    <s v="Female"/>
    <n v="60000"/>
    <n v="3"/>
    <x v="4"/>
    <s v="Management"/>
    <s v="Yes"/>
    <n v="2"/>
    <s v="5-10 Miles"/>
    <s v="North America"/>
    <s v="mature adult "/>
    <n v="53"/>
    <x v="1"/>
  </r>
  <r>
    <n v="12774"/>
    <s v="Married"/>
    <s v="Female"/>
    <n v="40000"/>
    <n v="1"/>
    <x v="1"/>
    <s v="Clerical"/>
    <s v="Yes"/>
    <n v="1"/>
    <s v="1-2 Miles"/>
    <s v="North America"/>
    <s v="mature adult "/>
    <n v="51"/>
    <x v="1"/>
  </r>
  <r>
    <n v="18910"/>
    <s v="Single"/>
    <s v="Male"/>
    <n v="30000"/>
    <n v="0"/>
    <x v="1"/>
    <s v="Skilled Manual"/>
    <s v="Yes"/>
    <n v="2"/>
    <s v="5-10 Miles"/>
    <s v="North America"/>
    <s v="adults"/>
    <n v="30"/>
    <x v="0"/>
  </r>
  <r>
    <n v="11699"/>
    <s v="Single"/>
    <s v="Male"/>
    <n v="60000"/>
    <n v="0"/>
    <x v="0"/>
    <s v="Skilled Manual"/>
    <s v="No"/>
    <n v="2"/>
    <s v="0-1 Miles"/>
    <s v="North America"/>
    <s v="adults"/>
    <n v="30"/>
    <x v="0"/>
  </r>
  <r>
    <n v="16725"/>
    <s v="Married"/>
    <s v="Male"/>
    <n v="30000"/>
    <n v="0"/>
    <x v="2"/>
    <s v="Skilled Manual"/>
    <s v="Yes"/>
    <n v="2"/>
    <s v="5-10 Miles"/>
    <s v="North America"/>
    <s v="young adults"/>
    <n v="26"/>
    <x v="0"/>
  </r>
  <r>
    <n v="28269"/>
    <s v="Single"/>
    <s v="Female"/>
    <n v="130000"/>
    <n v="1"/>
    <x v="0"/>
    <s v="Management"/>
    <s v="No"/>
    <n v="1"/>
    <s v="2-5 Miles"/>
    <s v="North America"/>
    <s v="mature adult "/>
    <n v="45"/>
    <x v="0"/>
  </r>
  <r>
    <n v="23144"/>
    <s v="Married"/>
    <s v="Male"/>
    <n v="50000"/>
    <n v="1"/>
    <x v="0"/>
    <s v="Skilled Manual"/>
    <s v="Yes"/>
    <n v="0"/>
    <s v="0-1 Miles"/>
    <s v="North America"/>
    <s v="adults"/>
    <n v="34"/>
    <x v="1"/>
  </r>
  <r>
    <n v="23376"/>
    <s v="Married"/>
    <s v="Male"/>
    <n v="70000"/>
    <n v="1"/>
    <x v="0"/>
    <s v="Professional"/>
    <s v="Yes"/>
    <n v="1"/>
    <s v="2-5 Miles"/>
    <s v="North America"/>
    <s v="mature adult "/>
    <n v="44"/>
    <x v="1"/>
  </r>
  <r>
    <n v="25970"/>
    <s v="Single"/>
    <s v="Female"/>
    <n v="60000"/>
    <n v="4"/>
    <x v="0"/>
    <s v="Skilled Manual"/>
    <s v="No"/>
    <n v="2"/>
    <s v="0-1 Miles"/>
    <s v="North America"/>
    <s v="mature adult "/>
    <n v="41"/>
    <x v="1"/>
  </r>
  <r>
    <n v="28068"/>
    <s v="Single"/>
    <s v="Female"/>
    <n v="80000"/>
    <n v="3"/>
    <x v="4"/>
    <s v="Professional"/>
    <s v="No"/>
    <n v="0"/>
    <s v="0-1 Miles"/>
    <s v="North America"/>
    <s v="adults"/>
    <n v="36"/>
    <x v="1"/>
  </r>
  <r>
    <n v="18390"/>
    <s v="Married"/>
    <s v="Male"/>
    <n v="80000"/>
    <n v="5"/>
    <x v="1"/>
    <s v="Professional"/>
    <s v="Yes"/>
    <n v="2"/>
    <s v="0-1 Miles"/>
    <s v="North America"/>
    <s v="mature adult "/>
    <n v="44"/>
    <x v="0"/>
  </r>
  <r>
    <n v="29112"/>
    <s v="Single"/>
    <s v="Male"/>
    <n v="60000"/>
    <n v="0"/>
    <x v="1"/>
    <s v="Professional"/>
    <s v="No"/>
    <n v="2"/>
    <s v="1-2 Miles"/>
    <s v="North America"/>
    <s v="adults"/>
    <n v="30"/>
    <x v="0"/>
  </r>
  <r>
    <n v="14090"/>
    <s v="Married"/>
    <s v="Female"/>
    <n v="30000"/>
    <n v="0"/>
    <x v="3"/>
    <s v="Clerical"/>
    <s v="No"/>
    <n v="2"/>
    <s v="0-1 Miles"/>
    <s v="North America"/>
    <s v="young adults"/>
    <n v="28"/>
    <x v="0"/>
  </r>
  <r>
    <n v="27040"/>
    <s v="Married"/>
    <s v="Male"/>
    <n v="20000"/>
    <n v="2"/>
    <x v="3"/>
    <s v="Clerical"/>
    <s v="Yes"/>
    <n v="2"/>
    <s v="1-2 Miles"/>
    <s v="North America"/>
    <s v="mature adult "/>
    <n v="49"/>
    <x v="0"/>
  </r>
  <r>
    <n v="23479"/>
    <s v="Single"/>
    <s v="Male"/>
    <n v="90000"/>
    <n v="0"/>
    <x v="1"/>
    <s v="Professional"/>
    <s v="No"/>
    <n v="2"/>
    <s v="0-1 Miles"/>
    <s v="North America"/>
    <s v="mature adult "/>
    <n v="43"/>
    <x v="1"/>
  </r>
  <r>
    <n v="16795"/>
    <s v="Married"/>
    <s v="Female"/>
    <n v="70000"/>
    <n v="4"/>
    <x v="0"/>
    <s v="Management"/>
    <s v="Yes"/>
    <n v="1"/>
    <s v="1-2 Miles"/>
    <s v="North America"/>
    <s v="middle age"/>
    <n v="59"/>
    <x v="0"/>
  </r>
  <r>
    <n v="22014"/>
    <s v="Single"/>
    <s v="Male"/>
    <n v="30000"/>
    <n v="0"/>
    <x v="2"/>
    <s v="Skilled Manual"/>
    <s v="Yes"/>
    <n v="2"/>
    <s v="5-10 Miles"/>
    <s v="North America"/>
    <s v="young adults"/>
    <n v="26"/>
    <x v="0"/>
  </r>
  <r>
    <n v="13314"/>
    <s v="Married"/>
    <s v="Male"/>
    <n v="120000"/>
    <n v="1"/>
    <x v="2"/>
    <s v="Professional"/>
    <s v="Yes"/>
    <n v="4"/>
    <s v="5-10 Miles"/>
    <s v="North America"/>
    <s v="mature adult "/>
    <n v="46"/>
    <x v="1"/>
  </r>
  <r>
    <n v="11619"/>
    <s v="Single"/>
    <s v="Female"/>
    <n v="50000"/>
    <n v="0"/>
    <x v="4"/>
    <s v="Skilled Manual"/>
    <s v="Yes"/>
    <n v="0"/>
    <s v="1-2 Miles"/>
    <s v="North America"/>
    <s v="adults"/>
    <n v="33"/>
    <x v="0"/>
  </r>
  <r>
    <n v="29132"/>
    <s v="Single"/>
    <s v="Female"/>
    <n v="40000"/>
    <n v="0"/>
    <x v="0"/>
    <s v="Professional"/>
    <s v="Yes"/>
    <n v="1"/>
    <s v="2-5 Miles"/>
    <s v="North America"/>
    <s v="mature adult "/>
    <n v="42"/>
    <x v="1"/>
  </r>
  <r>
    <n v="11199"/>
    <s v="Married"/>
    <s v="Female"/>
    <n v="70000"/>
    <n v="4"/>
    <x v="0"/>
    <s v="Management"/>
    <s v="Yes"/>
    <n v="1"/>
    <s v="more than 10 Miles"/>
    <s v="North America"/>
    <s v="middle age"/>
    <n v="59"/>
    <x v="0"/>
  </r>
  <r>
    <n v="20296"/>
    <s v="Single"/>
    <s v="Female"/>
    <n v="60000"/>
    <n v="0"/>
    <x v="1"/>
    <s v="Skilled Manual"/>
    <s v="No"/>
    <n v="1"/>
    <s v="1-2 Miles"/>
    <s v="North America"/>
    <s v="adults"/>
    <n v="33"/>
    <x v="1"/>
  </r>
  <r>
    <n v="17546"/>
    <s v="Married"/>
    <s v="Female"/>
    <n v="70000"/>
    <n v="1"/>
    <x v="1"/>
    <s v="Skilled Manual"/>
    <s v="Yes"/>
    <n v="1"/>
    <s v="0-1 Miles"/>
    <s v="North America"/>
    <s v="mature adult "/>
    <n v="44"/>
    <x v="1"/>
  </r>
  <r>
    <n v="18069"/>
    <s v="Married"/>
    <s v="Male"/>
    <n v="70000"/>
    <n v="5"/>
    <x v="0"/>
    <s v="Management"/>
    <s v="Yes"/>
    <n v="4"/>
    <s v="more than 10 Miles"/>
    <s v="North America"/>
    <s v="middle age"/>
    <n v="60"/>
    <x v="0"/>
  </r>
  <r>
    <n v="23712"/>
    <s v="Single"/>
    <s v="Female"/>
    <n v="70000"/>
    <n v="2"/>
    <x v="0"/>
    <s v="Management"/>
    <s v="Yes"/>
    <n v="1"/>
    <s v="more than 10 Miles"/>
    <s v="North America"/>
    <s v="middle age"/>
    <n v="59"/>
    <x v="0"/>
  </r>
  <r>
    <n v="23358"/>
    <s v="Married"/>
    <s v="Male"/>
    <n v="60000"/>
    <n v="0"/>
    <x v="2"/>
    <s v="Professional"/>
    <s v="Yes"/>
    <n v="2"/>
    <s v="5-10 Miles"/>
    <s v="North America"/>
    <s v="adults"/>
    <n v="32"/>
    <x v="1"/>
  </r>
  <r>
    <n v="20518"/>
    <s v="Married"/>
    <s v="Female"/>
    <n v="70000"/>
    <n v="2"/>
    <x v="1"/>
    <s v="Professional"/>
    <s v="Yes"/>
    <n v="1"/>
    <s v="more than 10 Miles"/>
    <s v="North America"/>
    <s v="middle age"/>
    <n v="58"/>
    <x v="0"/>
  </r>
  <r>
    <n v="28026"/>
    <s v="Married"/>
    <s v="Female"/>
    <n v="40000"/>
    <n v="2"/>
    <x v="2"/>
    <s v="Professional"/>
    <s v="No"/>
    <n v="2"/>
    <s v="2-5 Miles"/>
    <s v="North America"/>
    <s v="middle age"/>
    <n v="59"/>
    <x v="0"/>
  </r>
  <r>
    <n v="11669"/>
    <s v="Single"/>
    <s v="Female"/>
    <n v="70000"/>
    <n v="2"/>
    <x v="0"/>
    <s v="Skilled Manual"/>
    <s v="Yes"/>
    <n v="1"/>
    <s v="2-5 Miles"/>
    <s v="North America"/>
    <s v="adults"/>
    <n v="38"/>
    <x v="0"/>
  </r>
  <r>
    <n v="16020"/>
    <s v="Married"/>
    <s v="Male"/>
    <n v="40000"/>
    <n v="0"/>
    <x v="2"/>
    <s v="Skilled Manual"/>
    <s v="Yes"/>
    <n v="2"/>
    <s v="5-10 Miles"/>
    <s v="North America"/>
    <s v="young adults"/>
    <n v="28"/>
    <x v="1"/>
  </r>
  <r>
    <n v="27090"/>
    <s v="Married"/>
    <s v="Female"/>
    <n v="60000"/>
    <n v="1"/>
    <x v="4"/>
    <s v="Professional"/>
    <s v="Yes"/>
    <n v="0"/>
    <s v="2-5 Miles"/>
    <s v="North America"/>
    <s v="adults"/>
    <n v="37"/>
    <x v="1"/>
  </r>
  <r>
    <n v="27198"/>
    <s v="Single"/>
    <s v="Female"/>
    <n v="80000"/>
    <n v="0"/>
    <x v="4"/>
    <s v="Skilled Manual"/>
    <s v="No"/>
    <n v="0"/>
    <s v="0-1 Miles"/>
    <s v="North America"/>
    <s v="mature adult "/>
    <n v="40"/>
    <x v="0"/>
  </r>
  <r>
    <n v="19661"/>
    <s v="Single"/>
    <s v="Male"/>
    <n v="90000"/>
    <n v="4"/>
    <x v="0"/>
    <s v="Management"/>
    <s v="Yes"/>
    <n v="1"/>
    <s v="1-2 Miles"/>
    <s v="North America"/>
    <s v="adults"/>
    <n v="38"/>
    <x v="1"/>
  </r>
  <r>
    <n v="26327"/>
    <s v="Married"/>
    <s v="Male"/>
    <n v="70000"/>
    <n v="4"/>
    <x v="4"/>
    <s v="Professional"/>
    <s v="Yes"/>
    <n v="0"/>
    <s v="2-5 Miles"/>
    <s v="North America"/>
    <s v="adults"/>
    <n v="36"/>
    <x v="1"/>
  </r>
  <r>
    <n v="26341"/>
    <s v="Married"/>
    <s v="Female"/>
    <n v="70000"/>
    <n v="5"/>
    <x v="4"/>
    <s v="Professional"/>
    <s v="Yes"/>
    <n v="2"/>
    <s v="0-1 Miles"/>
    <s v="North America"/>
    <s v="adults"/>
    <n v="37"/>
    <x v="0"/>
  </r>
  <r>
    <n v="24958"/>
    <s v="Single"/>
    <s v="Female"/>
    <n v="40000"/>
    <n v="5"/>
    <x v="2"/>
    <s v="Professional"/>
    <s v="No"/>
    <n v="3"/>
    <s v="2-5 Miles"/>
    <s v="North America"/>
    <s v="middle age"/>
    <n v="60"/>
    <x v="1"/>
  </r>
  <r>
    <n v="13287"/>
    <s v="Single"/>
    <s v="Male"/>
    <n v="110000"/>
    <n v="4"/>
    <x v="0"/>
    <s v="Management"/>
    <s v="Yes"/>
    <n v="4"/>
    <s v="5-10 Miles"/>
    <s v="North America"/>
    <s v="mature adult "/>
    <n v="42"/>
    <x v="1"/>
  </r>
  <r>
    <n v="14493"/>
    <s v="Single"/>
    <s v="Female"/>
    <n v="70000"/>
    <n v="3"/>
    <x v="4"/>
    <s v="Management"/>
    <s v="No"/>
    <n v="2"/>
    <s v="1-2 Miles"/>
    <s v="North America"/>
    <s v="mature adult "/>
    <n v="53"/>
    <x v="0"/>
  </r>
  <r>
    <n v="26678"/>
    <s v="Single"/>
    <s v="Female"/>
    <n v="80000"/>
    <n v="2"/>
    <x v="3"/>
    <s v="Skilled Manual"/>
    <s v="Yes"/>
    <n v="2"/>
    <s v="5-10 Miles"/>
    <s v="North America"/>
    <s v="mature adult "/>
    <n v="49"/>
    <x v="0"/>
  </r>
  <r>
    <n v="23275"/>
    <s v="Married"/>
    <s v="Male"/>
    <n v="30000"/>
    <n v="2"/>
    <x v="2"/>
    <s v="Skilled Manual"/>
    <s v="Yes"/>
    <n v="2"/>
    <s v="1-2 Miles"/>
    <s v="North America"/>
    <s v="mature adult "/>
    <n v="49"/>
    <x v="0"/>
  </r>
  <r>
    <n v="11270"/>
    <s v="Married"/>
    <s v="Male"/>
    <n v="130000"/>
    <n v="2"/>
    <x v="4"/>
    <s v="Management"/>
    <s v="Yes"/>
    <n v="3"/>
    <s v="0-1 Miles"/>
    <s v="North America"/>
    <s v="mature adult "/>
    <n v="42"/>
    <x v="1"/>
  </r>
  <r>
    <n v="20084"/>
    <s v="Married"/>
    <s v="Male"/>
    <n v="20000"/>
    <n v="2"/>
    <x v="2"/>
    <s v="Manual"/>
    <s v="No"/>
    <n v="2"/>
    <s v="0-1 Miles"/>
    <s v="North America"/>
    <s v="mature adult "/>
    <n v="53"/>
    <x v="0"/>
  </r>
  <r>
    <n v="16144"/>
    <s v="Married"/>
    <s v="Male"/>
    <n v="70000"/>
    <n v="1"/>
    <x v="4"/>
    <s v="Professional"/>
    <s v="Yes"/>
    <n v="1"/>
    <s v="0-1 Miles"/>
    <s v="North America"/>
    <s v="mature adult "/>
    <n v="46"/>
    <x v="1"/>
  </r>
  <r>
    <n v="27731"/>
    <s v="Married"/>
    <s v="Male"/>
    <n v="40000"/>
    <n v="0"/>
    <x v="2"/>
    <s v="Skilled Manual"/>
    <s v="Yes"/>
    <n v="2"/>
    <s v="5-10 Miles"/>
    <s v="North America"/>
    <s v="young adults"/>
    <n v="27"/>
    <x v="0"/>
  </r>
  <r>
    <n v="11886"/>
    <s v="Married"/>
    <s v="Female"/>
    <n v="60000"/>
    <n v="3"/>
    <x v="0"/>
    <s v="Professional"/>
    <s v="Yes"/>
    <n v="1"/>
    <s v="0-1 Miles"/>
    <s v="North America"/>
    <s v="mature adult "/>
    <n v="48"/>
    <x v="1"/>
  </r>
  <r>
    <n v="24324"/>
    <s v="Single"/>
    <s v="Female"/>
    <n v="60000"/>
    <n v="4"/>
    <x v="0"/>
    <s v="Skilled Manual"/>
    <s v="Yes"/>
    <n v="2"/>
    <s v="2-5 Miles"/>
    <s v="North America"/>
    <s v="mature adult "/>
    <n v="41"/>
    <x v="1"/>
  </r>
  <r>
    <n v="22220"/>
    <s v="Married"/>
    <s v="Male"/>
    <n v="60000"/>
    <n v="2"/>
    <x v="2"/>
    <s v="Professional"/>
    <s v="No"/>
    <n v="2"/>
    <s v="1-2 Miles"/>
    <s v="North America"/>
    <s v="mature adult "/>
    <n v="49"/>
    <x v="1"/>
  </r>
  <r>
    <n v="26625"/>
    <s v="Single"/>
    <s v="Female"/>
    <n v="60000"/>
    <n v="0"/>
    <x v="4"/>
    <s v="Professional"/>
    <s v="Yes"/>
    <n v="1"/>
    <s v="2-5 Miles"/>
    <s v="North America"/>
    <s v="adults"/>
    <n v="38"/>
    <x v="1"/>
  </r>
  <r>
    <n v="23027"/>
    <s v="Single"/>
    <s v="Male"/>
    <n v="130000"/>
    <n v="1"/>
    <x v="0"/>
    <s v="Management"/>
    <s v="No"/>
    <n v="4"/>
    <s v="0-1 Miles"/>
    <s v="North America"/>
    <s v="mature adult "/>
    <n v="44"/>
    <x v="0"/>
  </r>
  <r>
    <n v="16867"/>
    <s v="Single"/>
    <s v="Female"/>
    <n v="130000"/>
    <n v="1"/>
    <x v="0"/>
    <s v="Management"/>
    <s v="No"/>
    <n v="3"/>
    <s v="0-1 Miles"/>
    <s v="North America"/>
    <s v="mature adult "/>
    <n v="45"/>
    <x v="1"/>
  </r>
  <r>
    <n v="14514"/>
    <s v="Single"/>
    <s v="Female"/>
    <n v="30000"/>
    <n v="0"/>
    <x v="1"/>
    <s v="Skilled Manual"/>
    <s v="Yes"/>
    <n v="1"/>
    <s v="5-10 Miles"/>
    <s v="North America"/>
    <s v="young adults"/>
    <n v="26"/>
    <x v="0"/>
  </r>
  <r>
    <n v="19634"/>
    <s v="Married"/>
    <s v="Male"/>
    <n v="40000"/>
    <n v="0"/>
    <x v="2"/>
    <s v="Skilled Manual"/>
    <s v="Yes"/>
    <n v="1"/>
    <s v="5-10 Miles"/>
    <s v="North America"/>
    <s v="adults"/>
    <n v="31"/>
    <x v="0"/>
  </r>
  <r>
    <n v="18504"/>
    <s v="Married"/>
    <s v="Male"/>
    <n v="70000"/>
    <n v="2"/>
    <x v="3"/>
    <s v="Skilled Manual"/>
    <s v="No"/>
    <n v="2"/>
    <s v="1-2 Miles"/>
    <s v="North America"/>
    <s v="mature adult "/>
    <n v="49"/>
    <x v="0"/>
  </r>
  <r>
    <n v="28799"/>
    <s v="Single"/>
    <s v="Female"/>
    <n v="40000"/>
    <n v="2"/>
    <x v="1"/>
    <s v="Clerical"/>
    <s v="No"/>
    <n v="1"/>
    <s v="1-2 Miles"/>
    <s v="North America"/>
    <s v="mature adult "/>
    <n v="47"/>
    <x v="1"/>
  </r>
  <r>
    <n v="11225"/>
    <s v="Married"/>
    <s v="Female"/>
    <n v="60000"/>
    <n v="2"/>
    <x v="1"/>
    <s v="Professional"/>
    <s v="Yes"/>
    <n v="1"/>
    <s v="more than 10 Miles"/>
    <s v="North America"/>
    <s v="middle age"/>
    <n v="55"/>
    <x v="0"/>
  </r>
  <r>
    <n v="17657"/>
    <s v="Married"/>
    <s v="Male"/>
    <n v="40000"/>
    <n v="4"/>
    <x v="1"/>
    <s v="Clerical"/>
    <s v="No"/>
    <n v="0"/>
    <s v="0-1 Miles"/>
    <s v="North America"/>
    <s v="adults"/>
    <n v="30"/>
    <x v="0"/>
  </r>
  <r>
    <n v="14913"/>
    <s v="Married"/>
    <s v="Female"/>
    <n v="40000"/>
    <n v="1"/>
    <x v="1"/>
    <s v="Clerical"/>
    <s v="Yes"/>
    <n v="1"/>
    <s v="1-2 Miles"/>
    <s v="North America"/>
    <s v="mature adult "/>
    <n v="48"/>
    <x v="1"/>
  </r>
  <r>
    <n v="14077"/>
    <s v="Single"/>
    <s v="Male"/>
    <n v="30000"/>
    <n v="0"/>
    <x v="2"/>
    <s v="Skilled Manual"/>
    <s v="Yes"/>
    <n v="2"/>
    <s v="5-10 Miles"/>
    <s v="North America"/>
    <s v="adults"/>
    <n v="30"/>
    <x v="0"/>
  </r>
  <r>
    <n v="13296"/>
    <s v="Married"/>
    <s v="Male"/>
    <n v="110000"/>
    <n v="1"/>
    <x v="0"/>
    <s v="Management"/>
    <s v="Yes"/>
    <n v="3"/>
    <s v="5-10 Miles"/>
    <s v="North America"/>
    <s v="mature adult "/>
    <n v="45"/>
    <x v="0"/>
  </r>
  <r>
    <n v="20535"/>
    <s v="Married"/>
    <s v="Female"/>
    <n v="70000"/>
    <n v="4"/>
    <x v="1"/>
    <s v="Professional"/>
    <s v="Yes"/>
    <n v="1"/>
    <s v="more than 10 Miles"/>
    <s v="North America"/>
    <s v="middle age"/>
    <n v="56"/>
    <x v="0"/>
  </r>
  <r>
    <n v="12452"/>
    <s v="Married"/>
    <s v="Male"/>
    <n v="60000"/>
    <n v="4"/>
    <x v="4"/>
    <s v="Skilled Manual"/>
    <s v="Yes"/>
    <n v="0"/>
    <s v="1-2 Miles"/>
    <s v="North America"/>
    <s v="mature adult "/>
    <n v="47"/>
    <x v="1"/>
  </r>
  <r>
    <n v="28043"/>
    <s v="Married"/>
    <s v="Female"/>
    <n v="60000"/>
    <n v="2"/>
    <x v="0"/>
    <s v="Management"/>
    <s v="Yes"/>
    <n v="0"/>
    <s v="more than 10 Miles"/>
    <s v="North America"/>
    <s v="middle age"/>
    <n v="56"/>
    <x v="0"/>
  </r>
  <r>
    <n v="12957"/>
    <s v="Single"/>
    <s v="Female"/>
    <n v="70000"/>
    <n v="1"/>
    <x v="0"/>
    <s v="Professional"/>
    <s v="No"/>
    <n v="1"/>
    <s v="0-1 Miles"/>
    <s v="North America"/>
    <s v="mature adult "/>
    <n v="44"/>
    <x v="0"/>
  </r>
  <r>
    <n v="15412"/>
    <s v="Married"/>
    <s v="Male"/>
    <n v="130000"/>
    <n v="2"/>
    <x v="4"/>
    <s v="Management"/>
    <s v="Yes"/>
    <n v="3"/>
    <s v="2-5 Miles"/>
    <s v="North America"/>
    <s v="middle age"/>
    <n v="69"/>
    <x v="0"/>
  </r>
  <r>
    <n v="20514"/>
    <s v="Married"/>
    <s v="Female"/>
    <n v="70000"/>
    <n v="2"/>
    <x v="1"/>
    <s v="Professional"/>
    <s v="Yes"/>
    <n v="1"/>
    <s v="2-5 Miles"/>
    <s v="North America"/>
    <s v="middle age"/>
    <n v="59"/>
    <x v="0"/>
  </r>
  <r>
    <n v="20758"/>
    <s v="Married"/>
    <s v="Male"/>
    <n v="30000"/>
    <n v="2"/>
    <x v="2"/>
    <s v="Skilled Manual"/>
    <s v="Yes"/>
    <n v="2"/>
    <s v="1-2 Miles"/>
    <s v="North America"/>
    <s v="mature adult "/>
    <n v="50"/>
    <x v="0"/>
  </r>
  <r>
    <n v="11801"/>
    <s v="Married"/>
    <s v="Male"/>
    <n v="60000"/>
    <n v="1"/>
    <x v="4"/>
    <s v="Professional"/>
    <s v="Yes"/>
    <n v="0"/>
    <s v="2-5 Miles"/>
    <s v="North America"/>
    <s v="adults"/>
    <n v="36"/>
    <x v="0"/>
  </r>
  <r>
    <n v="22211"/>
    <s v="Married"/>
    <s v="Male"/>
    <n v="60000"/>
    <n v="0"/>
    <x v="1"/>
    <s v="Professional"/>
    <s v="Yes"/>
    <n v="2"/>
    <s v="5-10 Miles"/>
    <s v="North America"/>
    <s v="adults"/>
    <n v="32"/>
    <x v="0"/>
  </r>
  <r>
    <n v="28087"/>
    <s v="Single"/>
    <s v="Female"/>
    <n v="40000"/>
    <n v="0"/>
    <x v="1"/>
    <s v="Skilled Manual"/>
    <s v="No"/>
    <n v="1"/>
    <s v="1-2 Miles"/>
    <s v="North America"/>
    <s v="young adults"/>
    <n v="27"/>
    <x v="0"/>
  </r>
  <r>
    <n v="23668"/>
    <s v="Married"/>
    <s v="Female"/>
    <n v="40000"/>
    <n v="4"/>
    <x v="2"/>
    <s v="Professional"/>
    <s v="Yes"/>
    <n v="2"/>
    <s v="5-10 Miles"/>
    <s v="North America"/>
    <s v="middle age"/>
    <n v="59"/>
    <x v="1"/>
  </r>
  <r>
    <n v="27441"/>
    <s v="Married"/>
    <s v="Male"/>
    <n v="60000"/>
    <n v="3"/>
    <x v="2"/>
    <s v="Professional"/>
    <s v="No"/>
    <n v="2"/>
    <s v="2-5 Miles"/>
    <s v="North America"/>
    <s v="mature adult "/>
    <n v="53"/>
    <x v="0"/>
  </r>
  <r>
    <n v="27261"/>
    <s v="Married"/>
    <s v="Male"/>
    <n v="40000"/>
    <n v="1"/>
    <x v="0"/>
    <s v="Skilled Manual"/>
    <s v="No"/>
    <n v="1"/>
    <s v="0-1 Miles"/>
    <s v="North America"/>
    <s v="adults"/>
    <n v="36"/>
    <x v="1"/>
  </r>
  <r>
    <n v="18649"/>
    <s v="Single"/>
    <s v="Male"/>
    <n v="30000"/>
    <n v="1"/>
    <x v="2"/>
    <s v="Clerical"/>
    <s v="Yes"/>
    <n v="2"/>
    <s v="1-2 Miles"/>
    <s v="North America"/>
    <s v="mature adult "/>
    <n v="51"/>
    <x v="1"/>
  </r>
  <r>
    <n v="21714"/>
    <s v="Single"/>
    <s v="Female"/>
    <n v="80000"/>
    <n v="5"/>
    <x v="4"/>
    <s v="Skilled Manual"/>
    <s v="No"/>
    <n v="0"/>
    <s v="0-1 Miles"/>
    <s v="North America"/>
    <s v="mature adult "/>
    <n v="47"/>
    <x v="0"/>
  </r>
  <r>
    <n v="23217"/>
    <s v="Single"/>
    <s v="Female"/>
    <n v="60000"/>
    <n v="3"/>
    <x v="4"/>
    <s v="Professional"/>
    <s v="Yes"/>
    <n v="0"/>
    <s v="2-5 Miles"/>
    <s v="North America"/>
    <s v="mature adult "/>
    <n v="43"/>
    <x v="1"/>
  </r>
  <r>
    <n v="23797"/>
    <s v="Single"/>
    <s v="Male"/>
    <n v="20000"/>
    <n v="3"/>
    <x v="3"/>
    <s v="Clerical"/>
    <s v="No"/>
    <n v="2"/>
    <s v="0-1 Miles"/>
    <s v="North America"/>
    <s v="mature adult "/>
    <n v="50"/>
    <x v="0"/>
  </r>
  <r>
    <n v="13216"/>
    <s v="Married"/>
    <s v="Female"/>
    <n v="60000"/>
    <n v="5"/>
    <x v="0"/>
    <s v="Management"/>
    <s v="Yes"/>
    <n v="3"/>
    <s v="more than 10 Miles"/>
    <s v="North America"/>
    <s v="middle age"/>
    <n v="59"/>
    <x v="0"/>
  </r>
  <r>
    <n v="20657"/>
    <s v="Single"/>
    <s v="Male"/>
    <n v="50000"/>
    <n v="2"/>
    <x v="0"/>
    <s v="Skilled Manual"/>
    <s v="Yes"/>
    <n v="0"/>
    <s v="2-5 Miles"/>
    <s v="North America"/>
    <s v="adults"/>
    <n v="37"/>
    <x v="1"/>
  </r>
  <r>
    <n v="12882"/>
    <s v="Married"/>
    <s v="Male"/>
    <n v="50000"/>
    <n v="1"/>
    <x v="4"/>
    <s v="Skilled Manual"/>
    <s v="Yes"/>
    <n v="0"/>
    <s v="0-1 Miles"/>
    <s v="North America"/>
    <s v="adults"/>
    <n v="33"/>
    <x v="1"/>
  </r>
  <r>
    <n v="25908"/>
    <s v="Married"/>
    <s v="Female"/>
    <n v="60000"/>
    <n v="0"/>
    <x v="1"/>
    <s v="Skilled Manual"/>
    <s v="No"/>
    <n v="1"/>
    <s v="1-2 Miles"/>
    <s v="North America"/>
    <s v="young adults"/>
    <n v="27"/>
    <x v="0"/>
  </r>
  <r>
    <n v="16753"/>
    <s v="Single"/>
    <s v="Female"/>
    <n v="70000"/>
    <n v="0"/>
    <x v="1"/>
    <s v="Skilled Manual"/>
    <s v="Yes"/>
    <n v="2"/>
    <s v="5-10 Miles"/>
    <s v="North America"/>
    <s v="adults"/>
    <n v="34"/>
    <x v="1"/>
  </r>
  <r>
    <n v="14608"/>
    <s v="Married"/>
    <s v="Male"/>
    <n v="50000"/>
    <n v="4"/>
    <x v="0"/>
    <s v="Skilled Manual"/>
    <s v="Yes"/>
    <n v="3"/>
    <s v="more than 10 Miles"/>
    <s v="North America"/>
    <s v="mature adult "/>
    <n v="42"/>
    <x v="0"/>
  </r>
  <r>
    <n v="24979"/>
    <s v="Married"/>
    <s v="Female"/>
    <n v="60000"/>
    <n v="2"/>
    <x v="1"/>
    <s v="Professional"/>
    <s v="Yes"/>
    <n v="2"/>
    <s v="2-5 Miles"/>
    <s v="North America"/>
    <s v="middle age"/>
    <n v="57"/>
    <x v="1"/>
  </r>
  <r>
    <n v="13313"/>
    <s v="Married"/>
    <s v="Female"/>
    <n v="120000"/>
    <n v="1"/>
    <x v="2"/>
    <s v="Professional"/>
    <s v="No"/>
    <n v="4"/>
    <s v="2-5 Miles"/>
    <s v="North America"/>
    <s v="mature adult "/>
    <n v="45"/>
    <x v="0"/>
  </r>
  <r>
    <n v="18952"/>
    <s v="Married"/>
    <s v="Female"/>
    <n v="100000"/>
    <n v="4"/>
    <x v="0"/>
    <s v="Management"/>
    <s v="Yes"/>
    <n v="4"/>
    <s v="0-1 Miles"/>
    <s v="North America"/>
    <s v="mature adult "/>
    <n v="40"/>
    <x v="0"/>
  </r>
  <r>
    <n v="17699"/>
    <s v="Married"/>
    <s v="Male"/>
    <n v="60000"/>
    <n v="1"/>
    <x v="4"/>
    <s v="Skilled Manual"/>
    <s v="No"/>
    <n v="0"/>
    <s v="0-1 Miles"/>
    <s v="North America"/>
    <s v="middle age"/>
    <n v="55"/>
    <x v="0"/>
  </r>
  <r>
    <n v="14657"/>
    <s v="Married"/>
    <s v="Male"/>
    <n v="80000"/>
    <n v="1"/>
    <x v="1"/>
    <s v="Skilled Manual"/>
    <s v="No"/>
    <n v="1"/>
    <s v="0-1 Miles"/>
    <s v="North America"/>
    <s v="mature adult "/>
    <n v="47"/>
    <x v="1"/>
  </r>
  <r>
    <n v="11540"/>
    <s v="Single"/>
    <s v="Male"/>
    <n v="60000"/>
    <n v="4"/>
    <x v="4"/>
    <s v="Skilled Manual"/>
    <s v="Yes"/>
    <n v="0"/>
    <s v="1-2 Miles"/>
    <s v="North America"/>
    <s v="mature adult "/>
    <n v="47"/>
    <x v="1"/>
  </r>
  <r>
    <n v="11783"/>
    <s v="Married"/>
    <s v="Female"/>
    <n v="60000"/>
    <n v="1"/>
    <x v="4"/>
    <s v="Skilled Manual"/>
    <s v="Yes"/>
    <n v="0"/>
    <s v="0-1 Miles"/>
    <s v="North America"/>
    <s v="adults"/>
    <n v="34"/>
    <x v="0"/>
  </r>
  <r>
    <n v="14602"/>
    <s v="Married"/>
    <s v="Female"/>
    <n v="80000"/>
    <n v="3"/>
    <x v="4"/>
    <s v="Professional"/>
    <s v="Yes"/>
    <n v="0"/>
    <s v="0-1 Miles"/>
    <s v="North America"/>
    <s v="adults"/>
    <n v="36"/>
    <x v="1"/>
  </r>
  <r>
    <n v="29030"/>
    <s v="Married"/>
    <s v="Male"/>
    <n v="70000"/>
    <n v="2"/>
    <x v="3"/>
    <s v="Skilled Manual"/>
    <s v="Yes"/>
    <n v="2"/>
    <s v="more than 10 Miles"/>
    <s v="North America"/>
    <s v="mature adult "/>
    <n v="54"/>
    <x v="0"/>
  </r>
  <r>
    <n v="26490"/>
    <s v="Single"/>
    <s v="Male"/>
    <n v="70000"/>
    <n v="2"/>
    <x v="0"/>
    <s v="Management"/>
    <s v="No"/>
    <n v="1"/>
    <s v="2-5 Miles"/>
    <s v="North America"/>
    <s v="middle age"/>
    <n v="59"/>
    <x v="1"/>
  </r>
  <r>
    <n v="13151"/>
    <s v="Single"/>
    <s v="Male"/>
    <n v="40000"/>
    <n v="0"/>
    <x v="2"/>
    <s v="Skilled Manual"/>
    <s v="Yes"/>
    <n v="2"/>
    <s v="5-10 Miles"/>
    <s v="North America"/>
    <s v="young adults"/>
    <n v="27"/>
    <x v="0"/>
  </r>
  <r>
    <n v="17260"/>
    <s v="Married"/>
    <s v="Male"/>
    <n v="90000"/>
    <n v="5"/>
    <x v="1"/>
    <s v="Professional"/>
    <s v="Yes"/>
    <n v="3"/>
    <s v="0-1 Miles"/>
    <s v="North America"/>
    <s v="mature adult "/>
    <n v="41"/>
    <x v="0"/>
  </r>
  <r>
    <n v="15372"/>
    <s v="Married"/>
    <s v="Male"/>
    <n v="80000"/>
    <n v="3"/>
    <x v="1"/>
    <s v="Professional"/>
    <s v="No"/>
    <n v="2"/>
    <s v="2-5 Miles"/>
    <s v="North America"/>
    <s v="mature adult "/>
    <n v="50"/>
    <x v="1"/>
  </r>
  <r>
    <n v="18105"/>
    <s v="Married"/>
    <s v="Female"/>
    <n v="60000"/>
    <n v="2"/>
    <x v="1"/>
    <s v="Professional"/>
    <s v="Yes"/>
    <n v="1"/>
    <s v="more than 10 Miles"/>
    <s v="North America"/>
    <s v="middle age"/>
    <n v="55"/>
    <x v="0"/>
  </r>
  <r>
    <n v="19660"/>
    <s v="Married"/>
    <s v="Male"/>
    <n v="80000"/>
    <n v="4"/>
    <x v="0"/>
    <s v="Management"/>
    <s v="Yes"/>
    <n v="0"/>
    <s v="0-1 Miles"/>
    <s v="North America"/>
    <s v="mature adult "/>
    <n v="43"/>
    <x v="0"/>
  </r>
  <r>
    <n v="16112"/>
    <s v="Single"/>
    <s v="Male"/>
    <n v="70000"/>
    <n v="4"/>
    <x v="0"/>
    <s v="Professional"/>
    <s v="Yes"/>
    <n v="2"/>
    <s v="2-5 Miles"/>
    <s v="North America"/>
    <s v="mature adult "/>
    <n v="43"/>
    <x v="1"/>
  </r>
  <r>
    <n v="20698"/>
    <s v="Married"/>
    <s v="Male"/>
    <n v="60000"/>
    <n v="4"/>
    <x v="0"/>
    <s v="Skilled Manual"/>
    <s v="Yes"/>
    <n v="3"/>
    <s v="5-10 Miles"/>
    <s v="North America"/>
    <s v="mature adult "/>
    <n v="42"/>
    <x v="0"/>
  </r>
  <r>
    <n v="20076"/>
    <s v="Single"/>
    <s v="Female"/>
    <n v="10000"/>
    <n v="2"/>
    <x v="2"/>
    <s v="Manual"/>
    <s v="Yes"/>
    <n v="2"/>
    <s v="1-2 Miles"/>
    <s v="North America"/>
    <s v="mature adult "/>
    <n v="53"/>
    <x v="1"/>
  </r>
  <r>
    <n v="24496"/>
    <s v="Single"/>
    <s v="Female"/>
    <n v="40000"/>
    <n v="0"/>
    <x v="2"/>
    <s v="Skilled Manual"/>
    <s v="No"/>
    <n v="2"/>
    <s v="0-1 Miles"/>
    <s v="North America"/>
    <s v="young adults"/>
    <n v="28"/>
    <x v="1"/>
  </r>
  <r>
    <n v="15468"/>
    <s v="Married"/>
    <s v="Female"/>
    <n v="50000"/>
    <n v="1"/>
    <x v="0"/>
    <s v="Skilled Manual"/>
    <s v="Yes"/>
    <n v="1"/>
    <s v="0-1 Miles"/>
    <s v="North America"/>
    <s v="adults"/>
    <n v="35"/>
    <x v="0"/>
  </r>
  <r>
    <n v="28031"/>
    <s v="Single"/>
    <s v="Female"/>
    <n v="70000"/>
    <n v="2"/>
    <x v="0"/>
    <s v="Management"/>
    <s v="No"/>
    <n v="1"/>
    <s v="2-5 Miles"/>
    <s v="North America"/>
    <s v="middle age"/>
    <n v="59"/>
    <x v="1"/>
  </r>
  <r>
    <n v="26270"/>
    <s v="Single"/>
    <s v="Female"/>
    <n v="20000"/>
    <n v="2"/>
    <x v="3"/>
    <s v="Clerical"/>
    <s v="Yes"/>
    <n v="2"/>
    <s v="1-2 Miles"/>
    <s v="North America"/>
    <s v="mature adult "/>
    <n v="49"/>
    <x v="0"/>
  </r>
  <r>
    <n v="22221"/>
    <s v="Married"/>
    <s v="Male"/>
    <n v="60000"/>
    <n v="2"/>
    <x v="2"/>
    <s v="Professional"/>
    <s v="No"/>
    <n v="2"/>
    <s v="1-2 Miles"/>
    <s v="North America"/>
    <s v="mature adult "/>
    <n v="48"/>
    <x v="1"/>
  </r>
  <r>
    <n v="28228"/>
    <s v="Single"/>
    <s v="Female"/>
    <n v="80000"/>
    <n v="2"/>
    <x v="3"/>
    <s v="Skilled Manual"/>
    <s v="No"/>
    <n v="2"/>
    <s v="1-2 Miles"/>
    <s v="North America"/>
    <s v="mature adult "/>
    <n v="50"/>
    <x v="0"/>
  </r>
  <r>
    <n v="18363"/>
    <s v="Married"/>
    <s v="Male"/>
    <n v="40000"/>
    <n v="0"/>
    <x v="2"/>
    <s v="Skilled Manual"/>
    <s v="Yes"/>
    <n v="2"/>
    <s v="5-10 Miles"/>
    <s v="North America"/>
    <s v="young adults"/>
    <n v="28"/>
    <x v="1"/>
  </r>
  <r>
    <n v="23256"/>
    <s v="Single"/>
    <s v="Male"/>
    <n v="30000"/>
    <n v="1"/>
    <x v="2"/>
    <s v="Clerical"/>
    <s v="No"/>
    <n v="1"/>
    <s v="5-10 Miles"/>
    <s v="North America"/>
    <s v="mature adult "/>
    <n v="52"/>
    <x v="0"/>
  </r>
  <r>
    <n v="12768"/>
    <s v="Married"/>
    <s v="Male"/>
    <n v="30000"/>
    <n v="1"/>
    <x v="2"/>
    <s v="Clerical"/>
    <s v="Yes"/>
    <n v="1"/>
    <s v="2-5 Miles"/>
    <s v="North America"/>
    <s v="mature adult "/>
    <n v="52"/>
    <x v="1"/>
  </r>
  <r>
    <n v="20361"/>
    <s v="Married"/>
    <s v="Male"/>
    <n v="50000"/>
    <n v="2"/>
    <x v="4"/>
    <s v="Management"/>
    <s v="Yes"/>
    <n v="2"/>
    <s v="5-10 Miles"/>
    <s v="North America"/>
    <s v="middle age"/>
    <n v="69"/>
    <x v="0"/>
  </r>
  <r>
    <n v="21306"/>
    <s v="Single"/>
    <s v="Male"/>
    <n v="60000"/>
    <n v="2"/>
    <x v="2"/>
    <s v="Professional"/>
    <s v="Yes"/>
    <n v="2"/>
    <s v="5-10 Miles"/>
    <s v="North America"/>
    <s v="mature adult "/>
    <n v="51"/>
    <x v="0"/>
  </r>
  <r>
    <n v="13382"/>
    <s v="Married"/>
    <s v="Male"/>
    <n v="70000"/>
    <n v="5"/>
    <x v="1"/>
    <s v="Professional"/>
    <s v="Yes"/>
    <n v="2"/>
    <s v="1-2 Miles"/>
    <s v="North America"/>
    <s v="middle age"/>
    <n v="57"/>
    <x v="1"/>
  </r>
  <r>
    <n v="20310"/>
    <s v="Single"/>
    <s v="Male"/>
    <n v="60000"/>
    <n v="0"/>
    <x v="1"/>
    <s v="Skilled Manual"/>
    <s v="Yes"/>
    <n v="1"/>
    <s v="5-10 Miles"/>
    <s v="North America"/>
    <s v="young adults"/>
    <n v="27"/>
    <x v="1"/>
  </r>
  <r>
    <n v="22971"/>
    <s v="Single"/>
    <s v="Female"/>
    <n v="30000"/>
    <n v="0"/>
    <x v="2"/>
    <s v="Skilled Manual"/>
    <s v="No"/>
    <n v="2"/>
    <s v="0-1 Miles"/>
    <s v="North America"/>
    <s v="young adults"/>
    <n v="25"/>
    <x v="1"/>
  </r>
  <r>
    <n v="15287"/>
    <s v="Single"/>
    <s v="Female"/>
    <n v="50000"/>
    <n v="1"/>
    <x v="4"/>
    <s v="Skilled Manual"/>
    <s v="Yes"/>
    <n v="0"/>
    <s v="1-2 Miles"/>
    <s v="North America"/>
    <s v="adults"/>
    <n v="33"/>
    <x v="1"/>
  </r>
  <r>
    <n v="15532"/>
    <s v="Single"/>
    <s v="Male"/>
    <n v="60000"/>
    <n v="4"/>
    <x v="0"/>
    <s v="Professional"/>
    <s v="Yes"/>
    <n v="2"/>
    <s v="2-5 Miles"/>
    <s v="North America"/>
    <s v="mature adult "/>
    <n v="43"/>
    <x v="1"/>
  </r>
  <r>
    <n v="11255"/>
    <s v="Married"/>
    <s v="Male"/>
    <n v="70000"/>
    <n v="4"/>
    <x v="4"/>
    <s v="Management"/>
    <s v="Yes"/>
    <n v="2"/>
    <s v="5-10 Miles"/>
    <s v="North America"/>
    <s v="senior citizen"/>
    <n v="73"/>
    <x v="0"/>
  </r>
  <r>
    <n v="28090"/>
    <s v="Married"/>
    <s v="Male"/>
    <n v="40000"/>
    <n v="0"/>
    <x v="1"/>
    <s v="Skilled Manual"/>
    <s v="Yes"/>
    <n v="1"/>
    <s v="5-10 Miles"/>
    <s v="North America"/>
    <s v="young adults"/>
    <n v="27"/>
    <x v="0"/>
  </r>
  <r>
    <n v="15255"/>
    <s v="Married"/>
    <s v="Male"/>
    <n v="40000"/>
    <n v="0"/>
    <x v="2"/>
    <s v="Skilled Manual"/>
    <s v="Yes"/>
    <n v="2"/>
    <s v="5-10 Miles"/>
    <s v="North America"/>
    <s v="young adults"/>
    <n v="28"/>
    <x v="1"/>
  </r>
  <r>
    <n v="13154"/>
    <s v="Married"/>
    <s v="Male"/>
    <n v="40000"/>
    <n v="0"/>
    <x v="2"/>
    <s v="Skilled Manual"/>
    <s v="No"/>
    <n v="2"/>
    <s v="0-1 Miles"/>
    <s v="North America"/>
    <s v="young adults"/>
    <n v="27"/>
    <x v="1"/>
  </r>
  <r>
    <n v="26778"/>
    <s v="Single"/>
    <s v="Female"/>
    <n v="40000"/>
    <n v="0"/>
    <x v="2"/>
    <s v="Skilled Manual"/>
    <s v="Yes"/>
    <n v="2"/>
    <s v="5-10 Miles"/>
    <s v="North America"/>
    <s v="adults"/>
    <n v="31"/>
    <x v="0"/>
  </r>
  <r>
    <n v="23248"/>
    <s v="Married"/>
    <s v="Female"/>
    <n v="10000"/>
    <n v="2"/>
    <x v="2"/>
    <s v="Manual"/>
    <s v="Yes"/>
    <n v="2"/>
    <s v="1-2 Miles"/>
    <s v="North America"/>
    <s v="mature adult "/>
    <n v="53"/>
    <x v="0"/>
  </r>
  <r>
    <n v="21417"/>
    <s v="Single"/>
    <s v="Female"/>
    <n v="60000"/>
    <n v="0"/>
    <x v="1"/>
    <s v="Professional"/>
    <s v="No"/>
    <n v="2"/>
    <s v="1-2 Miles"/>
    <s v="North America"/>
    <s v="adults"/>
    <n v="32"/>
    <x v="1"/>
  </r>
  <r>
    <n v="17668"/>
    <s v="Single"/>
    <s v="Male"/>
    <n v="30000"/>
    <n v="2"/>
    <x v="2"/>
    <s v="Skilled Manual"/>
    <s v="Yes"/>
    <n v="2"/>
    <s v="1-2 Miles"/>
    <s v="North America"/>
    <s v="mature adult "/>
    <n v="50"/>
    <x v="1"/>
  </r>
  <r>
    <n v="27994"/>
    <s v="Married"/>
    <s v="Female"/>
    <n v="40000"/>
    <n v="4"/>
    <x v="2"/>
    <s v="Professional"/>
    <s v="Yes"/>
    <n v="2"/>
    <s v="5-10 Miles"/>
    <s v="North America"/>
    <s v="middle age"/>
    <n v="69"/>
    <x v="0"/>
  </r>
  <r>
    <n v="20376"/>
    <s v="Single"/>
    <s v="Female"/>
    <n v="70000"/>
    <n v="3"/>
    <x v="4"/>
    <s v="Management"/>
    <s v="Yes"/>
    <n v="2"/>
    <s v="5-10 Miles"/>
    <s v="North America"/>
    <s v="mature adult "/>
    <n v="52"/>
    <x v="1"/>
  </r>
  <r>
    <n v="25954"/>
    <s v="Married"/>
    <s v="Male"/>
    <n v="60000"/>
    <n v="0"/>
    <x v="1"/>
    <s v="Skilled Manual"/>
    <s v="No"/>
    <n v="2"/>
    <s v="1-2 Miles"/>
    <s v="North America"/>
    <s v="adults"/>
    <n v="31"/>
    <x v="0"/>
  </r>
  <r>
    <n v="15749"/>
    <s v="Single"/>
    <s v="Female"/>
    <n v="70000"/>
    <n v="4"/>
    <x v="0"/>
    <s v="Management"/>
    <s v="Yes"/>
    <n v="2"/>
    <s v="more than 10 Miles"/>
    <s v="North America"/>
    <s v="middle age"/>
    <n v="61"/>
    <x v="0"/>
  </r>
  <r>
    <n v="25899"/>
    <s v="Married"/>
    <s v="Female"/>
    <n v="70000"/>
    <n v="2"/>
    <x v="2"/>
    <s v="Professional"/>
    <s v="Yes"/>
    <n v="2"/>
    <s v="more than 10 Miles"/>
    <s v="North America"/>
    <s v="mature adult "/>
    <n v="53"/>
    <x v="0"/>
  </r>
  <r>
    <n v="13351"/>
    <s v="Single"/>
    <s v="Female"/>
    <n v="70000"/>
    <n v="4"/>
    <x v="0"/>
    <s v="Management"/>
    <s v="Yes"/>
    <n v="2"/>
    <s v="1-2 Miles"/>
    <s v="North America"/>
    <s v="middle age"/>
    <n v="62"/>
    <x v="1"/>
  </r>
  <r>
    <n v="23333"/>
    <s v="Married"/>
    <s v="Male"/>
    <n v="40000"/>
    <n v="0"/>
    <x v="1"/>
    <s v="Skilled Manual"/>
    <s v="No"/>
    <n v="2"/>
    <s v="1-2 Miles"/>
    <s v="North America"/>
    <s v="adults"/>
    <n v="30"/>
    <x v="0"/>
  </r>
  <r>
    <n v="21660"/>
    <s v="Married"/>
    <s v="Female"/>
    <n v="60000"/>
    <n v="3"/>
    <x v="4"/>
    <s v="Professional"/>
    <s v="Yes"/>
    <n v="0"/>
    <s v="2-5 Miles"/>
    <s v="North America"/>
    <s v="mature adult "/>
    <n v="43"/>
    <x v="1"/>
  </r>
  <r>
    <n v="17012"/>
    <s v="Married"/>
    <s v="Female"/>
    <n v="60000"/>
    <n v="3"/>
    <x v="4"/>
    <s v="Professional"/>
    <s v="Yes"/>
    <n v="0"/>
    <s v="2-5 Miles"/>
    <s v="North America"/>
    <s v="mature adult "/>
    <n v="42"/>
    <x v="1"/>
  </r>
  <r>
    <n v="24514"/>
    <s v="Married"/>
    <s v="Male"/>
    <n v="40000"/>
    <n v="0"/>
    <x v="1"/>
    <s v="Skilled Manual"/>
    <s v="Yes"/>
    <n v="1"/>
    <s v="5-10 Miles"/>
    <s v="North America"/>
    <s v="adults"/>
    <n v="30"/>
    <x v="0"/>
  </r>
  <r>
    <n v="27505"/>
    <s v="Single"/>
    <s v="Female"/>
    <n v="40000"/>
    <n v="0"/>
    <x v="2"/>
    <s v="Skilled Manual"/>
    <s v="Yes"/>
    <n v="2"/>
    <s v="5-10 Miles"/>
    <s v="North America"/>
    <s v="adults"/>
    <n v="30"/>
    <x v="0"/>
  </r>
  <r>
    <n v="29243"/>
    <s v="Single"/>
    <s v="Male"/>
    <n v="110000"/>
    <n v="1"/>
    <x v="0"/>
    <s v="Management"/>
    <s v="Yes"/>
    <n v="1"/>
    <s v="5-10 Miles"/>
    <s v="North America"/>
    <s v="mature adult "/>
    <n v="43"/>
    <x v="0"/>
  </r>
  <r>
    <n v="26582"/>
    <s v="Married"/>
    <s v="Male"/>
    <n v="60000"/>
    <n v="0"/>
    <x v="1"/>
    <s v="Skilled Manual"/>
    <s v="Yes"/>
    <n v="2"/>
    <s v="5-10 Miles"/>
    <s v="North America"/>
    <s v="adults"/>
    <n v="33"/>
    <x v="1"/>
  </r>
  <r>
    <n v="14271"/>
    <s v="Married"/>
    <s v="Male"/>
    <n v="30000"/>
    <n v="0"/>
    <x v="2"/>
    <s v="Skilled Manual"/>
    <s v="Yes"/>
    <n v="2"/>
    <s v="5-10 Miles"/>
    <s v="North America"/>
    <s v="adults"/>
    <n v="32"/>
    <x v="0"/>
  </r>
  <r>
    <n v="23041"/>
    <s v="Single"/>
    <s v="Female"/>
    <n v="70000"/>
    <n v="4"/>
    <x v="2"/>
    <s v="Professional"/>
    <s v="Yes"/>
    <n v="0"/>
    <s v="5-10 Miles"/>
    <s v="North America"/>
    <s v="mature adult "/>
    <n v="50"/>
    <x v="1"/>
  </r>
  <r>
    <n v="29048"/>
    <s v="Single"/>
    <s v="Male"/>
    <n v="110000"/>
    <n v="2"/>
    <x v="0"/>
    <s v="Management"/>
    <s v="No"/>
    <n v="3"/>
    <s v="0-1 Miles"/>
    <s v="North America"/>
    <s v="adults"/>
    <n v="37"/>
    <x v="1"/>
  </r>
  <r>
    <n v="24433"/>
    <s v="Married"/>
    <s v="Male"/>
    <n v="70000"/>
    <n v="3"/>
    <x v="2"/>
    <s v="Professional"/>
    <s v="No"/>
    <n v="1"/>
    <s v="1-2 Miles"/>
    <s v="North America"/>
    <s v="mature adult "/>
    <n v="52"/>
    <x v="1"/>
  </r>
  <r>
    <n v="15501"/>
    <s v="Married"/>
    <s v="Male"/>
    <n v="70000"/>
    <n v="4"/>
    <x v="4"/>
    <s v="Professional"/>
    <s v="Yes"/>
    <n v="0"/>
    <s v="2-5 Miles"/>
    <s v="North America"/>
    <s v="adults"/>
    <n v="36"/>
    <x v="1"/>
  </r>
  <r>
    <n v="13911"/>
    <s v="Single"/>
    <s v="Female"/>
    <n v="80000"/>
    <n v="3"/>
    <x v="0"/>
    <s v="Skilled Manual"/>
    <s v="Yes"/>
    <n v="2"/>
    <s v="2-5 Miles"/>
    <s v="North America"/>
    <s v="mature adult "/>
    <n v="41"/>
    <x v="1"/>
  </r>
  <r>
    <n v="20421"/>
    <s v="Single"/>
    <s v="Female"/>
    <n v="40000"/>
    <n v="0"/>
    <x v="3"/>
    <s v="Clerical"/>
    <s v="Yes"/>
    <n v="2"/>
    <s v="5-10 Miles"/>
    <s v="North America"/>
    <s v="young adults"/>
    <n v="26"/>
    <x v="0"/>
  </r>
  <r>
    <n v="16009"/>
    <s v="Single"/>
    <s v="Male"/>
    <n v="170000"/>
    <n v="1"/>
    <x v="4"/>
    <s v="Management"/>
    <s v="No"/>
    <n v="4"/>
    <s v="0-1 Miles"/>
    <s v="North America"/>
    <s v="middle age"/>
    <n v="66"/>
    <x v="0"/>
  </r>
  <r>
    <n v="18411"/>
    <s v="Married"/>
    <s v="Male"/>
    <n v="60000"/>
    <n v="2"/>
    <x v="2"/>
    <s v="Professional"/>
    <s v="No"/>
    <n v="2"/>
    <s v="5-10 Miles"/>
    <s v="North America"/>
    <s v="mature adult "/>
    <n v="51"/>
    <x v="0"/>
  </r>
  <r>
    <n v="19163"/>
    <s v="Married"/>
    <s v="Female"/>
    <n v="70000"/>
    <n v="4"/>
    <x v="0"/>
    <s v="Professional"/>
    <s v="Yes"/>
    <n v="2"/>
    <s v="0-1 Miles"/>
    <s v="North America"/>
    <s v="mature adult "/>
    <n v="43"/>
    <x v="1"/>
  </r>
  <r>
    <n v="18572"/>
    <s v="Married"/>
    <s v="Female"/>
    <n v="60000"/>
    <n v="0"/>
    <x v="4"/>
    <s v="Professional"/>
    <s v="Yes"/>
    <n v="0"/>
    <s v="0-1 Miles"/>
    <s v="North America"/>
    <s v="adults"/>
    <n v="39"/>
    <x v="0"/>
  </r>
  <r>
    <n v="27540"/>
    <s v="Single"/>
    <s v="Female"/>
    <n v="70000"/>
    <n v="0"/>
    <x v="0"/>
    <s v="Professional"/>
    <s v="No"/>
    <n v="1"/>
    <s v="0-1 Miles"/>
    <s v="North America"/>
    <s v="adults"/>
    <n v="37"/>
    <x v="1"/>
  </r>
  <r>
    <n v="19889"/>
    <s v="Single"/>
    <s v="Female"/>
    <n v="70000"/>
    <n v="2"/>
    <x v="3"/>
    <s v="Skilled Manual"/>
    <s v="No"/>
    <n v="2"/>
    <s v="2-5 Miles"/>
    <s v="North America"/>
    <s v="mature adult "/>
    <n v="54"/>
    <x v="1"/>
  </r>
  <r>
    <n v="12922"/>
    <s v="Single"/>
    <s v="Female"/>
    <n v="60000"/>
    <n v="3"/>
    <x v="0"/>
    <s v="Skilled Manual"/>
    <s v="Yes"/>
    <n v="0"/>
    <s v="2-5 Miles"/>
    <s v="North America"/>
    <s v="mature adult "/>
    <n v="40"/>
    <x v="1"/>
  </r>
  <r>
    <n v="18891"/>
    <s v="Married"/>
    <s v="Female"/>
    <n v="40000"/>
    <n v="0"/>
    <x v="1"/>
    <s v="Skilled Manual"/>
    <s v="Yes"/>
    <n v="2"/>
    <s v="5-10 Miles"/>
    <s v="North America"/>
    <s v="young adults"/>
    <n v="28"/>
    <x v="0"/>
  </r>
  <r>
    <n v="16773"/>
    <s v="Married"/>
    <s v="Male"/>
    <n v="60000"/>
    <n v="1"/>
    <x v="4"/>
    <s v="Skilled Manual"/>
    <s v="Yes"/>
    <n v="0"/>
    <s v="0-1 Miles"/>
    <s v="North America"/>
    <s v="adults"/>
    <n v="33"/>
    <x v="0"/>
  </r>
  <r>
    <n v="19143"/>
    <s v="Single"/>
    <s v="Female"/>
    <n v="80000"/>
    <n v="3"/>
    <x v="0"/>
    <s v="Skilled Manual"/>
    <s v="Yes"/>
    <n v="2"/>
    <s v="2-5 Miles"/>
    <s v="North America"/>
    <s v="mature adult "/>
    <n v="41"/>
    <x v="1"/>
  </r>
  <r>
    <n v="23882"/>
    <s v="Single"/>
    <s v="Female"/>
    <n v="80000"/>
    <n v="3"/>
    <x v="4"/>
    <s v="Professional"/>
    <s v="Yes"/>
    <n v="0"/>
    <s v="0-1 Miles"/>
    <s v="North America"/>
    <s v="adults"/>
    <n v="37"/>
    <x v="1"/>
  </r>
  <r>
    <n v="11233"/>
    <s v="Married"/>
    <s v="Male"/>
    <n v="70000"/>
    <n v="4"/>
    <x v="1"/>
    <s v="Professional"/>
    <s v="Yes"/>
    <n v="2"/>
    <s v="more than 10 Miles"/>
    <s v="North America"/>
    <s v="mature adult "/>
    <n v="53"/>
    <x v="0"/>
  </r>
  <r>
    <n v="12056"/>
    <s v="Married"/>
    <s v="Male"/>
    <n v="120000"/>
    <n v="2"/>
    <x v="4"/>
    <s v="Management"/>
    <s v="Yes"/>
    <n v="3"/>
    <s v="5-10 Miles"/>
    <s v="North America"/>
    <s v="middle age"/>
    <n v="64"/>
    <x v="0"/>
  </r>
  <r>
    <n v="15555"/>
    <s v="Married"/>
    <s v="Female"/>
    <n v="60000"/>
    <n v="1"/>
    <x v="1"/>
    <s v="Skilled Manual"/>
    <s v="Yes"/>
    <n v="1"/>
    <s v="2-5 Miles"/>
    <s v="North America"/>
    <s v="mature adult "/>
    <n v="45"/>
    <x v="1"/>
  </r>
  <r>
    <n v="18423"/>
    <s v="Single"/>
    <s v="Male"/>
    <n v="80000"/>
    <n v="2"/>
    <x v="3"/>
    <s v="Skilled Manual"/>
    <s v="No"/>
    <n v="2"/>
    <s v="1-2 Miles"/>
    <s v="North America"/>
    <s v="mature adult "/>
    <n v="52"/>
    <x v="0"/>
  </r>
  <r>
    <n v="22743"/>
    <s v="Married"/>
    <s v="Female"/>
    <n v="40000"/>
    <n v="5"/>
    <x v="2"/>
    <s v="Professional"/>
    <s v="Yes"/>
    <n v="2"/>
    <s v="more than 10 Miles"/>
    <s v="North America"/>
    <s v="middle age"/>
    <n v="60"/>
    <x v="0"/>
  </r>
  <r>
    <n v="25343"/>
    <s v="Single"/>
    <s v="Female"/>
    <n v="20000"/>
    <n v="3"/>
    <x v="3"/>
    <s v="Clerical"/>
    <s v="Yes"/>
    <n v="2"/>
    <s v="1-2 Miles"/>
    <s v="North America"/>
    <s v="mature adult "/>
    <n v="50"/>
    <x v="0"/>
  </r>
  <r>
    <n v="13390"/>
    <s v="Married"/>
    <s v="Female"/>
    <n v="70000"/>
    <n v="4"/>
    <x v="1"/>
    <s v="Professional"/>
    <s v="No"/>
    <n v="1"/>
    <s v="1-2 Miles"/>
    <s v="North America"/>
    <s v="middle age"/>
    <n v="56"/>
    <x v="0"/>
  </r>
  <r>
    <n v="17482"/>
    <s v="Single"/>
    <s v="Female"/>
    <n v="40000"/>
    <n v="0"/>
    <x v="3"/>
    <s v="Clerical"/>
    <s v="Yes"/>
    <n v="2"/>
    <s v="5-10 Miles"/>
    <s v="North America"/>
    <s v="young adults"/>
    <n v="29"/>
    <x v="0"/>
  </r>
  <r>
    <n v="13176"/>
    <s v="Single"/>
    <s v="Male"/>
    <n v="130000"/>
    <n v="0"/>
    <x v="4"/>
    <s v="Management"/>
    <s v="No"/>
    <n v="2"/>
    <s v="0-1 Miles"/>
    <s v="North America"/>
    <s v="adults"/>
    <n v="38"/>
    <x v="1"/>
  </r>
  <r>
    <n v="20504"/>
    <s v="Married"/>
    <s v="Female"/>
    <n v="40000"/>
    <n v="5"/>
    <x v="2"/>
    <s v="Professional"/>
    <s v="No"/>
    <n v="2"/>
    <s v="2-5 Miles"/>
    <s v="North America"/>
    <s v="middle age"/>
    <n v="60"/>
    <x v="0"/>
  </r>
  <r>
    <n v="12205"/>
    <s v="Single"/>
    <s v="Female"/>
    <n v="130000"/>
    <n v="2"/>
    <x v="0"/>
    <s v="Management"/>
    <s v="No"/>
    <n v="4"/>
    <s v="0-1 Miles"/>
    <s v="North America"/>
    <s v="middle age"/>
    <n v="67"/>
    <x v="0"/>
  </r>
  <r>
    <n v="16751"/>
    <s v="Married"/>
    <s v="Male"/>
    <n v="60000"/>
    <n v="0"/>
    <x v="1"/>
    <s v="Skilled Manual"/>
    <s v="Yes"/>
    <n v="1"/>
    <s v="5-10 Miles"/>
    <s v="North America"/>
    <s v="adults"/>
    <n v="32"/>
    <x v="1"/>
  </r>
  <r>
    <n v="21613"/>
    <s v="Single"/>
    <s v="Male"/>
    <n v="50000"/>
    <n v="2"/>
    <x v="0"/>
    <s v="Skilled Manual"/>
    <s v="No"/>
    <n v="1"/>
    <s v="0-1 Miles"/>
    <s v="North America"/>
    <s v="adults"/>
    <n v="39"/>
    <x v="1"/>
  </r>
  <r>
    <n v="24801"/>
    <s v="Single"/>
    <s v="Male"/>
    <n v="60000"/>
    <n v="1"/>
    <x v="4"/>
    <s v="Professional"/>
    <s v="Yes"/>
    <n v="0"/>
    <s v="2-5 Miles"/>
    <s v="North America"/>
    <s v="adults"/>
    <n v="35"/>
    <x v="1"/>
  </r>
  <r>
    <n v="17519"/>
    <s v="Married"/>
    <s v="Female"/>
    <n v="60000"/>
    <n v="0"/>
    <x v="1"/>
    <s v="Professional"/>
    <s v="Yes"/>
    <n v="2"/>
    <s v="5-10 Miles"/>
    <s v="North America"/>
    <s v="adults"/>
    <n v="32"/>
    <x v="0"/>
  </r>
  <r>
    <n v="18347"/>
    <s v="Single"/>
    <s v="Female"/>
    <n v="30000"/>
    <n v="0"/>
    <x v="1"/>
    <s v="Skilled Manual"/>
    <s v="No"/>
    <n v="1"/>
    <s v="1-2 Miles"/>
    <s v="North America"/>
    <s v="adults"/>
    <n v="31"/>
    <x v="0"/>
  </r>
  <r>
    <n v="29052"/>
    <s v="Single"/>
    <s v="Male"/>
    <n v="40000"/>
    <n v="0"/>
    <x v="1"/>
    <s v="Skilled Manual"/>
    <s v="Yes"/>
    <n v="1"/>
    <s v="5-10 Miles"/>
    <s v="North America"/>
    <s v="young adults"/>
    <n v="27"/>
    <x v="0"/>
  </r>
  <r>
    <n v="11745"/>
    <s v="Married"/>
    <s v="Female"/>
    <n v="60000"/>
    <n v="1"/>
    <x v="0"/>
    <s v="Professional"/>
    <s v="Yes"/>
    <n v="1"/>
    <s v="0-1 Miles"/>
    <s v="North America"/>
    <s v="mature adult "/>
    <n v="47"/>
    <x v="1"/>
  </r>
  <r>
    <n v="19147"/>
    <s v="Married"/>
    <s v="Male"/>
    <n v="40000"/>
    <n v="0"/>
    <x v="0"/>
    <s v="Professional"/>
    <s v="No"/>
    <n v="1"/>
    <s v="0-1 Miles"/>
    <s v="North America"/>
    <s v="mature adult "/>
    <n v="42"/>
    <x v="0"/>
  </r>
  <r>
    <n v="19217"/>
    <s v="Married"/>
    <s v="Male"/>
    <n v="30000"/>
    <n v="2"/>
    <x v="2"/>
    <s v="Skilled Manual"/>
    <s v="Yes"/>
    <n v="2"/>
    <s v="1-2 Miles"/>
    <s v="North America"/>
    <s v="mature adult "/>
    <n v="49"/>
    <x v="0"/>
  </r>
  <r>
    <n v="15839"/>
    <s v="Single"/>
    <s v="Male"/>
    <n v="30000"/>
    <n v="0"/>
    <x v="1"/>
    <s v="Skilled Manual"/>
    <s v="Yes"/>
    <n v="1"/>
    <s v="5-10 Miles"/>
    <s v="North America"/>
    <s v="adults"/>
    <n v="32"/>
    <x v="0"/>
  </r>
  <r>
    <n v="13714"/>
    <s v="Married"/>
    <s v="Female"/>
    <n v="20000"/>
    <n v="2"/>
    <x v="2"/>
    <s v="Manual"/>
    <s v="No"/>
    <n v="2"/>
    <s v="1-2 Miles"/>
    <s v="North America"/>
    <s v="mature adult "/>
    <n v="53"/>
    <x v="1"/>
  </r>
  <r>
    <n v="22330"/>
    <s v="Married"/>
    <s v="Male"/>
    <n v="50000"/>
    <n v="0"/>
    <x v="4"/>
    <s v="Skilled Manual"/>
    <s v="Yes"/>
    <n v="0"/>
    <s v="1-2 Miles"/>
    <s v="North America"/>
    <s v="adults"/>
    <n v="32"/>
    <x v="1"/>
  </r>
  <r>
    <n v="18783"/>
    <s v="Single"/>
    <s v="Male"/>
    <n v="80000"/>
    <n v="0"/>
    <x v="0"/>
    <s v="Management"/>
    <s v="No"/>
    <n v="1"/>
    <s v="0-1 Miles"/>
    <s v="North America"/>
    <s v="adults"/>
    <n v="38"/>
    <x v="1"/>
  </r>
  <r>
    <n v="25041"/>
    <s v="Single"/>
    <s v="Male"/>
    <n v="40000"/>
    <n v="0"/>
    <x v="2"/>
    <s v="Skilled Manual"/>
    <s v="Yes"/>
    <n v="2"/>
    <s v="5-10 Miles"/>
    <s v="North America"/>
    <s v="adults"/>
    <n v="31"/>
    <x v="0"/>
  </r>
  <r>
    <n v="22046"/>
    <s v="Single"/>
    <s v="Female"/>
    <n v="80000"/>
    <n v="0"/>
    <x v="0"/>
    <s v="Management"/>
    <s v="No"/>
    <n v="1"/>
    <s v="0-1 Miles"/>
    <s v="North America"/>
    <s v="adults"/>
    <n v="38"/>
    <x v="1"/>
  </r>
  <r>
    <n v="28052"/>
    <s v="Married"/>
    <s v="Male"/>
    <n v="60000"/>
    <n v="2"/>
    <x v="2"/>
    <s v="Professional"/>
    <s v="Yes"/>
    <n v="2"/>
    <s v="more than 10 Miles"/>
    <s v="North America"/>
    <s v="middle age"/>
    <n v="55"/>
    <x v="0"/>
  </r>
  <r>
    <n v="26693"/>
    <s v="Married"/>
    <s v="Male"/>
    <n v="70000"/>
    <n v="3"/>
    <x v="1"/>
    <s v="Professional"/>
    <s v="Yes"/>
    <n v="1"/>
    <s v="5-10 Miles"/>
    <s v="North America"/>
    <s v="mature adult "/>
    <n v="49"/>
    <x v="0"/>
  </r>
  <r>
    <n v="24955"/>
    <s v="Single"/>
    <s v="Male"/>
    <n v="30000"/>
    <n v="5"/>
    <x v="3"/>
    <s v="Skilled Manual"/>
    <s v="Yes"/>
    <n v="3"/>
    <s v="more than 10 Miles"/>
    <s v="North America"/>
    <s v="middle age"/>
    <n v="60"/>
    <x v="1"/>
  </r>
  <r>
    <n v="26065"/>
    <s v="Single"/>
    <s v="Female"/>
    <n v="110000"/>
    <n v="3"/>
    <x v="0"/>
    <s v="Management"/>
    <s v="No"/>
    <n v="4"/>
    <s v="1-2 Miles"/>
    <s v="North America"/>
    <s v="mature adult "/>
    <n v="42"/>
    <x v="0"/>
  </r>
  <r>
    <n v="13942"/>
    <s v="Married"/>
    <s v="Male"/>
    <n v="60000"/>
    <n v="1"/>
    <x v="1"/>
    <s v="Skilled Manual"/>
    <s v="Yes"/>
    <n v="1"/>
    <s v="0-1 Miles"/>
    <s v="North America"/>
    <s v="mature adult "/>
    <n v="46"/>
    <x v="0"/>
  </r>
  <r>
    <n v="11219"/>
    <s v="Married"/>
    <s v="Male"/>
    <n v="60000"/>
    <n v="2"/>
    <x v="2"/>
    <s v="Professional"/>
    <s v="Yes"/>
    <n v="2"/>
    <s v="more than 10 Miles"/>
    <s v="North America"/>
    <s v="middle age"/>
    <n v="55"/>
    <x v="0"/>
  </r>
  <r>
    <n v="22118"/>
    <s v="Single"/>
    <s v="Female"/>
    <n v="70000"/>
    <n v="3"/>
    <x v="4"/>
    <s v="Management"/>
    <s v="Yes"/>
    <n v="2"/>
    <s v="5-10 Miles"/>
    <s v="North America"/>
    <s v="mature adult "/>
    <n v="53"/>
    <x v="1"/>
  </r>
  <r>
    <n v="23197"/>
    <s v="Married"/>
    <s v="Male"/>
    <n v="50000"/>
    <n v="3"/>
    <x v="0"/>
    <s v="Skilled Manual"/>
    <s v="Yes"/>
    <n v="2"/>
    <s v="2-5 Miles"/>
    <s v="North America"/>
    <s v="mature adult "/>
    <n v="40"/>
    <x v="0"/>
  </r>
  <r>
    <n v="14883"/>
    <s v="Married"/>
    <s v="Female"/>
    <n v="30000"/>
    <n v="1"/>
    <x v="0"/>
    <s v="Skilled Manual"/>
    <s v="Yes"/>
    <n v="1"/>
    <s v="5-10 Miles"/>
    <s v="North America"/>
    <s v="mature adult "/>
    <n v="53"/>
    <x v="1"/>
  </r>
  <r>
    <n v="27279"/>
    <s v="Single"/>
    <s v="Female"/>
    <n v="70000"/>
    <n v="2"/>
    <x v="0"/>
    <s v="Skilled Manual"/>
    <s v="Yes"/>
    <n v="0"/>
    <s v="2-5 Miles"/>
    <s v="North America"/>
    <s v="adults"/>
    <n v="38"/>
    <x v="1"/>
  </r>
  <r>
    <n v="18322"/>
    <s v="Single"/>
    <s v="Male"/>
    <n v="30000"/>
    <n v="0"/>
    <x v="3"/>
    <s v="Clerical"/>
    <s v="No"/>
    <n v="2"/>
    <s v="0-1 Miles"/>
    <s v="North America"/>
    <s v="young adults"/>
    <n v="26"/>
    <x v="0"/>
  </r>
  <r>
    <n v="15879"/>
    <s v="Married"/>
    <s v="Male"/>
    <n v="70000"/>
    <n v="5"/>
    <x v="0"/>
    <s v="Management"/>
    <s v="Yes"/>
    <n v="2"/>
    <s v="2-5 Miles"/>
    <s v="North America"/>
    <s v="middle age"/>
    <n v="61"/>
    <x v="0"/>
  </r>
  <r>
    <n v="28278"/>
    <s v="Married"/>
    <s v="Male"/>
    <n v="50000"/>
    <n v="2"/>
    <x v="4"/>
    <s v="Management"/>
    <s v="Yes"/>
    <n v="2"/>
    <s v="5-10 Miles"/>
    <s v="North America"/>
    <s v="senior citizen"/>
    <n v="71"/>
    <x v="0"/>
  </r>
  <r>
    <n v="24416"/>
    <s v="Married"/>
    <s v="Male"/>
    <n v="90000"/>
    <n v="4"/>
    <x v="2"/>
    <s v="Professional"/>
    <s v="Yes"/>
    <n v="2"/>
    <s v="1-2 Miles"/>
    <s v="North America"/>
    <s v="mature adult "/>
    <n v="45"/>
    <x v="0"/>
  </r>
  <r>
    <n v="28066"/>
    <s v="Married"/>
    <s v="Male"/>
    <n v="80000"/>
    <n v="2"/>
    <x v="4"/>
    <s v="Professional"/>
    <s v="Yes"/>
    <n v="0"/>
    <s v="0-1 Miles"/>
    <s v="North America"/>
    <s v="adults"/>
    <n v="37"/>
    <x v="1"/>
  </r>
  <r>
    <n v="11275"/>
    <s v="Married"/>
    <s v="Female"/>
    <n v="80000"/>
    <n v="4"/>
    <x v="4"/>
    <s v="Management"/>
    <s v="Yes"/>
    <n v="2"/>
    <s v="0-1 Miles"/>
    <s v="North America"/>
    <s v="senior citizen"/>
    <n v="72"/>
    <x v="1"/>
  </r>
  <r>
    <n v="14872"/>
    <s v="Married"/>
    <s v="Male"/>
    <n v="30000"/>
    <n v="0"/>
    <x v="4"/>
    <s v="Skilled Manual"/>
    <s v="Yes"/>
    <n v="0"/>
    <s v="0-1 Miles"/>
    <s v="North America"/>
    <s v="adults"/>
    <n v="32"/>
    <x v="0"/>
  </r>
  <r>
    <n v="16151"/>
    <s v="Married"/>
    <s v="Female"/>
    <n v="60000"/>
    <n v="1"/>
    <x v="0"/>
    <s v="Professional"/>
    <s v="Yes"/>
    <n v="1"/>
    <s v="2-5 Miles"/>
    <s v="North America"/>
    <s v="mature adult "/>
    <n v="48"/>
    <x v="1"/>
  </r>
  <r>
    <n v="19731"/>
    <s v="Married"/>
    <s v="Male"/>
    <n v="80000"/>
    <n v="4"/>
    <x v="4"/>
    <s v="Management"/>
    <s v="Yes"/>
    <n v="2"/>
    <s v="5-10 Miles"/>
    <s v="North America"/>
    <s v="middle age"/>
    <n v="68"/>
    <x v="0"/>
  </r>
  <r>
    <n v="23801"/>
    <s v="Married"/>
    <s v="Female"/>
    <n v="20000"/>
    <n v="2"/>
    <x v="3"/>
    <s v="Clerical"/>
    <s v="Yes"/>
    <n v="2"/>
    <s v="0-1 Miles"/>
    <s v="North America"/>
    <s v="mature adult "/>
    <n v="49"/>
    <x v="0"/>
  </r>
  <r>
    <n v="11807"/>
    <s v="Married"/>
    <s v="Male"/>
    <n v="70000"/>
    <n v="3"/>
    <x v="4"/>
    <s v="Professional"/>
    <s v="Yes"/>
    <n v="0"/>
    <s v="2-5 Miles"/>
    <s v="North America"/>
    <s v="adults"/>
    <n v="34"/>
    <x v="0"/>
  </r>
  <r>
    <n v="11622"/>
    <s v="Married"/>
    <s v="Male"/>
    <n v="50000"/>
    <n v="0"/>
    <x v="4"/>
    <s v="Skilled Manual"/>
    <s v="Yes"/>
    <n v="0"/>
    <s v="0-1 Miles"/>
    <s v="North America"/>
    <s v="adults"/>
    <n v="32"/>
    <x v="0"/>
  </r>
  <r>
    <n v="26597"/>
    <s v="Single"/>
    <s v="Female"/>
    <n v="60000"/>
    <n v="4"/>
    <x v="0"/>
    <s v="Skilled Manual"/>
    <s v="No"/>
    <n v="2"/>
    <s v="0-1 Miles"/>
    <s v="North America"/>
    <s v="mature adult "/>
    <n v="42"/>
    <x v="0"/>
  </r>
  <r>
    <n v="27074"/>
    <s v="Married"/>
    <s v="Female"/>
    <n v="70000"/>
    <n v="1"/>
    <x v="4"/>
    <s v="Skilled Manual"/>
    <s v="Yes"/>
    <n v="0"/>
    <s v="0-1 Miles"/>
    <s v="North America"/>
    <s v="adults"/>
    <n v="35"/>
    <x v="1"/>
  </r>
  <r>
    <n v="19228"/>
    <s v="Married"/>
    <s v="Female"/>
    <n v="40000"/>
    <n v="2"/>
    <x v="1"/>
    <s v="Clerical"/>
    <s v="Yes"/>
    <n v="1"/>
    <s v="0-1 Miles"/>
    <s v="North America"/>
    <s v="mature adult "/>
    <n v="48"/>
    <x v="0"/>
  </r>
  <r>
    <n v="13415"/>
    <s v="Single"/>
    <s v="Male"/>
    <n v="100000"/>
    <n v="1"/>
    <x v="4"/>
    <s v="Management"/>
    <s v="Yes"/>
    <n v="3"/>
    <s v="2-5 Miles"/>
    <s v="North America"/>
    <s v="senior citizen"/>
    <n v="73"/>
    <x v="1"/>
  </r>
  <r>
    <n v="17000"/>
    <s v="Single"/>
    <s v="Female"/>
    <n v="70000"/>
    <n v="4"/>
    <x v="0"/>
    <s v="Skilled Manual"/>
    <s v="Yes"/>
    <n v="2"/>
    <s v="2-5 Miles"/>
    <s v="North America"/>
    <s v="mature adult "/>
    <n v="43"/>
    <x v="1"/>
  </r>
  <r>
    <n v="14569"/>
    <s v="Married"/>
    <s v="Male"/>
    <n v="60000"/>
    <n v="1"/>
    <x v="4"/>
    <s v="Professional"/>
    <s v="Yes"/>
    <n v="0"/>
    <s v="0-1 Miles"/>
    <s v="North America"/>
    <s v="adults"/>
    <n v="35"/>
    <x v="0"/>
  </r>
  <r>
    <n v="13873"/>
    <s v="Married"/>
    <s v="Male"/>
    <n v="70000"/>
    <n v="3"/>
    <x v="4"/>
    <s v="Professional"/>
    <s v="Yes"/>
    <n v="0"/>
    <s v="0-1 Miles"/>
    <s v="North America"/>
    <s v="adults"/>
    <n v="35"/>
    <x v="1"/>
  </r>
  <r>
    <n v="20401"/>
    <s v="Married"/>
    <s v="Female"/>
    <n v="50000"/>
    <n v="4"/>
    <x v="0"/>
    <s v="Management"/>
    <s v="Yes"/>
    <n v="2"/>
    <s v="1-2 Miles"/>
    <s v="North America"/>
    <s v="middle age"/>
    <n v="64"/>
    <x v="1"/>
  </r>
  <r>
    <n v="21583"/>
    <s v="Married"/>
    <s v="Female"/>
    <n v="50000"/>
    <n v="1"/>
    <x v="0"/>
    <s v="Skilled Manual"/>
    <s v="Yes"/>
    <n v="0"/>
    <s v="0-1 Miles"/>
    <s v="North America"/>
    <s v="adults"/>
    <n v="34"/>
    <x v="1"/>
  </r>
  <r>
    <n v="12029"/>
    <s v="Married"/>
    <s v="Male"/>
    <n v="30000"/>
    <n v="0"/>
    <x v="3"/>
    <s v="Clerical"/>
    <s v="No"/>
    <n v="2"/>
    <s v="0-1 Miles"/>
    <s v="North America"/>
    <s v="young adults"/>
    <n v="28"/>
    <x v="0"/>
  </r>
  <r>
    <n v="18066"/>
    <s v="Single"/>
    <s v="Male"/>
    <n v="70000"/>
    <n v="5"/>
    <x v="0"/>
    <s v="Management"/>
    <s v="Yes"/>
    <n v="3"/>
    <s v="more than 10 Miles"/>
    <s v="North America"/>
    <s v="middle age"/>
    <n v="60"/>
    <x v="1"/>
  </r>
  <r>
    <n v="28192"/>
    <s v="Married"/>
    <s v="Female"/>
    <n v="70000"/>
    <n v="5"/>
    <x v="4"/>
    <s v="Professional"/>
    <s v="Yes"/>
    <n v="3"/>
    <s v="more than 10 Miles"/>
    <s v="North America"/>
    <s v="mature adult "/>
    <n v="46"/>
    <x v="0"/>
  </r>
  <r>
    <n v="16122"/>
    <s v="Married"/>
    <s v="Male"/>
    <n v="40000"/>
    <n v="4"/>
    <x v="2"/>
    <s v="Skilled Manual"/>
    <s v="Yes"/>
    <n v="2"/>
    <s v="0-1 Miles"/>
    <s v="North America"/>
    <s v="mature adult "/>
    <n v="44"/>
    <x v="1"/>
  </r>
  <r>
    <n v="18607"/>
    <s v="Single"/>
    <s v="Female"/>
    <n v="60000"/>
    <n v="4"/>
    <x v="0"/>
    <s v="Skilled Manual"/>
    <s v="Yes"/>
    <n v="2"/>
    <s v="2-5 Miles"/>
    <s v="North America"/>
    <s v="mature adult "/>
    <n v="42"/>
    <x v="1"/>
  </r>
  <r>
    <n v="28858"/>
    <s v="Single"/>
    <s v="Male"/>
    <n v="80000"/>
    <n v="3"/>
    <x v="0"/>
    <s v="Skilled Manual"/>
    <s v="Yes"/>
    <n v="0"/>
    <s v="2-5 Miles"/>
    <s v="North America"/>
    <s v="mature adult "/>
    <n v="40"/>
    <x v="0"/>
  </r>
  <r>
    <n v="14432"/>
    <s v="Single"/>
    <s v="Male"/>
    <n v="90000"/>
    <n v="4"/>
    <x v="4"/>
    <s v="Management"/>
    <s v="Yes"/>
    <n v="1"/>
    <s v="5-10 Miles"/>
    <s v="North America"/>
    <s v="senior citizen"/>
    <n v="73"/>
    <x v="0"/>
  </r>
  <r>
    <n v="26305"/>
    <s v="Single"/>
    <s v="Female"/>
    <n v="60000"/>
    <n v="2"/>
    <x v="0"/>
    <s v="Skilled Manual"/>
    <s v="No"/>
    <n v="0"/>
    <s v="0-1 Miles"/>
    <s v="North America"/>
    <s v="adults"/>
    <n v="36"/>
    <x v="1"/>
  </r>
  <r>
    <n v="22050"/>
    <s v="Single"/>
    <s v="Male"/>
    <n v="90000"/>
    <n v="4"/>
    <x v="0"/>
    <s v="Management"/>
    <s v="Yes"/>
    <n v="1"/>
    <s v="1-2 Miles"/>
    <s v="North America"/>
    <s v="adults"/>
    <n v="38"/>
    <x v="1"/>
  </r>
  <r>
    <n v="25394"/>
    <s v="Married"/>
    <s v="Male"/>
    <n v="60000"/>
    <n v="1"/>
    <x v="4"/>
    <s v="Professional"/>
    <s v="Yes"/>
    <n v="0"/>
    <s v="2-5 Miles"/>
    <s v="North America"/>
    <s v="adults"/>
    <n v="34"/>
    <x v="1"/>
  </r>
  <r>
    <n v="19747"/>
    <s v="Married"/>
    <s v="Male"/>
    <n v="50000"/>
    <n v="4"/>
    <x v="0"/>
    <s v="Management"/>
    <s v="Yes"/>
    <n v="2"/>
    <s v="more than 10 Miles"/>
    <s v="North America"/>
    <s v="middle age"/>
    <n v="63"/>
    <x v="0"/>
  </r>
  <r>
    <n v="23195"/>
    <s v="Single"/>
    <s v="Male"/>
    <n v="50000"/>
    <n v="3"/>
    <x v="0"/>
    <s v="Skilled Manual"/>
    <s v="Yes"/>
    <n v="2"/>
    <s v="2-5 Miles"/>
    <s v="North America"/>
    <s v="mature adult "/>
    <n v="41"/>
    <x v="1"/>
  </r>
  <r>
    <n v="21695"/>
    <s v="Married"/>
    <s v="Male"/>
    <n v="60000"/>
    <n v="0"/>
    <x v="4"/>
    <s v="Skilled Manual"/>
    <s v="Yes"/>
    <n v="0"/>
    <s v="1-2 Miles"/>
    <s v="North America"/>
    <s v="adults"/>
    <n v="39"/>
    <x v="1"/>
  </r>
  <r>
    <n v="13934"/>
    <s v="Married"/>
    <s v="Male"/>
    <n v="40000"/>
    <n v="4"/>
    <x v="2"/>
    <s v="Skilled Manual"/>
    <s v="Yes"/>
    <n v="2"/>
    <s v="2-5 Miles"/>
    <s v="North America"/>
    <s v="mature adult "/>
    <n v="46"/>
    <x v="0"/>
  </r>
  <r>
    <n v="13337"/>
    <s v="Married"/>
    <s v="Female"/>
    <n v="80000"/>
    <n v="5"/>
    <x v="0"/>
    <s v="Management"/>
    <s v="Yes"/>
    <n v="2"/>
    <s v="5-10 Miles"/>
    <s v="North America"/>
    <s v="middle age"/>
    <n v="64"/>
    <x v="0"/>
  </r>
  <r>
    <n v="27190"/>
    <s v="Married"/>
    <s v="Female"/>
    <n v="40000"/>
    <n v="3"/>
    <x v="1"/>
    <s v="Clerical"/>
    <s v="Yes"/>
    <n v="1"/>
    <s v="1-2 Miles"/>
    <s v="North America"/>
    <s v="adults"/>
    <n v="32"/>
    <x v="0"/>
  </r>
  <r>
    <n v="28657"/>
    <s v="Single"/>
    <s v="Male"/>
    <n v="60000"/>
    <n v="2"/>
    <x v="0"/>
    <s v="Skilled Manual"/>
    <s v="Yes"/>
    <n v="0"/>
    <s v="2-5 Miles"/>
    <s v="North America"/>
    <s v="adults"/>
    <n v="36"/>
    <x v="1"/>
  </r>
  <r>
    <n v="21713"/>
    <s v="Single"/>
    <s v="Male"/>
    <n v="80000"/>
    <n v="5"/>
    <x v="4"/>
    <s v="Skilled Manual"/>
    <s v="No"/>
    <n v="0"/>
    <s v="0-1 Miles"/>
    <s v="North America"/>
    <s v="mature adult "/>
    <n v="47"/>
    <x v="0"/>
  </r>
  <r>
    <n v="21752"/>
    <s v="Married"/>
    <s v="Male"/>
    <n v="60000"/>
    <n v="3"/>
    <x v="4"/>
    <s v="Management"/>
    <s v="Yes"/>
    <n v="2"/>
    <s v="more than 10 Miles"/>
    <s v="North America"/>
    <s v="middle age"/>
    <n v="64"/>
    <x v="0"/>
  </r>
  <r>
    <n v="27273"/>
    <s v="Single"/>
    <s v="Male"/>
    <n v="70000"/>
    <n v="3"/>
    <x v="4"/>
    <s v="Professional"/>
    <s v="No"/>
    <n v="0"/>
    <s v="0-1 Miles"/>
    <s v="North America"/>
    <s v="adults"/>
    <n v="35"/>
    <x v="1"/>
  </r>
  <r>
    <n v="22719"/>
    <s v="Single"/>
    <s v="Male"/>
    <n v="110000"/>
    <n v="3"/>
    <x v="0"/>
    <s v="Management"/>
    <s v="Yes"/>
    <n v="4"/>
    <s v="2-5 Miles"/>
    <s v="North America"/>
    <s v="mature adult "/>
    <n v="40"/>
    <x v="1"/>
  </r>
  <r>
    <n v="22042"/>
    <s v="Married"/>
    <s v="Female"/>
    <n v="70000"/>
    <n v="0"/>
    <x v="1"/>
    <s v="Skilled Manual"/>
    <s v="Yes"/>
    <n v="2"/>
    <s v="5-10 Miles"/>
    <s v="North America"/>
    <s v="adults"/>
    <n v="34"/>
    <x v="1"/>
  </r>
  <r>
    <n v="21451"/>
    <s v="Married"/>
    <s v="Female"/>
    <n v="40000"/>
    <n v="4"/>
    <x v="2"/>
    <s v="Professional"/>
    <s v="Yes"/>
    <n v="2"/>
    <s v="more than 10 Miles"/>
    <s v="North America"/>
    <s v="middle age"/>
    <n v="61"/>
    <x v="0"/>
  </r>
  <r>
    <n v="20754"/>
    <s v="Married"/>
    <s v="Male"/>
    <n v="30000"/>
    <n v="2"/>
    <x v="2"/>
    <s v="Skilled Manual"/>
    <s v="Yes"/>
    <n v="2"/>
    <s v="1-2 Miles"/>
    <s v="North America"/>
    <s v="mature adult "/>
    <n v="51"/>
    <x v="0"/>
  </r>
  <r>
    <n v="12153"/>
    <s v="Single"/>
    <s v="Female"/>
    <n v="70000"/>
    <n v="3"/>
    <x v="1"/>
    <s v="Professional"/>
    <s v="Yes"/>
    <n v="1"/>
    <s v="5-10 Miles"/>
    <s v="North America"/>
    <s v="mature adult "/>
    <n v="49"/>
    <x v="1"/>
  </r>
  <r>
    <n v="16895"/>
    <s v="Married"/>
    <s v="Female"/>
    <n v="40000"/>
    <n v="3"/>
    <x v="1"/>
    <s v="Professional"/>
    <s v="No"/>
    <n v="2"/>
    <s v="1-2 Miles"/>
    <s v="North America"/>
    <s v="mature adult "/>
    <n v="54"/>
    <x v="1"/>
  </r>
  <r>
    <n v="26728"/>
    <s v="Single"/>
    <s v="Male"/>
    <n v="70000"/>
    <n v="3"/>
    <x v="4"/>
    <s v="Management"/>
    <s v="No"/>
    <n v="2"/>
    <s v="1-2 Miles"/>
    <s v="North America"/>
    <s v="mature adult "/>
    <n v="53"/>
    <x v="1"/>
  </r>
  <r>
    <n v="11090"/>
    <s v="Single"/>
    <s v="Male"/>
    <n v="90000"/>
    <n v="2"/>
    <x v="1"/>
    <s v="Professional"/>
    <s v="Yes"/>
    <n v="1"/>
    <s v="2-5 Miles"/>
    <s v="North America"/>
    <s v="mature adult "/>
    <n v="48"/>
    <x v="1"/>
  </r>
  <r>
    <n v="15862"/>
    <s v="Single"/>
    <s v="Female"/>
    <n v="50000"/>
    <n v="0"/>
    <x v="4"/>
    <s v="Skilled Manual"/>
    <s v="Yes"/>
    <n v="0"/>
    <s v="1-2 Miles"/>
    <s v="North America"/>
    <s v="adults"/>
    <n v="33"/>
    <x v="1"/>
  </r>
  <r>
    <n v="26495"/>
    <s v="Single"/>
    <s v="Female"/>
    <n v="40000"/>
    <n v="2"/>
    <x v="2"/>
    <s v="Professional"/>
    <s v="Yes"/>
    <n v="2"/>
    <s v="more than 10 Miles"/>
    <s v="North America"/>
    <s v="middle age"/>
    <n v="57"/>
    <x v="0"/>
  </r>
  <r>
    <n v="11823"/>
    <s v="Married"/>
    <s v="Female"/>
    <n v="70000"/>
    <n v="0"/>
    <x v="4"/>
    <s v="Professional"/>
    <s v="Yes"/>
    <n v="0"/>
    <s v="2-5 Miles"/>
    <s v="North America"/>
    <s v="adults"/>
    <n v="39"/>
    <x v="0"/>
  </r>
  <r>
    <n v="23449"/>
    <s v="Married"/>
    <s v="Male"/>
    <n v="60000"/>
    <n v="2"/>
    <x v="2"/>
    <s v="Professional"/>
    <s v="Yes"/>
    <n v="2"/>
    <s v="5-10 Miles"/>
    <s v="North America"/>
    <s v="mature adult "/>
    <n v="48"/>
    <x v="0"/>
  </r>
  <r>
    <n v="23459"/>
    <s v="Married"/>
    <s v="Male"/>
    <n v="60000"/>
    <n v="2"/>
    <x v="2"/>
    <s v="Professional"/>
    <s v="Yes"/>
    <n v="2"/>
    <s v="5-10 Miles"/>
    <s v="North America"/>
    <s v="mature adult "/>
    <n v="50"/>
    <x v="0"/>
  </r>
  <r>
    <n v="19543"/>
    <s v="Married"/>
    <s v="Male"/>
    <n v="70000"/>
    <n v="5"/>
    <x v="4"/>
    <s v="Professional"/>
    <s v="No"/>
    <n v="3"/>
    <s v="more than 10 Miles"/>
    <s v="North America"/>
    <s v="mature adult "/>
    <n v="47"/>
    <x v="0"/>
  </r>
  <r>
    <n v="14914"/>
    <s v="Married"/>
    <s v="Female"/>
    <n v="40000"/>
    <n v="1"/>
    <x v="1"/>
    <s v="Clerical"/>
    <s v="Yes"/>
    <n v="1"/>
    <s v="1-2 Miles"/>
    <s v="North America"/>
    <s v="mature adult "/>
    <n v="49"/>
    <x v="1"/>
  </r>
  <r>
    <n v="12033"/>
    <s v="Single"/>
    <s v="Female"/>
    <n v="40000"/>
    <n v="0"/>
    <x v="2"/>
    <s v="Skilled Manual"/>
    <s v="No"/>
    <n v="2"/>
    <s v="0-1 Miles"/>
    <s v="North America"/>
    <s v="young adults"/>
    <n v="27"/>
    <x v="1"/>
  </r>
  <r>
    <n v="11941"/>
    <s v="Single"/>
    <s v="Male"/>
    <n v="60000"/>
    <n v="0"/>
    <x v="1"/>
    <s v="Skilled Manual"/>
    <s v="Yes"/>
    <n v="0"/>
    <s v="5-10 Miles"/>
    <s v="North America"/>
    <s v="young adults"/>
    <n v="29"/>
    <x v="0"/>
  </r>
  <r>
    <n v="14389"/>
    <s v="Married"/>
    <s v="Male"/>
    <n v="60000"/>
    <n v="2"/>
    <x v="0"/>
    <s v="Management"/>
    <s v="Yes"/>
    <n v="0"/>
    <s v="2-5 Miles"/>
    <s v="North America"/>
    <s v="middle age"/>
    <n v="59"/>
    <x v="0"/>
  </r>
  <r>
    <n v="18050"/>
    <s v="Married"/>
    <s v="Female"/>
    <n v="60000"/>
    <n v="1"/>
    <x v="1"/>
    <s v="Skilled Manual"/>
    <s v="Yes"/>
    <n v="1"/>
    <s v="0-1 Miles"/>
    <s v="North America"/>
    <s v="mature adult "/>
    <n v="45"/>
    <x v="1"/>
  </r>
  <r>
    <n v="19856"/>
    <s v="Married"/>
    <s v="Female"/>
    <n v="60000"/>
    <n v="4"/>
    <x v="0"/>
    <s v="Management"/>
    <s v="Yes"/>
    <n v="2"/>
    <s v="2-5 Miles"/>
    <s v="North America"/>
    <s v="middle age"/>
    <n v="60"/>
    <x v="0"/>
  </r>
  <r>
    <n v="11663"/>
    <s v="Married"/>
    <s v="Male"/>
    <n v="70000"/>
    <n v="4"/>
    <x v="4"/>
    <s v="Professional"/>
    <s v="Yes"/>
    <n v="0"/>
    <s v="0-1 Miles"/>
    <s v="North America"/>
    <s v="adults"/>
    <n v="36"/>
    <x v="1"/>
  </r>
  <r>
    <n v="27740"/>
    <s v="Married"/>
    <s v="Female"/>
    <n v="40000"/>
    <n v="0"/>
    <x v="2"/>
    <s v="Skilled Manual"/>
    <s v="Yes"/>
    <n v="2"/>
    <s v="5-10 Miles"/>
    <s v="North America"/>
    <s v="young adults"/>
    <n v="27"/>
    <x v="0"/>
  </r>
  <r>
    <n v="23455"/>
    <s v="Single"/>
    <s v="Male"/>
    <n v="80000"/>
    <n v="2"/>
    <x v="3"/>
    <s v="Skilled Manual"/>
    <s v="No"/>
    <n v="2"/>
    <s v="1-2 Miles"/>
    <s v="North America"/>
    <s v="mature adult "/>
    <n v="50"/>
    <x v="0"/>
  </r>
  <r>
    <n v="15292"/>
    <s v="Single"/>
    <s v="Female"/>
    <n v="60000"/>
    <n v="1"/>
    <x v="4"/>
    <s v="Skilled Manual"/>
    <s v="Yes"/>
    <n v="0"/>
    <s v="1-2 Miles"/>
    <s v="North America"/>
    <s v="adults"/>
    <n v="35"/>
    <x v="0"/>
  </r>
  <r>
    <n v="21587"/>
    <s v="Married"/>
    <s v="Female"/>
    <n v="60000"/>
    <n v="1"/>
    <x v="4"/>
    <s v="Skilled Manual"/>
    <s v="Yes"/>
    <n v="0"/>
    <s v="2-5 Miles"/>
    <s v="North America"/>
    <s v="adults"/>
    <n v="34"/>
    <x v="1"/>
  </r>
  <r>
    <n v="23513"/>
    <s v="Married"/>
    <s v="Female"/>
    <n v="40000"/>
    <n v="3"/>
    <x v="1"/>
    <s v="Professional"/>
    <s v="Yes"/>
    <n v="2"/>
    <s v="5-10 Miles"/>
    <s v="North America"/>
    <s v="mature adult "/>
    <n v="54"/>
    <x v="0"/>
  </r>
  <r>
    <n v="24322"/>
    <s v="Married"/>
    <s v="Female"/>
    <n v="60000"/>
    <n v="4"/>
    <x v="0"/>
    <s v="Skilled Manual"/>
    <s v="No"/>
    <n v="2"/>
    <s v="0-1 Miles"/>
    <s v="North America"/>
    <s v="mature adult "/>
    <n v="42"/>
    <x v="0"/>
  </r>
  <r>
    <n v="26298"/>
    <s v="Married"/>
    <s v="Female"/>
    <n v="50000"/>
    <n v="1"/>
    <x v="0"/>
    <s v="Skilled Manual"/>
    <s v="Yes"/>
    <n v="0"/>
    <s v="2-5 Miles"/>
    <s v="North America"/>
    <s v="adults"/>
    <n v="34"/>
    <x v="1"/>
  </r>
  <r>
    <n v="25419"/>
    <s v="Single"/>
    <s v="Male"/>
    <n v="50000"/>
    <n v="2"/>
    <x v="0"/>
    <s v="Skilled Manual"/>
    <s v="No"/>
    <n v="1"/>
    <s v="0-1 Miles"/>
    <s v="North America"/>
    <s v="adults"/>
    <n v="38"/>
    <x v="1"/>
  </r>
  <r>
    <n v="13343"/>
    <s v="Married"/>
    <s v="Female"/>
    <n v="90000"/>
    <n v="5"/>
    <x v="0"/>
    <s v="Management"/>
    <s v="Yes"/>
    <n v="2"/>
    <s v="1-2 Miles"/>
    <s v="North America"/>
    <s v="middle age"/>
    <n v="63"/>
    <x v="1"/>
  </r>
  <r>
    <n v="11303"/>
    <s v="Single"/>
    <s v="Female"/>
    <n v="90000"/>
    <n v="4"/>
    <x v="2"/>
    <s v="Professional"/>
    <s v="No"/>
    <n v="3"/>
    <s v="1-2 Miles"/>
    <s v="North America"/>
    <s v="mature adult "/>
    <n v="45"/>
    <x v="1"/>
  </r>
  <r>
    <n v="21693"/>
    <s v="Single"/>
    <s v="Female"/>
    <n v="60000"/>
    <n v="0"/>
    <x v="4"/>
    <s v="Skilled Manual"/>
    <s v="No"/>
    <n v="0"/>
    <s v="0-1 Miles"/>
    <s v="North America"/>
    <s v="mature adult "/>
    <n v="40"/>
    <x v="0"/>
  </r>
  <r>
    <n v="28056"/>
    <s v="Married"/>
    <s v="Male"/>
    <n v="70000"/>
    <n v="2"/>
    <x v="3"/>
    <s v="Skilled Manual"/>
    <s v="Yes"/>
    <n v="2"/>
    <s v="more than 10 Miles"/>
    <s v="North America"/>
    <s v="mature adult "/>
    <n v="53"/>
    <x v="0"/>
  </r>
  <r>
    <n v="11788"/>
    <s v="Single"/>
    <s v="Female"/>
    <n v="70000"/>
    <n v="1"/>
    <x v="4"/>
    <s v="Professional"/>
    <s v="Yes"/>
    <n v="0"/>
    <s v="2-5 Miles"/>
    <s v="North America"/>
    <s v="adults"/>
    <n v="34"/>
    <x v="0"/>
  </r>
  <r>
    <n v="22296"/>
    <s v="Married"/>
    <s v="Male"/>
    <n v="70000"/>
    <n v="0"/>
    <x v="0"/>
    <s v="Professional"/>
    <s v="No"/>
    <n v="1"/>
    <s v="0-1 Miles"/>
    <s v="North America"/>
    <s v="adults"/>
    <n v="38"/>
    <x v="0"/>
  </r>
  <r>
    <n v="15319"/>
    <s v="Married"/>
    <s v="Female"/>
    <n v="70000"/>
    <n v="4"/>
    <x v="0"/>
    <s v="Management"/>
    <s v="No"/>
    <n v="1"/>
    <s v="1-2 Miles"/>
    <s v="North America"/>
    <s v="middle age"/>
    <n v="59"/>
    <x v="0"/>
  </r>
  <r>
    <n v="17654"/>
    <s v="Single"/>
    <s v="Female"/>
    <n v="40000"/>
    <n v="3"/>
    <x v="1"/>
    <s v="Clerical"/>
    <s v="Yes"/>
    <n v="1"/>
    <s v="1-2 Miles"/>
    <s v="North America"/>
    <s v="adults"/>
    <n v="30"/>
    <x v="1"/>
  </r>
  <r>
    <n v="14662"/>
    <s v="Married"/>
    <s v="Male"/>
    <n v="60000"/>
    <n v="1"/>
    <x v="0"/>
    <s v="Professional"/>
    <s v="Yes"/>
    <n v="1"/>
    <s v="0-1 Miles"/>
    <s v="North America"/>
    <s v="mature adult "/>
    <n v="48"/>
    <x v="1"/>
  </r>
  <r>
    <n v="17541"/>
    <s v="Married"/>
    <s v="Female"/>
    <n v="40000"/>
    <n v="4"/>
    <x v="2"/>
    <s v="Skilled Manual"/>
    <s v="Yes"/>
    <n v="2"/>
    <s v="2-5 Miles"/>
    <s v="North America"/>
    <s v="mature adult "/>
    <n v="43"/>
    <x v="0"/>
  </r>
  <r>
    <n v="13886"/>
    <s v="Married"/>
    <s v="Female"/>
    <n v="70000"/>
    <n v="4"/>
    <x v="4"/>
    <s v="Professional"/>
    <s v="Yes"/>
    <n v="0"/>
    <s v="2-5 Miles"/>
    <s v="North America"/>
    <s v="adults"/>
    <n v="35"/>
    <x v="1"/>
  </r>
  <r>
    <n v="13073"/>
    <s v="Married"/>
    <s v="Female"/>
    <n v="60000"/>
    <n v="0"/>
    <x v="1"/>
    <s v="Professional"/>
    <s v="Yes"/>
    <n v="2"/>
    <s v="5-10 Miles"/>
    <s v="North America"/>
    <s v="adults"/>
    <n v="30"/>
    <x v="0"/>
  </r>
  <r>
    <n v="21940"/>
    <s v="Married"/>
    <s v="Male"/>
    <n v="90000"/>
    <n v="5"/>
    <x v="4"/>
    <s v="Professional"/>
    <s v="Yes"/>
    <n v="0"/>
    <s v="0-1 Miles"/>
    <s v="North America"/>
    <s v="mature adult "/>
    <n v="47"/>
    <x v="1"/>
  </r>
  <r>
    <n v="20196"/>
    <s v="Married"/>
    <s v="Male"/>
    <n v="60000"/>
    <n v="1"/>
    <x v="1"/>
    <s v="Skilled Manual"/>
    <s v="Yes"/>
    <n v="1"/>
    <s v="2-5 Miles"/>
    <s v="North America"/>
    <s v="mature adult "/>
    <n v="45"/>
    <x v="1"/>
  </r>
  <r>
    <n v="23491"/>
    <s v="Single"/>
    <s v="Male"/>
    <n v="100000"/>
    <n v="0"/>
    <x v="1"/>
    <s v="Professional"/>
    <s v="No"/>
    <n v="4"/>
    <s v="1-2 Miles"/>
    <s v="North America"/>
    <s v="mature adult "/>
    <n v="45"/>
    <x v="0"/>
  </r>
  <r>
    <n v="16651"/>
    <s v="Married"/>
    <s v="Female"/>
    <n v="120000"/>
    <n v="2"/>
    <x v="0"/>
    <s v="Management"/>
    <s v="Yes"/>
    <n v="3"/>
    <s v="5-10 Miles"/>
    <s v="North America"/>
    <s v="middle age"/>
    <n v="62"/>
    <x v="0"/>
  </r>
  <r>
    <n v="16813"/>
    <s v="Married"/>
    <s v="Male"/>
    <n v="60000"/>
    <n v="2"/>
    <x v="1"/>
    <s v="Professional"/>
    <s v="Yes"/>
    <n v="2"/>
    <s v="more than 10 Miles"/>
    <s v="North America"/>
    <s v="middle age"/>
    <n v="55"/>
    <x v="0"/>
  </r>
  <r>
    <n v="16007"/>
    <s v="Married"/>
    <s v="Female"/>
    <n v="90000"/>
    <n v="5"/>
    <x v="0"/>
    <s v="Management"/>
    <s v="Yes"/>
    <n v="2"/>
    <s v="1-2 Miles"/>
    <s v="North America"/>
    <s v="middle age"/>
    <n v="66"/>
    <x v="1"/>
  </r>
  <r>
    <n v="27434"/>
    <s v="Single"/>
    <s v="Male"/>
    <n v="70000"/>
    <n v="4"/>
    <x v="1"/>
    <s v="Professional"/>
    <s v="Yes"/>
    <n v="1"/>
    <s v="more than 10 Miles"/>
    <s v="North America"/>
    <s v="middle age"/>
    <n v="56"/>
    <x v="0"/>
  </r>
  <r>
    <n v="27756"/>
    <s v="Single"/>
    <s v="Female"/>
    <n v="50000"/>
    <n v="3"/>
    <x v="0"/>
    <s v="Skilled Manual"/>
    <s v="No"/>
    <n v="1"/>
    <s v="0-1 Miles"/>
    <s v="North America"/>
    <s v="mature adult "/>
    <n v="40"/>
    <x v="0"/>
  </r>
  <r>
    <n v="23818"/>
    <s v="Married"/>
    <s v="Female"/>
    <n v="50000"/>
    <n v="0"/>
    <x v="4"/>
    <s v="Skilled Manual"/>
    <s v="Yes"/>
    <n v="0"/>
    <s v="1-2 Miles"/>
    <s v="North America"/>
    <s v="adults"/>
    <n v="33"/>
    <x v="1"/>
  </r>
  <r>
    <n v="19012"/>
    <s v="Married"/>
    <s v="Male"/>
    <n v="80000"/>
    <n v="3"/>
    <x v="0"/>
    <s v="Management"/>
    <s v="Yes"/>
    <n v="1"/>
    <s v="1-2 Miles"/>
    <s v="North America"/>
    <s v="middle age"/>
    <n v="56"/>
    <x v="0"/>
  </r>
  <r>
    <n v="18329"/>
    <s v="Single"/>
    <s v="Male"/>
    <n v="30000"/>
    <n v="0"/>
    <x v="3"/>
    <s v="Clerical"/>
    <s v="No"/>
    <n v="2"/>
    <s v="5-10 Miles"/>
    <s v="North America"/>
    <s v="young adults"/>
    <n v="27"/>
    <x v="0"/>
  </r>
  <r>
    <n v="29037"/>
    <s v="Married"/>
    <s v="Male"/>
    <n v="60000"/>
    <n v="0"/>
    <x v="4"/>
    <s v="Professional"/>
    <s v="No"/>
    <n v="0"/>
    <s v="0-1 Miles"/>
    <s v="North America"/>
    <s v="adults"/>
    <n v="39"/>
    <x v="0"/>
  </r>
  <r>
    <n v="26576"/>
    <s v="Married"/>
    <s v="Female"/>
    <n v="60000"/>
    <n v="0"/>
    <x v="1"/>
    <s v="Skilled Manual"/>
    <s v="Yes"/>
    <n v="2"/>
    <s v="5-10 Miles"/>
    <s v="North America"/>
    <s v="adults"/>
    <n v="31"/>
    <x v="0"/>
  </r>
  <r>
    <n v="12192"/>
    <s v="Single"/>
    <s v="Female"/>
    <n v="60000"/>
    <n v="2"/>
    <x v="3"/>
    <s v="Skilled Manual"/>
    <s v="No"/>
    <n v="2"/>
    <s v="1-2 Miles"/>
    <s v="North America"/>
    <s v="mature adult "/>
    <n v="51"/>
    <x v="0"/>
  </r>
  <r>
    <n v="14887"/>
    <s v="Married"/>
    <s v="Female"/>
    <n v="30000"/>
    <n v="1"/>
    <x v="2"/>
    <s v="Clerical"/>
    <s v="Yes"/>
    <n v="1"/>
    <s v="5-10 Miles"/>
    <s v="North America"/>
    <s v="mature adult "/>
    <n v="52"/>
    <x v="0"/>
  </r>
  <r>
    <n v="11734"/>
    <s v="Married"/>
    <s v="Male"/>
    <n v="60000"/>
    <n v="1"/>
    <x v="1"/>
    <s v="Skilled Manual"/>
    <s v="No"/>
    <n v="1"/>
    <s v="0-1 Miles"/>
    <s v="North America"/>
    <s v="mature adult "/>
    <n v="47"/>
    <x v="0"/>
  </r>
  <r>
    <n v="17462"/>
    <s v="Married"/>
    <s v="Male"/>
    <n v="70000"/>
    <n v="3"/>
    <x v="4"/>
    <s v="Management"/>
    <s v="Yes"/>
    <n v="2"/>
    <s v="5-10 Miles"/>
    <s v="North America"/>
    <s v="mature adult "/>
    <n v="53"/>
    <x v="1"/>
  </r>
  <r>
    <n v="20659"/>
    <s v="Married"/>
    <s v="Male"/>
    <n v="70000"/>
    <n v="3"/>
    <x v="4"/>
    <s v="Professional"/>
    <s v="Yes"/>
    <n v="0"/>
    <s v="0-1 Miles"/>
    <s v="North America"/>
    <s v="adults"/>
    <n v="35"/>
    <x v="1"/>
  </r>
  <r>
    <n v="28004"/>
    <s v="Married"/>
    <s v="Female"/>
    <n v="60000"/>
    <n v="3"/>
    <x v="0"/>
    <s v="Management"/>
    <s v="Yes"/>
    <n v="2"/>
    <s v="more than 10 Miles"/>
    <s v="North America"/>
    <s v="middle age"/>
    <n v="66"/>
    <x v="0"/>
  </r>
  <r>
    <n v="19741"/>
    <s v="Single"/>
    <s v="Female"/>
    <n v="80000"/>
    <n v="4"/>
    <x v="4"/>
    <s v="Management"/>
    <s v="Yes"/>
    <n v="2"/>
    <s v="5-10 Miles"/>
    <s v="North America"/>
    <s v="middle age"/>
    <n v="65"/>
    <x v="0"/>
  </r>
  <r>
    <n v="17450"/>
    <s v="Married"/>
    <s v="Male"/>
    <n v="80000"/>
    <n v="5"/>
    <x v="1"/>
    <s v="Professional"/>
    <s v="Yes"/>
    <n v="3"/>
    <s v="5-10 Miles"/>
    <s v="North America"/>
    <s v="mature adult "/>
    <n v="45"/>
    <x v="0"/>
  </r>
  <r>
    <n v="17337"/>
    <s v="Single"/>
    <s v="Male"/>
    <n v="40000"/>
    <n v="0"/>
    <x v="2"/>
    <s v="Skilled Manual"/>
    <s v="Yes"/>
    <n v="1"/>
    <s v="5-10 Miles"/>
    <s v="North America"/>
    <s v="adults"/>
    <n v="31"/>
    <x v="0"/>
  </r>
  <r>
    <n v="18594"/>
    <s v="Single"/>
    <s v="Female"/>
    <n v="80000"/>
    <n v="3"/>
    <x v="0"/>
    <s v="Skilled Manual"/>
    <s v="Yes"/>
    <n v="3"/>
    <s v="more than 10 Miles"/>
    <s v="North America"/>
    <s v="mature adult "/>
    <n v="40"/>
    <x v="1"/>
  </r>
  <r>
    <n v="15982"/>
    <s v="Married"/>
    <s v="Male"/>
    <n v="110000"/>
    <n v="5"/>
    <x v="1"/>
    <s v="Professional"/>
    <s v="Yes"/>
    <n v="4"/>
    <s v="2-5 Miles"/>
    <s v="North America"/>
    <s v="mature adult "/>
    <n v="46"/>
    <x v="0"/>
  </r>
  <r>
    <n v="28625"/>
    <s v="Single"/>
    <s v="Male"/>
    <n v="40000"/>
    <n v="2"/>
    <x v="1"/>
    <s v="Clerical"/>
    <s v="No"/>
    <n v="1"/>
    <s v="1-2 Miles"/>
    <s v="North America"/>
    <s v="mature adult "/>
    <n v="47"/>
    <x v="1"/>
  </r>
  <r>
    <n v="11269"/>
    <s v="Married"/>
    <s v="Male"/>
    <n v="130000"/>
    <n v="2"/>
    <x v="4"/>
    <s v="Management"/>
    <s v="Yes"/>
    <n v="2"/>
    <s v="0-1 Miles"/>
    <s v="North America"/>
    <s v="mature adult "/>
    <n v="41"/>
    <x v="0"/>
  </r>
  <r>
    <n v="25148"/>
    <s v="Married"/>
    <s v="Male"/>
    <n v="60000"/>
    <n v="2"/>
    <x v="2"/>
    <s v="Professional"/>
    <s v="No"/>
    <n v="2"/>
    <s v="1-2 Miles"/>
    <s v="North America"/>
    <s v="mature adult "/>
    <n v="48"/>
    <x v="1"/>
  </r>
  <r>
    <n v="13920"/>
    <s v="Single"/>
    <s v="Female"/>
    <n v="50000"/>
    <n v="4"/>
    <x v="0"/>
    <s v="Skilled Manual"/>
    <s v="Yes"/>
    <n v="2"/>
    <s v="0-1 Miles"/>
    <s v="North America"/>
    <s v="mature adult "/>
    <n v="42"/>
    <x v="0"/>
  </r>
  <r>
    <n v="23704"/>
    <s v="Single"/>
    <s v="Male"/>
    <n v="40000"/>
    <n v="5"/>
    <x v="2"/>
    <s v="Professional"/>
    <s v="Yes"/>
    <n v="4"/>
    <s v="more than 10 Miles"/>
    <s v="North America"/>
    <s v="middle age"/>
    <n v="60"/>
    <x v="1"/>
  </r>
  <r>
    <n v="28972"/>
    <s v="Single"/>
    <s v="Female"/>
    <n v="60000"/>
    <n v="3"/>
    <x v="4"/>
    <s v="Management"/>
    <s v="Yes"/>
    <n v="2"/>
    <s v="more than 10 Miles"/>
    <s v="North America"/>
    <s v="middle age"/>
    <n v="66"/>
    <x v="0"/>
  </r>
  <r>
    <n v="22730"/>
    <s v="Married"/>
    <s v="Male"/>
    <n v="70000"/>
    <n v="5"/>
    <x v="0"/>
    <s v="Management"/>
    <s v="Yes"/>
    <n v="2"/>
    <s v="more than 10 Miles"/>
    <s v="North America"/>
    <s v="middle age"/>
    <n v="63"/>
    <x v="0"/>
  </r>
  <r>
    <n v="29134"/>
    <s v="Married"/>
    <s v="Male"/>
    <n v="60000"/>
    <n v="4"/>
    <x v="0"/>
    <s v="Skilled Manual"/>
    <s v="No"/>
    <n v="3"/>
    <s v="more than 10 Miles"/>
    <s v="North America"/>
    <s v="mature adult "/>
    <n v="42"/>
    <x v="0"/>
  </r>
  <r>
    <n v="14332"/>
    <s v="Single"/>
    <s v="Female"/>
    <n v="30000"/>
    <n v="0"/>
    <x v="2"/>
    <s v="Skilled Manual"/>
    <s v="No"/>
    <n v="2"/>
    <s v="5-10 Miles"/>
    <s v="North America"/>
    <s v="young adults"/>
    <n v="26"/>
    <x v="0"/>
  </r>
  <r>
    <n v="19117"/>
    <s v="Single"/>
    <s v="Female"/>
    <n v="60000"/>
    <n v="1"/>
    <x v="4"/>
    <s v="Professional"/>
    <s v="Yes"/>
    <n v="0"/>
    <s v="2-5 Miles"/>
    <s v="North America"/>
    <s v="adults"/>
    <n v="36"/>
    <x v="1"/>
  </r>
  <r>
    <n v="22864"/>
    <s v="Married"/>
    <s v="Male"/>
    <n v="90000"/>
    <n v="2"/>
    <x v="1"/>
    <s v="Professional"/>
    <s v="No"/>
    <n v="0"/>
    <s v="5-10 Miles"/>
    <s v="North America"/>
    <s v="mature adult "/>
    <n v="49"/>
    <x v="1"/>
  </r>
  <r>
    <n v="11292"/>
    <s v="Single"/>
    <s v="Male"/>
    <n v="150000"/>
    <n v="1"/>
    <x v="1"/>
    <s v="Professional"/>
    <s v="No"/>
    <n v="3"/>
    <s v="0-1 Miles"/>
    <s v="North America"/>
    <s v="mature adult "/>
    <n v="44"/>
    <x v="1"/>
  </r>
  <r>
    <n v="13466"/>
    <s v="Married"/>
    <s v="Male"/>
    <n v="80000"/>
    <n v="5"/>
    <x v="1"/>
    <s v="Professional"/>
    <s v="Yes"/>
    <n v="3"/>
    <s v="1-2 Miles"/>
    <s v="North America"/>
    <s v="mature adult "/>
    <n v="46"/>
    <x v="0"/>
  </r>
  <r>
    <n v="23731"/>
    <s v="Married"/>
    <s v="Male"/>
    <n v="60000"/>
    <n v="2"/>
    <x v="2"/>
    <s v="Professional"/>
    <s v="Yes"/>
    <n v="2"/>
    <s v="2-5 Miles"/>
    <s v="North America"/>
    <s v="mature adult "/>
    <n v="54"/>
    <x v="1"/>
  </r>
  <r>
    <n v="28672"/>
    <s v="Single"/>
    <s v="Male"/>
    <n v="70000"/>
    <n v="4"/>
    <x v="4"/>
    <s v="Professional"/>
    <s v="Yes"/>
    <n v="0"/>
    <s v="2-5 Miles"/>
    <s v="North America"/>
    <s v="adults"/>
    <n v="35"/>
    <x v="1"/>
  </r>
  <r>
    <n v="11809"/>
    <s v="Married"/>
    <s v="Male"/>
    <n v="60000"/>
    <n v="2"/>
    <x v="0"/>
    <s v="Skilled Manual"/>
    <s v="Yes"/>
    <n v="0"/>
    <s v="0-1 Miles"/>
    <s v="North America"/>
    <s v="adults"/>
    <n v="38"/>
    <x v="1"/>
  </r>
  <r>
    <n v="19664"/>
    <s v="Single"/>
    <s v="Male"/>
    <n v="100000"/>
    <n v="3"/>
    <x v="0"/>
    <s v="Management"/>
    <s v="No"/>
    <n v="3"/>
    <s v="1-2 Miles"/>
    <s v="North America"/>
    <s v="adults"/>
    <n v="38"/>
    <x v="0"/>
  </r>
  <r>
    <n v="12121"/>
    <s v="Single"/>
    <s v="Male"/>
    <n v="60000"/>
    <n v="3"/>
    <x v="2"/>
    <s v="Professional"/>
    <s v="Yes"/>
    <n v="2"/>
    <s v="more than 10 Miles"/>
    <s v="North America"/>
    <s v="mature adult "/>
    <n v="53"/>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65829B0-9D12-473E-A03C-CF70FA90418C}" name="PivotTable7" cacheId="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98:D105" firstHeaderRow="1" firstDataRow="2" firstDataCol="1"/>
  <pivotFields count="14">
    <pivotField showAll="0"/>
    <pivotField showAll="0"/>
    <pivotField showAll="0"/>
    <pivotField numFmtId="1" showAll="0"/>
    <pivotField showAll="0"/>
    <pivotField axis="axisRow" showAll="0">
      <items count="6">
        <item x="0"/>
        <item x="4"/>
        <item x="2"/>
        <item x="1"/>
        <item x="3"/>
        <item t="default"/>
      </items>
    </pivotField>
    <pivotField showAll="0"/>
    <pivotField showAll="0"/>
    <pivotField showAll="0"/>
    <pivotField showAll="0"/>
    <pivotField showAll="0"/>
    <pivotField showAll="0"/>
    <pivotField showAll="0"/>
    <pivotField axis="axisCol" dataField="1" showAll="0">
      <items count="3">
        <item x="0"/>
        <item x="1"/>
        <item t="default"/>
      </items>
    </pivotField>
  </pivotFields>
  <rowFields count="1">
    <field x="5"/>
  </rowFields>
  <rowItems count="6">
    <i>
      <x/>
    </i>
    <i>
      <x v="1"/>
    </i>
    <i>
      <x v="2"/>
    </i>
    <i>
      <x v="3"/>
    </i>
    <i>
      <x v="4"/>
    </i>
    <i t="grand">
      <x/>
    </i>
  </rowItems>
  <colFields count="1">
    <field x="13"/>
  </colFields>
  <colItems count="3">
    <i>
      <x/>
    </i>
    <i>
      <x v="1"/>
    </i>
    <i t="grand">
      <x/>
    </i>
  </colItems>
  <dataFields count="1">
    <dataField name="Count of Purchased Bike" fld="13" subtotal="count" baseField="0" baseItem="0"/>
  </dataFields>
  <chartFormats count="24">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0" format="2">
      <pivotArea type="data" outline="0" fieldPosition="0">
        <references count="3">
          <reference field="4294967294" count="1" selected="0">
            <x v="0"/>
          </reference>
          <reference field="5" count="1" selected="0">
            <x v="1"/>
          </reference>
          <reference field="13" count="1" selected="0">
            <x v="0"/>
          </reference>
        </references>
      </pivotArea>
    </chartFormat>
    <chartFormat chart="0" format="3">
      <pivotArea type="data" outline="0" fieldPosition="0">
        <references count="3">
          <reference field="4294967294" count="1" selected="0">
            <x v="0"/>
          </reference>
          <reference field="5" count="1" selected="0">
            <x v="0"/>
          </reference>
          <reference field="13" count="1" selected="0">
            <x v="0"/>
          </reference>
        </references>
      </pivotArea>
    </chartFormat>
    <chartFormat chart="0" format="4">
      <pivotArea type="data" outline="0" fieldPosition="0">
        <references count="3">
          <reference field="4294967294" count="1" selected="0">
            <x v="0"/>
          </reference>
          <reference field="5" count="1" selected="0">
            <x v="2"/>
          </reference>
          <reference field="13" count="1" selected="0">
            <x v="1"/>
          </reference>
        </references>
      </pivotArea>
    </chartFormat>
    <chartFormat chart="0" format="5">
      <pivotArea type="data" outline="0" fieldPosition="0">
        <references count="3">
          <reference field="4294967294" count="1" selected="0">
            <x v="0"/>
          </reference>
          <reference field="5" count="1" selected="0">
            <x v="3"/>
          </reference>
          <reference field="13" count="1" selected="0">
            <x v="1"/>
          </reference>
        </references>
      </pivotArea>
    </chartFormat>
    <chartFormat chart="6" format="6" series="1">
      <pivotArea type="data" outline="0" fieldPosition="0">
        <references count="2">
          <reference field="4294967294" count="1" selected="0">
            <x v="0"/>
          </reference>
          <reference field="13" count="1" selected="0">
            <x v="0"/>
          </reference>
        </references>
      </pivotArea>
    </chartFormat>
    <chartFormat chart="6" format="7">
      <pivotArea type="data" outline="0" fieldPosition="0">
        <references count="3">
          <reference field="4294967294" count="1" selected="0">
            <x v="0"/>
          </reference>
          <reference field="5" count="1" selected="0">
            <x v="0"/>
          </reference>
          <reference field="13" count="1" selected="0">
            <x v="0"/>
          </reference>
        </references>
      </pivotArea>
    </chartFormat>
    <chartFormat chart="6" format="8">
      <pivotArea type="data" outline="0" fieldPosition="0">
        <references count="3">
          <reference field="4294967294" count="1" selected="0">
            <x v="0"/>
          </reference>
          <reference field="5" count="1" selected="0">
            <x v="1"/>
          </reference>
          <reference field="13" count="1" selected="0">
            <x v="0"/>
          </reference>
        </references>
      </pivotArea>
    </chartFormat>
    <chartFormat chart="6" format="9" series="1">
      <pivotArea type="data" outline="0" fieldPosition="0">
        <references count="2">
          <reference field="4294967294" count="1" selected="0">
            <x v="0"/>
          </reference>
          <reference field="13" count="1" selected="0">
            <x v="1"/>
          </reference>
        </references>
      </pivotArea>
    </chartFormat>
    <chartFormat chart="6" format="10">
      <pivotArea type="data" outline="0" fieldPosition="0">
        <references count="3">
          <reference field="4294967294" count="1" selected="0">
            <x v="0"/>
          </reference>
          <reference field="5" count="1" selected="0">
            <x v="2"/>
          </reference>
          <reference field="13" count="1" selected="0">
            <x v="1"/>
          </reference>
        </references>
      </pivotArea>
    </chartFormat>
    <chartFormat chart="6" format="11">
      <pivotArea type="data" outline="0" fieldPosition="0">
        <references count="3">
          <reference field="4294967294" count="1" selected="0">
            <x v="0"/>
          </reference>
          <reference field="5" count="1" selected="0">
            <x v="3"/>
          </reference>
          <reference field="13" count="1" selected="0">
            <x v="1"/>
          </reference>
        </references>
      </pivotArea>
    </chartFormat>
    <chartFormat chart="7" format="12" series="1">
      <pivotArea type="data" outline="0" fieldPosition="0">
        <references count="2">
          <reference field="4294967294" count="1" selected="0">
            <x v="0"/>
          </reference>
          <reference field="13" count="1" selected="0">
            <x v="0"/>
          </reference>
        </references>
      </pivotArea>
    </chartFormat>
    <chartFormat chart="7" format="13">
      <pivotArea type="data" outline="0" fieldPosition="0">
        <references count="3">
          <reference field="4294967294" count="1" selected="0">
            <x v="0"/>
          </reference>
          <reference field="5" count="1" selected="0">
            <x v="0"/>
          </reference>
          <reference field="13" count="1" selected="0">
            <x v="0"/>
          </reference>
        </references>
      </pivotArea>
    </chartFormat>
    <chartFormat chart="7" format="14">
      <pivotArea type="data" outline="0" fieldPosition="0">
        <references count="3">
          <reference field="4294967294" count="1" selected="0">
            <x v="0"/>
          </reference>
          <reference field="5" count="1" selected="0">
            <x v="1"/>
          </reference>
          <reference field="13" count="1" selected="0">
            <x v="0"/>
          </reference>
        </references>
      </pivotArea>
    </chartFormat>
    <chartFormat chart="7" format="15" series="1">
      <pivotArea type="data" outline="0" fieldPosition="0">
        <references count="2">
          <reference field="4294967294" count="1" selected="0">
            <x v="0"/>
          </reference>
          <reference field="13" count="1" selected="0">
            <x v="1"/>
          </reference>
        </references>
      </pivotArea>
    </chartFormat>
    <chartFormat chart="7" format="16">
      <pivotArea type="data" outline="0" fieldPosition="0">
        <references count="3">
          <reference field="4294967294" count="1" selected="0">
            <x v="0"/>
          </reference>
          <reference field="5" count="1" selected="0">
            <x v="2"/>
          </reference>
          <reference field="13" count="1" selected="0">
            <x v="1"/>
          </reference>
        </references>
      </pivotArea>
    </chartFormat>
    <chartFormat chart="7" format="17">
      <pivotArea type="data" outline="0" fieldPosition="0">
        <references count="3">
          <reference field="4294967294" count="1" selected="0">
            <x v="0"/>
          </reference>
          <reference field="5" count="1" selected="0">
            <x v="3"/>
          </reference>
          <reference field="13" count="1" selected="0">
            <x v="1"/>
          </reference>
        </references>
      </pivotArea>
    </chartFormat>
    <chartFormat chart="9" format="18" series="1">
      <pivotArea type="data" outline="0" fieldPosition="0">
        <references count="2">
          <reference field="4294967294" count="1" selected="0">
            <x v="0"/>
          </reference>
          <reference field="13" count="1" selected="0">
            <x v="0"/>
          </reference>
        </references>
      </pivotArea>
    </chartFormat>
    <chartFormat chart="9" format="19">
      <pivotArea type="data" outline="0" fieldPosition="0">
        <references count="3">
          <reference field="4294967294" count="1" selected="0">
            <x v="0"/>
          </reference>
          <reference field="5" count="1" selected="0">
            <x v="0"/>
          </reference>
          <reference field="13" count="1" selected="0">
            <x v="0"/>
          </reference>
        </references>
      </pivotArea>
    </chartFormat>
    <chartFormat chart="9" format="20">
      <pivotArea type="data" outline="0" fieldPosition="0">
        <references count="3">
          <reference field="4294967294" count="1" selected="0">
            <x v="0"/>
          </reference>
          <reference field="5" count="1" selected="0">
            <x v="1"/>
          </reference>
          <reference field="13" count="1" selected="0">
            <x v="0"/>
          </reference>
        </references>
      </pivotArea>
    </chartFormat>
    <chartFormat chart="9" format="21" series="1">
      <pivotArea type="data" outline="0" fieldPosition="0">
        <references count="2">
          <reference field="4294967294" count="1" selected="0">
            <x v="0"/>
          </reference>
          <reference field="13" count="1" selected="0">
            <x v="1"/>
          </reference>
        </references>
      </pivotArea>
    </chartFormat>
    <chartFormat chart="9" format="22">
      <pivotArea type="data" outline="0" fieldPosition="0">
        <references count="3">
          <reference field="4294967294" count="1" selected="0">
            <x v="0"/>
          </reference>
          <reference field="5" count="1" selected="0">
            <x v="2"/>
          </reference>
          <reference field="13" count="1" selected="0">
            <x v="1"/>
          </reference>
        </references>
      </pivotArea>
    </chartFormat>
    <chartFormat chart="9" format="23">
      <pivotArea type="data" outline="0" fieldPosition="0">
        <references count="3">
          <reference field="4294967294" count="1" selected="0">
            <x v="0"/>
          </reference>
          <reference field="5" count="1" selected="0">
            <x v="3"/>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133F085-2438-4072-A8D3-7963463C1757}" name="PivotTable5" cacheId="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G77:J81" firstHeaderRow="1" firstDataRow="2" firstDataCol="1"/>
  <pivotFields count="14">
    <pivotField showAll="0"/>
    <pivotField axis="axisCol" showAll="0">
      <items count="3">
        <item x="0"/>
        <item x="1"/>
        <item t="default"/>
      </items>
    </pivotField>
    <pivotField showAll="0">
      <items count="3">
        <item x="0"/>
        <item x="1"/>
        <item t="default"/>
      </items>
    </pivotField>
    <pivotField numFmtId="1" showAll="0"/>
    <pivotField showAll="0"/>
    <pivotField showAll="0">
      <items count="6">
        <item x="0"/>
        <item x="4"/>
        <item x="2"/>
        <item x="1"/>
        <item x="3"/>
        <item t="default"/>
      </items>
    </pivotField>
    <pivotField showAll="0"/>
    <pivotField showAll="0">
      <items count="3">
        <item x="1"/>
        <item x="0"/>
        <item t="default"/>
      </items>
    </pivotField>
    <pivotField showAll="0">
      <items count="6">
        <item x="0"/>
        <item x="1"/>
        <item x="2"/>
        <item x="4"/>
        <item x="3"/>
        <item t="default"/>
      </items>
    </pivotField>
    <pivotField showAll="0"/>
    <pivotField showAll="0">
      <items count="4">
        <item x="0"/>
        <item x="2"/>
        <item x="1"/>
        <item t="default"/>
      </items>
    </pivotField>
    <pivotField showAll="0">
      <items count="6">
        <item x="2"/>
        <item x="0"/>
        <item x="1"/>
        <item x="4"/>
        <item x="3"/>
        <item t="default"/>
      </items>
    </pivotField>
    <pivotField showAll="0"/>
    <pivotField axis="axisRow" dataField="1" showAll="0">
      <items count="3">
        <item x="0"/>
        <item x="1"/>
        <item t="default"/>
      </items>
    </pivotField>
  </pivotFields>
  <rowFields count="1">
    <field x="13"/>
  </rowFields>
  <rowItems count="3">
    <i>
      <x/>
    </i>
    <i>
      <x v="1"/>
    </i>
    <i t="grand">
      <x/>
    </i>
  </rowItems>
  <colFields count="1">
    <field x="1"/>
  </colFields>
  <colItems count="3">
    <i>
      <x/>
    </i>
    <i>
      <x v="1"/>
    </i>
    <i t="grand">
      <x/>
    </i>
  </colItems>
  <dataFields count="1">
    <dataField name="Count of Purchased Bike" fld="1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28C0DB-37D9-42C0-A20D-48448B079C19}" name="PivotTable3" cacheId="10" applyNumberFormats="0" applyBorderFormats="0" applyFontFormats="0" applyPatternFormats="0" applyAlignmentFormats="0" applyWidthHeightFormats="1" dataCaption="Values" updatedVersion="8" minRefreshableVersion="3" useAutoFormatting="1" itemPrintTitles="1" createdVersion="8" indent="0" showHeaders="0" outline="1" outlineData="1" multipleFieldFilters="0" chartFormat="75" rowHeaderCaption="age categories">
  <location ref="A3:D10" firstHeaderRow="1" firstDataRow="2" firstDataCol="1"/>
  <pivotFields count="14">
    <pivotField showAll="0"/>
    <pivotField showAll="0">
      <items count="3">
        <item x="0"/>
        <item x="1"/>
        <item t="default"/>
      </items>
    </pivotField>
    <pivotField axis="axisRow" showAll="0">
      <items count="3">
        <item x="0"/>
        <item x="1"/>
        <item t="default"/>
      </items>
    </pivotField>
    <pivotField numFmtId="1" showAll="0"/>
    <pivotField showAll="0"/>
    <pivotField showAll="0">
      <items count="6">
        <item x="0"/>
        <item x="4"/>
        <item x="2"/>
        <item x="1"/>
        <item x="3"/>
        <item t="default"/>
      </items>
    </pivotField>
    <pivotField showAll="0"/>
    <pivotField showAll="0">
      <items count="3">
        <item x="1"/>
        <item x="0"/>
        <item t="default"/>
      </items>
    </pivotField>
    <pivotField showAll="0">
      <items count="6">
        <item x="0"/>
        <item x="1"/>
        <item x="2"/>
        <item x="4"/>
        <item x="3"/>
        <item t="default"/>
      </items>
    </pivotField>
    <pivotField showAll="0">
      <items count="7">
        <item x="0"/>
        <item m="1" x="5"/>
        <item x="3"/>
        <item x="1"/>
        <item x="2"/>
        <item x="4"/>
        <item t="default"/>
      </items>
    </pivotField>
    <pivotField showAll="0">
      <items count="4">
        <item x="0"/>
        <item x="2"/>
        <item x="1"/>
        <item t="default"/>
      </items>
    </pivotField>
    <pivotField axis="axisRow" showAll="0">
      <items count="6">
        <item sd="0" x="2"/>
        <item sd="0" x="0"/>
        <item sd="0" x="1"/>
        <item sd="0" x="4"/>
        <item sd="0" x="3"/>
        <item t="default" sd="0"/>
      </items>
    </pivotField>
    <pivotField showAll="0"/>
    <pivotField axis="axisCol" dataField="1" showAll="0">
      <items count="3">
        <item x="0"/>
        <item x="1"/>
        <item t="default"/>
      </items>
    </pivotField>
  </pivotFields>
  <rowFields count="2">
    <field x="11"/>
    <field x="2"/>
  </rowFields>
  <rowItems count="6">
    <i>
      <x/>
    </i>
    <i>
      <x v="1"/>
    </i>
    <i>
      <x v="2"/>
    </i>
    <i>
      <x v="3"/>
    </i>
    <i>
      <x v="4"/>
    </i>
    <i t="grand">
      <x/>
    </i>
  </rowItems>
  <colFields count="1">
    <field x="13"/>
  </colFields>
  <colItems count="3">
    <i>
      <x/>
    </i>
    <i>
      <x v="1"/>
    </i>
    <i t="grand">
      <x/>
    </i>
  </colItems>
  <dataFields count="1">
    <dataField name="Count of Purchased Bike" fld="13" subtotal="count" baseField="11" baseItem="0"/>
  </dataFields>
  <formats count="15">
    <format dxfId="164">
      <pivotArea collapsedLevelsAreSubtotals="1" fieldPosition="0">
        <references count="2">
          <reference field="11" count="1">
            <x v="0"/>
          </reference>
          <reference field="13" count="1" selected="0">
            <x v="0"/>
          </reference>
        </references>
      </pivotArea>
    </format>
    <format dxfId="163">
      <pivotArea collapsedLevelsAreSubtotals="1" fieldPosition="0">
        <references count="2">
          <reference field="11" count="1">
            <x v="1"/>
          </reference>
          <reference field="13" count="1" selected="0">
            <x v="0"/>
          </reference>
        </references>
      </pivotArea>
    </format>
    <format dxfId="162">
      <pivotArea collapsedLevelsAreSubtotals="1" fieldPosition="0">
        <references count="2">
          <reference field="11" count="1">
            <x v="2"/>
          </reference>
          <reference field="13" count="1" selected="0">
            <x v="0"/>
          </reference>
        </references>
      </pivotArea>
    </format>
    <format dxfId="161">
      <pivotArea collapsedLevelsAreSubtotals="1" fieldPosition="0">
        <references count="2">
          <reference field="11" count="1">
            <x v="3"/>
          </reference>
          <reference field="13" count="1" selected="0">
            <x v="0"/>
          </reference>
        </references>
      </pivotArea>
    </format>
    <format dxfId="160">
      <pivotArea collapsedLevelsAreSubtotals="1" fieldPosition="0">
        <references count="2">
          <reference field="11" count="1">
            <x v="4"/>
          </reference>
          <reference field="13" count="1" selected="0">
            <x v="0"/>
          </reference>
        </references>
      </pivotArea>
    </format>
    <format dxfId="159">
      <pivotArea dataOnly="0" labelOnly="1" fieldPosition="0">
        <references count="1">
          <reference field="13" count="1">
            <x v="0"/>
          </reference>
        </references>
      </pivotArea>
    </format>
    <format dxfId="158">
      <pivotArea collapsedLevelsAreSubtotals="1" fieldPosition="0">
        <references count="2">
          <reference field="11" count="1">
            <x v="0"/>
          </reference>
          <reference field="13" count="1" selected="0">
            <x v="1"/>
          </reference>
        </references>
      </pivotArea>
    </format>
    <format dxfId="157">
      <pivotArea collapsedLevelsAreSubtotals="1" fieldPosition="0">
        <references count="2">
          <reference field="11" count="1">
            <x v="1"/>
          </reference>
          <reference field="13" count="1" selected="0">
            <x v="1"/>
          </reference>
        </references>
      </pivotArea>
    </format>
    <format dxfId="156">
      <pivotArea collapsedLevelsAreSubtotals="1" fieldPosition="0">
        <references count="2">
          <reference field="11" count="1">
            <x v="2"/>
          </reference>
          <reference field="13" count="1" selected="0">
            <x v="1"/>
          </reference>
        </references>
      </pivotArea>
    </format>
    <format dxfId="155">
      <pivotArea collapsedLevelsAreSubtotals="1" fieldPosition="0">
        <references count="2">
          <reference field="11" count="1">
            <x v="3"/>
          </reference>
          <reference field="13" count="1" selected="0">
            <x v="1"/>
          </reference>
        </references>
      </pivotArea>
    </format>
    <format dxfId="154">
      <pivotArea collapsedLevelsAreSubtotals="1" fieldPosition="0">
        <references count="2">
          <reference field="11" count="1">
            <x v="4"/>
          </reference>
          <reference field="13" count="1" selected="0">
            <x v="1"/>
          </reference>
        </references>
      </pivotArea>
    </format>
    <format dxfId="153">
      <pivotArea dataOnly="0" labelOnly="1" fieldPosition="0">
        <references count="1">
          <reference field="13" count="1">
            <x v="1"/>
          </reference>
        </references>
      </pivotArea>
    </format>
    <format dxfId="152">
      <pivotArea grandRow="1" outline="0" collapsedLevelsAreSubtotals="1" fieldPosition="0"/>
    </format>
    <format dxfId="151">
      <pivotArea dataOnly="0" labelOnly="1" grandRow="1" outline="0" fieldPosition="0"/>
    </format>
    <format dxfId="150">
      <pivotArea dataOnly="0" labelOnly="1" grandCol="1" outline="0" fieldPosition="0"/>
    </format>
  </formats>
  <chartFormats count="71">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1" format="0" series="1">
      <pivotArea type="data" outline="0" fieldPosition="0">
        <references count="2">
          <reference field="4294967294" count="1" selected="0">
            <x v="0"/>
          </reference>
          <reference field="13" count="1" selected="0">
            <x v="0"/>
          </reference>
        </references>
      </pivotArea>
    </chartFormat>
    <chartFormat chart="1" format="1" series="1">
      <pivotArea type="data" outline="0" fieldPosition="0">
        <references count="2">
          <reference field="4294967294" count="1" selected="0">
            <x v="0"/>
          </reference>
          <reference field="13" count="1" selected="0">
            <x v="1"/>
          </reference>
        </references>
      </pivotArea>
    </chartFormat>
    <chartFormat chart="1" format="2">
      <pivotArea type="data" outline="0" fieldPosition="0">
        <references count="3">
          <reference field="4294967294" count="1" selected="0">
            <x v="0"/>
          </reference>
          <reference field="11" count="1" selected="0">
            <x v="3"/>
          </reference>
          <reference field="13" count="1" selected="0">
            <x v="1"/>
          </reference>
        </references>
      </pivotArea>
    </chartFormat>
    <chartFormat chart="1" format="3">
      <pivotArea type="data" outline="0" fieldPosition="0">
        <references count="3">
          <reference field="4294967294" count="1" selected="0">
            <x v="0"/>
          </reference>
          <reference field="11" count="1" selected="0">
            <x v="3"/>
          </reference>
          <reference field="13" count="1" selected="0">
            <x v="0"/>
          </reference>
        </references>
      </pivotArea>
    </chartFormat>
    <chartFormat chart="1" format="4">
      <pivotArea type="data" outline="0" fieldPosition="0">
        <references count="4">
          <reference field="4294967294" count="1" selected="0">
            <x v="0"/>
          </reference>
          <reference field="2" count="1" selected="0">
            <x v="0"/>
          </reference>
          <reference field="11" count="1" selected="0">
            <x v="3"/>
          </reference>
          <reference field="13" count="1" selected="0">
            <x v="1"/>
          </reference>
        </references>
      </pivotArea>
    </chartFormat>
    <chartFormat chart="1" format="5">
      <pivotArea type="data" outline="0" fieldPosition="0">
        <references count="4">
          <reference field="4294967294" count="1" selected="0">
            <x v="0"/>
          </reference>
          <reference field="2" count="1" selected="0">
            <x v="0"/>
          </reference>
          <reference field="11" count="1" selected="0">
            <x v="3"/>
          </reference>
          <reference field="13" count="1" selected="0">
            <x v="0"/>
          </reference>
        </references>
      </pivotArea>
    </chartFormat>
    <chartFormat chart="1" format="6">
      <pivotArea type="data" outline="0" fieldPosition="0">
        <references count="4">
          <reference field="4294967294" count="1" selected="0">
            <x v="0"/>
          </reference>
          <reference field="2" count="1" selected="0">
            <x v="1"/>
          </reference>
          <reference field="11" count="1" selected="0">
            <x v="3"/>
          </reference>
          <reference field="13" count="1" selected="0">
            <x v="0"/>
          </reference>
        </references>
      </pivotArea>
    </chartFormat>
    <chartFormat chart="2" format="0" series="1">
      <pivotArea type="data" outline="0" fieldPosition="0">
        <references count="2">
          <reference field="4294967294" count="1" selected="0">
            <x v="0"/>
          </reference>
          <reference field="13" count="1" selected="0">
            <x v="0"/>
          </reference>
        </references>
      </pivotArea>
    </chartFormat>
    <chartFormat chart="2" format="1" series="1">
      <pivotArea type="data" outline="0" fieldPosition="0">
        <references count="2">
          <reference field="4294967294" count="1" selected="0">
            <x v="0"/>
          </reference>
          <reference field="13" count="1" selected="0">
            <x v="1"/>
          </reference>
        </references>
      </pivotArea>
    </chartFormat>
    <chartFormat chart="2" format="2">
      <pivotArea type="data" outline="0" fieldPosition="0">
        <references count="3">
          <reference field="4294967294" count="1" selected="0">
            <x v="0"/>
          </reference>
          <reference field="11" count="1" selected="0">
            <x v="0"/>
          </reference>
          <reference field="13" count="1" selected="0">
            <x v="0"/>
          </reference>
        </references>
      </pivotArea>
    </chartFormat>
    <chartFormat chart="2" format="3">
      <pivotArea type="data" outline="0" fieldPosition="0">
        <references count="3">
          <reference field="4294967294" count="1" selected="0">
            <x v="0"/>
          </reference>
          <reference field="11" count="1" selected="0">
            <x v="1"/>
          </reference>
          <reference field="13" count="1" selected="0">
            <x v="0"/>
          </reference>
        </references>
      </pivotArea>
    </chartFormat>
    <chartFormat chart="2" format="4">
      <pivotArea type="data" outline="0" fieldPosition="0">
        <references count="3">
          <reference field="4294967294" count="1" selected="0">
            <x v="0"/>
          </reference>
          <reference field="11" count="1" selected="0">
            <x v="3"/>
          </reference>
          <reference field="13" count="1" selected="0">
            <x v="0"/>
          </reference>
        </references>
      </pivotArea>
    </chartFormat>
    <chartFormat chart="2" format="5">
      <pivotArea type="data" outline="0" fieldPosition="0">
        <references count="3">
          <reference field="4294967294" count="1" selected="0">
            <x v="0"/>
          </reference>
          <reference field="11" count="1" selected="0">
            <x v="4"/>
          </reference>
          <reference field="13" count="1" selected="0">
            <x v="0"/>
          </reference>
        </references>
      </pivotArea>
    </chartFormat>
    <chartFormat chart="2" format="6">
      <pivotArea type="data" outline="0" fieldPosition="0">
        <references count="3">
          <reference field="4294967294" count="1" selected="0">
            <x v="0"/>
          </reference>
          <reference field="11" count="1" selected="0">
            <x v="0"/>
          </reference>
          <reference field="13" count="1" selected="0">
            <x v="1"/>
          </reference>
        </references>
      </pivotArea>
    </chartFormat>
    <chartFormat chart="2" format="7">
      <pivotArea type="data" outline="0" fieldPosition="0">
        <references count="4">
          <reference field="4294967294" count="1" selected="0">
            <x v="0"/>
          </reference>
          <reference field="2" count="1" selected="0">
            <x v="0"/>
          </reference>
          <reference field="11" count="1" selected="0">
            <x v="1"/>
          </reference>
          <reference field="13" count="1" selected="0">
            <x v="1"/>
          </reference>
        </references>
      </pivotArea>
    </chartFormat>
    <chartFormat chart="2" format="8">
      <pivotArea type="data" outline="0" fieldPosition="0">
        <references count="4">
          <reference field="4294967294" count="1" selected="0">
            <x v="0"/>
          </reference>
          <reference field="2" count="1" selected="0">
            <x v="1"/>
          </reference>
          <reference field="11" count="1" selected="0">
            <x v="1"/>
          </reference>
          <reference field="13" count="1" selected="0">
            <x v="1"/>
          </reference>
        </references>
      </pivotArea>
    </chartFormat>
    <chartFormat chart="2" format="9">
      <pivotArea type="data" outline="0" fieldPosition="0">
        <references count="4">
          <reference field="4294967294" count="1" selected="0">
            <x v="0"/>
          </reference>
          <reference field="2" count="1" selected="0">
            <x v="0"/>
          </reference>
          <reference field="11" count="1" selected="0">
            <x v="2"/>
          </reference>
          <reference field="13" count="1" selected="0">
            <x v="1"/>
          </reference>
        </references>
      </pivotArea>
    </chartFormat>
    <chartFormat chart="2" format="10">
      <pivotArea type="data" outline="0" fieldPosition="0">
        <references count="4">
          <reference field="4294967294" count="1" selected="0">
            <x v="0"/>
          </reference>
          <reference field="2" count="1" selected="0">
            <x v="1"/>
          </reference>
          <reference field="11" count="1" selected="0">
            <x v="2"/>
          </reference>
          <reference field="13" count="1" selected="0">
            <x v="1"/>
          </reference>
        </references>
      </pivotArea>
    </chartFormat>
    <chartFormat chart="2" format="11">
      <pivotArea type="data" outline="0" fieldPosition="0">
        <references count="3">
          <reference field="4294967294" count="1" selected="0">
            <x v="0"/>
          </reference>
          <reference field="11" count="1" selected="0">
            <x v="3"/>
          </reference>
          <reference field="13" count="1" selected="0">
            <x v="1"/>
          </reference>
        </references>
      </pivotArea>
    </chartFormat>
    <chartFormat chart="2" format="12">
      <pivotArea type="data" outline="0" fieldPosition="0">
        <references count="3">
          <reference field="4294967294" count="1" selected="0">
            <x v="0"/>
          </reference>
          <reference field="11" count="1" selected="0">
            <x v="4"/>
          </reference>
          <reference field="13" count="1" selected="0">
            <x v="1"/>
          </reference>
        </references>
      </pivotArea>
    </chartFormat>
    <chartFormat chart="2" format="13">
      <pivotArea type="data" outline="0" fieldPosition="0">
        <references count="4">
          <reference field="4294967294" count="1" selected="0">
            <x v="0"/>
          </reference>
          <reference field="2" count="1" selected="0">
            <x v="0"/>
          </reference>
          <reference field="11" count="1" selected="0">
            <x v="1"/>
          </reference>
          <reference field="13" count="1" selected="0">
            <x v="0"/>
          </reference>
        </references>
      </pivotArea>
    </chartFormat>
    <chartFormat chart="2" format="14">
      <pivotArea type="data" outline="0" fieldPosition="0">
        <references count="4">
          <reference field="4294967294" count="1" selected="0">
            <x v="0"/>
          </reference>
          <reference field="2" count="1" selected="0">
            <x v="1"/>
          </reference>
          <reference field="11" count="1" selected="0">
            <x v="1"/>
          </reference>
          <reference field="13" count="1" selected="0">
            <x v="0"/>
          </reference>
        </references>
      </pivotArea>
    </chartFormat>
    <chartFormat chart="2" format="15">
      <pivotArea type="data" outline="0" fieldPosition="0">
        <references count="4">
          <reference field="4294967294" count="1" selected="0">
            <x v="0"/>
          </reference>
          <reference field="2" count="1" selected="0">
            <x v="0"/>
          </reference>
          <reference field="11" count="1" selected="0">
            <x v="2"/>
          </reference>
          <reference field="13" count="1" selected="0">
            <x v="0"/>
          </reference>
        </references>
      </pivotArea>
    </chartFormat>
    <chartFormat chart="2" format="16">
      <pivotArea type="data" outline="0" fieldPosition="0">
        <references count="4">
          <reference field="4294967294" count="1" selected="0">
            <x v="0"/>
          </reference>
          <reference field="2" count="1" selected="0">
            <x v="1"/>
          </reference>
          <reference field="11" count="1" selected="0">
            <x v="2"/>
          </reference>
          <reference field="13" count="1" selected="0">
            <x v="0"/>
          </reference>
        </references>
      </pivotArea>
    </chartFormat>
    <chartFormat chart="2" format="17">
      <pivotArea type="data" outline="0" fieldPosition="0">
        <references count="3">
          <reference field="4294967294" count="1" selected="0">
            <x v="0"/>
          </reference>
          <reference field="11" count="1" selected="0">
            <x v="1"/>
          </reference>
          <reference field="13" count="1" selected="0">
            <x v="1"/>
          </reference>
        </references>
      </pivotArea>
    </chartFormat>
    <chartFormat chart="2" format="18">
      <pivotArea type="data" outline="0" fieldPosition="0">
        <references count="3">
          <reference field="4294967294" count="1" selected="0">
            <x v="0"/>
          </reference>
          <reference field="11" count="1" selected="0">
            <x v="2"/>
          </reference>
          <reference field="13" count="1" selected="0">
            <x v="1"/>
          </reference>
        </references>
      </pivotArea>
    </chartFormat>
    <chartFormat chart="2" format="19">
      <pivotArea type="data" outline="0" fieldPosition="0">
        <references count="3">
          <reference field="4294967294" count="1" selected="0">
            <x v="0"/>
          </reference>
          <reference field="11" count="1" selected="0">
            <x v="2"/>
          </reference>
          <reference field="13" count="1" selected="0">
            <x v="0"/>
          </reference>
        </references>
      </pivotArea>
    </chartFormat>
    <chartFormat chart="2" format="20" series="1">
      <pivotArea type="data" outline="0" fieldPosition="0">
        <references count="1">
          <reference field="4294967294" count="1" selected="0">
            <x v="0"/>
          </reference>
        </references>
      </pivotArea>
    </chartFormat>
    <chartFormat chart="0" format="2" series="1">
      <pivotArea type="data" outline="0" fieldPosition="0">
        <references count="1">
          <reference field="4294967294" count="1" selected="0">
            <x v="0"/>
          </reference>
        </references>
      </pivotArea>
    </chartFormat>
    <chartFormat chart="31" format="33" series="1">
      <pivotArea type="data" outline="0" fieldPosition="0">
        <references count="2">
          <reference field="4294967294" count="1" selected="0">
            <x v="0"/>
          </reference>
          <reference field="13" count="1" selected="0">
            <x v="0"/>
          </reference>
        </references>
      </pivotArea>
    </chartFormat>
    <chartFormat chart="31" format="34">
      <pivotArea type="data" outline="0" fieldPosition="0">
        <references count="3">
          <reference field="4294967294" count="1" selected="0">
            <x v="0"/>
          </reference>
          <reference field="11" count="1" selected="0">
            <x v="0"/>
          </reference>
          <reference field="13" count="1" selected="0">
            <x v="0"/>
          </reference>
        </references>
      </pivotArea>
    </chartFormat>
    <chartFormat chart="31" format="35">
      <pivotArea type="data" outline="0" fieldPosition="0">
        <references count="3">
          <reference field="4294967294" count="1" selected="0">
            <x v="0"/>
          </reference>
          <reference field="11" count="1" selected="0">
            <x v="1"/>
          </reference>
          <reference field="13" count="1" selected="0">
            <x v="0"/>
          </reference>
        </references>
      </pivotArea>
    </chartFormat>
    <chartFormat chart="31" format="36">
      <pivotArea type="data" outline="0" fieldPosition="0">
        <references count="3">
          <reference field="4294967294" count="1" selected="0">
            <x v="0"/>
          </reference>
          <reference field="11" count="1" selected="0">
            <x v="2"/>
          </reference>
          <reference field="13" count="1" selected="0">
            <x v="0"/>
          </reference>
        </references>
      </pivotArea>
    </chartFormat>
    <chartFormat chart="31" format="37">
      <pivotArea type="data" outline="0" fieldPosition="0">
        <references count="3">
          <reference field="4294967294" count="1" selected="0">
            <x v="0"/>
          </reference>
          <reference field="11" count="1" selected="0">
            <x v="3"/>
          </reference>
          <reference field="13" count="1" selected="0">
            <x v="0"/>
          </reference>
        </references>
      </pivotArea>
    </chartFormat>
    <chartFormat chart="31" format="38">
      <pivotArea type="data" outline="0" fieldPosition="0">
        <references count="3">
          <reference field="4294967294" count="1" selected="0">
            <x v="0"/>
          </reference>
          <reference field="11" count="1" selected="0">
            <x v="4"/>
          </reference>
          <reference field="13" count="1" selected="0">
            <x v="0"/>
          </reference>
        </references>
      </pivotArea>
    </chartFormat>
    <chartFormat chart="31" format="39" series="1">
      <pivotArea type="data" outline="0" fieldPosition="0">
        <references count="2">
          <reference field="4294967294" count="1" selected="0">
            <x v="0"/>
          </reference>
          <reference field="13" count="1" selected="0">
            <x v="1"/>
          </reference>
        </references>
      </pivotArea>
    </chartFormat>
    <chartFormat chart="31" format="40">
      <pivotArea type="data" outline="0" fieldPosition="0">
        <references count="3">
          <reference field="4294967294" count="1" selected="0">
            <x v="0"/>
          </reference>
          <reference field="11" count="1" selected="0">
            <x v="0"/>
          </reference>
          <reference field="13" count="1" selected="0">
            <x v="1"/>
          </reference>
        </references>
      </pivotArea>
    </chartFormat>
    <chartFormat chart="31" format="41">
      <pivotArea type="data" outline="0" fieldPosition="0">
        <references count="3">
          <reference field="4294967294" count="1" selected="0">
            <x v="0"/>
          </reference>
          <reference field="11" count="1" selected="0">
            <x v="1"/>
          </reference>
          <reference field="13" count="1" selected="0">
            <x v="1"/>
          </reference>
        </references>
      </pivotArea>
    </chartFormat>
    <chartFormat chart="31" format="42">
      <pivotArea type="data" outline="0" fieldPosition="0">
        <references count="3">
          <reference field="4294967294" count="1" selected="0">
            <x v="0"/>
          </reference>
          <reference field="11" count="1" selected="0">
            <x v="2"/>
          </reference>
          <reference field="13" count="1" selected="0">
            <x v="1"/>
          </reference>
        </references>
      </pivotArea>
    </chartFormat>
    <chartFormat chart="31" format="43">
      <pivotArea type="data" outline="0" fieldPosition="0">
        <references count="3">
          <reference field="4294967294" count="1" selected="0">
            <x v="0"/>
          </reference>
          <reference field="11" count="1" selected="0">
            <x v="3"/>
          </reference>
          <reference field="13" count="1" selected="0">
            <x v="1"/>
          </reference>
        </references>
      </pivotArea>
    </chartFormat>
    <chartFormat chart="31" format="44">
      <pivotArea type="data" outline="0" fieldPosition="0">
        <references count="3">
          <reference field="4294967294" count="1" selected="0">
            <x v="0"/>
          </reference>
          <reference field="11" count="1" selected="0">
            <x v="4"/>
          </reference>
          <reference field="13" count="1" selected="0">
            <x v="1"/>
          </reference>
        </references>
      </pivotArea>
    </chartFormat>
    <chartFormat chart="41" format="5" series="1">
      <pivotArea type="data" outline="0" fieldPosition="0">
        <references count="2">
          <reference field="4294967294" count="1" selected="0">
            <x v="0"/>
          </reference>
          <reference field="13" count="1" selected="0">
            <x v="0"/>
          </reference>
        </references>
      </pivotArea>
    </chartFormat>
    <chartFormat chart="41" format="6" series="1">
      <pivotArea type="data" outline="0" fieldPosition="0">
        <references count="2">
          <reference field="4294967294" count="1" selected="0">
            <x v="0"/>
          </reference>
          <reference field="13" count="1" selected="0">
            <x v="1"/>
          </reference>
        </references>
      </pivotArea>
    </chartFormat>
    <chartFormat chart="50" format="33" series="1">
      <pivotArea type="data" outline="0" fieldPosition="0">
        <references count="2">
          <reference field="4294967294" count="1" selected="0">
            <x v="0"/>
          </reference>
          <reference field="13" count="1" selected="0">
            <x v="0"/>
          </reference>
        </references>
      </pivotArea>
    </chartFormat>
    <chartFormat chart="50" format="34">
      <pivotArea type="data" outline="0" fieldPosition="0">
        <references count="3">
          <reference field="4294967294" count="1" selected="0">
            <x v="0"/>
          </reference>
          <reference field="11" count="1" selected="0">
            <x v="0"/>
          </reference>
          <reference field="13" count="1" selected="0">
            <x v="0"/>
          </reference>
        </references>
      </pivotArea>
    </chartFormat>
    <chartFormat chart="50" format="35">
      <pivotArea type="data" outline="0" fieldPosition="0">
        <references count="3">
          <reference field="4294967294" count="1" selected="0">
            <x v="0"/>
          </reference>
          <reference field="11" count="1" selected="0">
            <x v="1"/>
          </reference>
          <reference field="13" count="1" selected="0">
            <x v="0"/>
          </reference>
        </references>
      </pivotArea>
    </chartFormat>
    <chartFormat chart="50" format="36">
      <pivotArea type="data" outline="0" fieldPosition="0">
        <references count="3">
          <reference field="4294967294" count="1" selected="0">
            <x v="0"/>
          </reference>
          <reference field="11" count="1" selected="0">
            <x v="2"/>
          </reference>
          <reference field="13" count="1" selected="0">
            <x v="0"/>
          </reference>
        </references>
      </pivotArea>
    </chartFormat>
    <chartFormat chart="50" format="37">
      <pivotArea type="data" outline="0" fieldPosition="0">
        <references count="3">
          <reference field="4294967294" count="1" selected="0">
            <x v="0"/>
          </reference>
          <reference field="11" count="1" selected="0">
            <x v="3"/>
          </reference>
          <reference field="13" count="1" selected="0">
            <x v="0"/>
          </reference>
        </references>
      </pivotArea>
    </chartFormat>
    <chartFormat chart="50" format="38">
      <pivotArea type="data" outline="0" fieldPosition="0">
        <references count="3">
          <reference field="4294967294" count="1" selected="0">
            <x v="0"/>
          </reference>
          <reference field="11" count="1" selected="0">
            <x v="4"/>
          </reference>
          <reference field="13" count="1" selected="0">
            <x v="0"/>
          </reference>
        </references>
      </pivotArea>
    </chartFormat>
    <chartFormat chart="50" format="39" series="1">
      <pivotArea type="data" outline="0" fieldPosition="0">
        <references count="2">
          <reference field="4294967294" count="1" selected="0">
            <x v="0"/>
          </reference>
          <reference field="13" count="1" selected="0">
            <x v="1"/>
          </reference>
        </references>
      </pivotArea>
    </chartFormat>
    <chartFormat chart="50" format="40">
      <pivotArea type="data" outline="0" fieldPosition="0">
        <references count="3">
          <reference field="4294967294" count="1" selected="0">
            <x v="0"/>
          </reference>
          <reference field="11" count="1" selected="0">
            <x v="0"/>
          </reference>
          <reference field="13" count="1" selected="0">
            <x v="1"/>
          </reference>
        </references>
      </pivotArea>
    </chartFormat>
    <chartFormat chart="50" format="41">
      <pivotArea type="data" outline="0" fieldPosition="0">
        <references count="3">
          <reference field="4294967294" count="1" selected="0">
            <x v="0"/>
          </reference>
          <reference field="11" count="1" selected="0">
            <x v="1"/>
          </reference>
          <reference field="13" count="1" selected="0">
            <x v="1"/>
          </reference>
        </references>
      </pivotArea>
    </chartFormat>
    <chartFormat chart="50" format="42">
      <pivotArea type="data" outline="0" fieldPosition="0">
        <references count="3">
          <reference field="4294967294" count="1" selected="0">
            <x v="0"/>
          </reference>
          <reference field="11" count="1" selected="0">
            <x v="2"/>
          </reference>
          <reference field="13" count="1" selected="0">
            <x v="1"/>
          </reference>
        </references>
      </pivotArea>
    </chartFormat>
    <chartFormat chart="50" format="43">
      <pivotArea type="data" outline="0" fieldPosition="0">
        <references count="3">
          <reference field="4294967294" count="1" selected="0">
            <x v="0"/>
          </reference>
          <reference field="11" count="1" selected="0">
            <x v="3"/>
          </reference>
          <reference field="13" count="1" selected="0">
            <x v="1"/>
          </reference>
        </references>
      </pivotArea>
    </chartFormat>
    <chartFormat chart="50" format="44">
      <pivotArea type="data" outline="0" fieldPosition="0">
        <references count="3">
          <reference field="4294967294" count="1" selected="0">
            <x v="0"/>
          </reference>
          <reference field="11" count="1" selected="0">
            <x v="4"/>
          </reference>
          <reference field="13" count="1" selected="0">
            <x v="1"/>
          </reference>
        </references>
      </pivotArea>
    </chartFormat>
    <chartFormat chart="55" format="57" series="1">
      <pivotArea type="data" outline="0" fieldPosition="0">
        <references count="2">
          <reference field="4294967294" count="1" selected="0">
            <x v="0"/>
          </reference>
          <reference field="13" count="1" selected="0">
            <x v="0"/>
          </reference>
        </references>
      </pivotArea>
    </chartFormat>
    <chartFormat chart="55" format="58">
      <pivotArea type="data" outline="0" fieldPosition="0">
        <references count="3">
          <reference field="4294967294" count="1" selected="0">
            <x v="0"/>
          </reference>
          <reference field="11" count="1" selected="0">
            <x v="0"/>
          </reference>
          <reference field="13" count="1" selected="0">
            <x v="0"/>
          </reference>
        </references>
      </pivotArea>
    </chartFormat>
    <chartFormat chart="55" format="59">
      <pivotArea type="data" outline="0" fieldPosition="0">
        <references count="3">
          <reference field="4294967294" count="1" selected="0">
            <x v="0"/>
          </reference>
          <reference field="11" count="1" selected="0">
            <x v="1"/>
          </reference>
          <reference field="13" count="1" selected="0">
            <x v="0"/>
          </reference>
        </references>
      </pivotArea>
    </chartFormat>
    <chartFormat chart="55" format="60">
      <pivotArea type="data" outline="0" fieldPosition="0">
        <references count="3">
          <reference field="4294967294" count="1" selected="0">
            <x v="0"/>
          </reference>
          <reference field="11" count="1" selected="0">
            <x v="2"/>
          </reference>
          <reference field="13" count="1" selected="0">
            <x v="0"/>
          </reference>
        </references>
      </pivotArea>
    </chartFormat>
    <chartFormat chart="55" format="61">
      <pivotArea type="data" outline="0" fieldPosition="0">
        <references count="3">
          <reference field="4294967294" count="1" selected="0">
            <x v="0"/>
          </reference>
          <reference field="11" count="1" selected="0">
            <x v="3"/>
          </reference>
          <reference field="13" count="1" selected="0">
            <x v="0"/>
          </reference>
        </references>
      </pivotArea>
    </chartFormat>
    <chartFormat chart="55" format="62">
      <pivotArea type="data" outline="0" fieldPosition="0">
        <references count="3">
          <reference field="4294967294" count="1" selected="0">
            <x v="0"/>
          </reference>
          <reference field="11" count="1" selected="0">
            <x v="4"/>
          </reference>
          <reference field="13" count="1" selected="0">
            <x v="0"/>
          </reference>
        </references>
      </pivotArea>
    </chartFormat>
    <chartFormat chart="55" format="63" series="1">
      <pivotArea type="data" outline="0" fieldPosition="0">
        <references count="2">
          <reference field="4294967294" count="1" selected="0">
            <x v="0"/>
          </reference>
          <reference field="13" count="1" selected="0">
            <x v="1"/>
          </reference>
        </references>
      </pivotArea>
    </chartFormat>
    <chartFormat chart="55" format="64">
      <pivotArea type="data" outline="0" fieldPosition="0">
        <references count="3">
          <reference field="4294967294" count="1" selected="0">
            <x v="0"/>
          </reference>
          <reference field="11" count="1" selected="0">
            <x v="0"/>
          </reference>
          <reference field="13" count="1" selected="0">
            <x v="1"/>
          </reference>
        </references>
      </pivotArea>
    </chartFormat>
    <chartFormat chart="55" format="65">
      <pivotArea type="data" outline="0" fieldPosition="0">
        <references count="3">
          <reference field="4294967294" count="1" selected="0">
            <x v="0"/>
          </reference>
          <reference field="11" count="1" selected="0">
            <x v="1"/>
          </reference>
          <reference field="13" count="1" selected="0">
            <x v="1"/>
          </reference>
        </references>
      </pivotArea>
    </chartFormat>
    <chartFormat chart="55" format="66">
      <pivotArea type="data" outline="0" fieldPosition="0">
        <references count="3">
          <reference field="4294967294" count="1" selected="0">
            <x v="0"/>
          </reference>
          <reference field="11" count="1" selected="0">
            <x v="2"/>
          </reference>
          <reference field="13" count="1" selected="0">
            <x v="1"/>
          </reference>
        </references>
      </pivotArea>
    </chartFormat>
    <chartFormat chart="55" format="67">
      <pivotArea type="data" outline="0" fieldPosition="0">
        <references count="3">
          <reference field="4294967294" count="1" selected="0">
            <x v="0"/>
          </reference>
          <reference field="11" count="1" selected="0">
            <x v="3"/>
          </reference>
          <reference field="13" count="1" selected="0">
            <x v="1"/>
          </reference>
        </references>
      </pivotArea>
    </chartFormat>
    <chartFormat chart="55" format="68">
      <pivotArea type="data" outline="0" fieldPosition="0">
        <references count="3">
          <reference field="4294967294" count="1" selected="0">
            <x v="0"/>
          </reference>
          <reference field="11" count="1" selected="0">
            <x v="4"/>
          </reference>
          <reference field="13" count="1" selected="0">
            <x v="1"/>
          </reference>
        </references>
      </pivotArea>
    </chartFormat>
    <chartFormat chart="41" format="7">
      <pivotArea type="data" outline="0" fieldPosition="0">
        <references count="3">
          <reference field="4294967294" count="1" selected="0">
            <x v="0"/>
          </reference>
          <reference field="11" count="1" selected="0">
            <x v="2"/>
          </reference>
          <reference field="13" count="1" selected="0">
            <x v="1"/>
          </reference>
        </references>
      </pivotArea>
    </chartFormat>
    <chartFormat chart="41" format="8">
      <pivotArea type="data" outline="0" fieldPosition="0">
        <references count="3">
          <reference field="4294967294" count="1" selected="0">
            <x v="0"/>
          </reference>
          <reference field="11" count="1" selected="0">
            <x v="4"/>
          </reference>
          <reference field="13" count="1" selected="0">
            <x v="1"/>
          </reference>
        </references>
      </pivotArea>
    </chartFormat>
  </chartFormats>
  <pivotTableStyleInfo name="PivotStyleMedium13" showRowHeaders="1" showColHeaders="1" showRowStripes="1" showColStripes="1"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59559DD-89D7-4AFA-8455-AE9B660BA580}" name="PivotTable2" cacheId="1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24">
  <location ref="A52:E56" firstHeaderRow="1" firstDataRow="2" firstDataCol="1"/>
  <pivotFields count="14">
    <pivotField showAll="0"/>
    <pivotField axis="axisRow" showAll="0">
      <items count="3">
        <item x="0"/>
        <item x="1"/>
        <item t="default"/>
      </items>
    </pivotField>
    <pivotField showAll="0">
      <items count="3">
        <item x="0"/>
        <item x="1"/>
        <item t="default"/>
      </items>
    </pivotField>
    <pivotField numFmtId="1" showAll="0"/>
    <pivotField showAll="0"/>
    <pivotField showAll="0">
      <items count="6">
        <item x="0"/>
        <item x="4"/>
        <item x="2"/>
        <item x="1"/>
        <item x="3"/>
        <item t="default"/>
      </items>
    </pivotField>
    <pivotField showAll="0"/>
    <pivotField showAll="0">
      <items count="3">
        <item x="1"/>
        <item x="0"/>
        <item t="default"/>
      </items>
    </pivotField>
    <pivotField showAll="0">
      <items count="6">
        <item x="0"/>
        <item x="1"/>
        <item x="2"/>
        <item x="4"/>
        <item x="3"/>
        <item t="default"/>
      </items>
    </pivotField>
    <pivotField showAll="0"/>
    <pivotField axis="axisCol" showAll="0">
      <items count="4">
        <item x="0"/>
        <item x="2"/>
        <item x="1"/>
        <item t="default"/>
      </items>
    </pivotField>
    <pivotField showAll="0">
      <items count="6">
        <item x="2"/>
        <item x="0"/>
        <item x="1"/>
        <item x="4"/>
        <item x="3"/>
        <item t="default"/>
      </items>
    </pivotField>
    <pivotField showAll="0"/>
    <pivotField dataField="1" showAll="0">
      <items count="3">
        <item x="0"/>
        <item x="1"/>
        <item t="default"/>
      </items>
    </pivotField>
  </pivotFields>
  <rowFields count="1">
    <field x="1"/>
  </rowFields>
  <rowItems count="3">
    <i>
      <x/>
    </i>
    <i>
      <x v="1"/>
    </i>
    <i t="grand">
      <x/>
    </i>
  </rowItems>
  <colFields count="1">
    <field x="10"/>
  </colFields>
  <colItems count="4">
    <i>
      <x/>
    </i>
    <i>
      <x v="1"/>
    </i>
    <i>
      <x v="2"/>
    </i>
    <i t="grand">
      <x/>
    </i>
  </colItems>
  <dataFields count="1">
    <dataField name="Count of Purchased Bike" fld="13" subtotal="count" baseField="1" baseItem="0"/>
  </dataFields>
  <chartFormats count="8">
    <chartFormat chart="0" format="0" series="1">
      <pivotArea type="data" outline="0" fieldPosition="0">
        <references count="2">
          <reference field="4294967294" count="1" selected="0">
            <x v="0"/>
          </reference>
          <reference field="10" count="1" selected="0">
            <x v="0"/>
          </reference>
        </references>
      </pivotArea>
    </chartFormat>
    <chartFormat chart="0" format="1" series="1">
      <pivotArea type="data" outline="0" fieldPosition="0">
        <references count="2">
          <reference field="4294967294" count="1" selected="0">
            <x v="0"/>
          </reference>
          <reference field="10" count="1" selected="0">
            <x v="1"/>
          </reference>
        </references>
      </pivotArea>
    </chartFormat>
    <chartFormat chart="0" format="2" series="1">
      <pivotArea type="data" outline="0" fieldPosition="0">
        <references count="2">
          <reference field="4294967294" count="1" selected="0">
            <x v="0"/>
          </reference>
          <reference field="10" count="1" selected="0">
            <x v="2"/>
          </reference>
        </references>
      </pivotArea>
    </chartFormat>
    <chartFormat chart="8" format="6" series="1">
      <pivotArea type="data" outline="0" fieldPosition="0">
        <references count="2">
          <reference field="4294967294" count="1" selected="0">
            <x v="0"/>
          </reference>
          <reference field="10" count="1" selected="0">
            <x v="0"/>
          </reference>
        </references>
      </pivotArea>
    </chartFormat>
    <chartFormat chart="8" format="7" series="1">
      <pivotArea type="data" outline="0" fieldPosition="0">
        <references count="2">
          <reference field="4294967294" count="1" selected="0">
            <x v="0"/>
          </reference>
          <reference field="10" count="1" selected="0">
            <x v="1"/>
          </reference>
        </references>
      </pivotArea>
    </chartFormat>
    <chartFormat chart="8" format="8" series="1">
      <pivotArea type="data" outline="0" fieldPosition="0">
        <references count="2">
          <reference field="4294967294" count="1" selected="0">
            <x v="0"/>
          </reference>
          <reference field="10" count="1" selected="0">
            <x v="2"/>
          </reference>
        </references>
      </pivotArea>
    </chartFormat>
    <chartFormat chart="8" format="9" series="1">
      <pivotArea type="data" outline="0" fieldPosition="0">
        <references count="1">
          <reference field="4294967294" count="1" selected="0">
            <x v="0"/>
          </reference>
        </references>
      </pivotArea>
    </chartFormat>
    <chartFormat chart="0"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A375455-239A-45A6-B89B-F9832B0E3BB0}" name="PivotTable10" cacheId="1" applyNumberFormats="0" applyBorderFormats="0" applyFontFormats="0" applyPatternFormats="0" applyAlignmentFormats="0" applyWidthHeightFormats="1" dataCaption="Values" updatedVersion="8" minRefreshableVersion="3" useAutoFormatting="1" itemPrintTitles="1" createdVersion="8" indent="0" showHeaders="0" outline="1" outlineData="1" multipleFieldFilters="0" chartFormat="30">
  <location ref="A73:D80" firstHeaderRow="1" firstDataRow="2" firstDataCol="1"/>
  <pivotFields count="14">
    <pivotField dataField="1" showAll="0"/>
    <pivotField showAll="0"/>
    <pivotField showAll="0"/>
    <pivotField numFmtId="1" showAll="0"/>
    <pivotField showAll="0"/>
    <pivotField axis="axisRow" showAll="0">
      <items count="6">
        <item x="0"/>
        <item x="4"/>
        <item x="2"/>
        <item x="1"/>
        <item x="3"/>
        <item t="default"/>
      </items>
    </pivotField>
    <pivotField showAll="0"/>
    <pivotField showAll="0"/>
    <pivotField showAll="0"/>
    <pivotField showAll="0"/>
    <pivotField showAll="0"/>
    <pivotField showAll="0"/>
    <pivotField showAll="0"/>
    <pivotField axis="axisCol" showAll="0">
      <items count="3">
        <item x="0"/>
        <item x="1"/>
        <item t="default"/>
      </items>
    </pivotField>
  </pivotFields>
  <rowFields count="1">
    <field x="5"/>
  </rowFields>
  <rowItems count="6">
    <i>
      <x/>
    </i>
    <i>
      <x v="1"/>
    </i>
    <i>
      <x v="2"/>
    </i>
    <i>
      <x v="3"/>
    </i>
    <i>
      <x v="4"/>
    </i>
    <i t="grand">
      <x/>
    </i>
  </rowItems>
  <colFields count="1">
    <field x="13"/>
  </colFields>
  <colItems count="3">
    <i>
      <x/>
    </i>
    <i>
      <x v="1"/>
    </i>
    <i t="grand">
      <x/>
    </i>
  </colItems>
  <dataFields count="1">
    <dataField name="Count of ID" fld="0" subtotal="count" baseField="0" baseItem="0"/>
  </dataFields>
  <chartFormats count="7">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11" format="4" series="1">
      <pivotArea type="data" outline="0" fieldPosition="0">
        <references count="2">
          <reference field="4294967294" count="1" selected="0">
            <x v="0"/>
          </reference>
          <reference field="13" count="1" selected="0">
            <x v="0"/>
          </reference>
        </references>
      </pivotArea>
    </chartFormat>
    <chartFormat chart="11" format="5" series="1">
      <pivotArea type="data" outline="0" fieldPosition="0">
        <references count="2">
          <reference field="4294967294" count="1" selected="0">
            <x v="0"/>
          </reference>
          <reference field="13" count="1" selected="0">
            <x v="1"/>
          </reference>
        </references>
      </pivotArea>
    </chartFormat>
    <chartFormat chart="11" format="6">
      <pivotArea type="data" outline="0" fieldPosition="0">
        <references count="3">
          <reference field="4294967294" count="1" selected="0">
            <x v="0"/>
          </reference>
          <reference field="5" count="1" selected="0">
            <x v="4"/>
          </reference>
          <reference field="13" count="1" selected="0">
            <x v="0"/>
          </reference>
        </references>
      </pivotArea>
    </chartFormat>
    <chartFormat chart="24" format="0" series="1">
      <pivotArea type="data" outline="0" fieldPosition="0">
        <references count="2">
          <reference field="4294967294" count="1" selected="0">
            <x v="0"/>
          </reference>
          <reference field="13" count="1" selected="0">
            <x v="0"/>
          </reference>
        </references>
      </pivotArea>
    </chartFormat>
    <chartFormat chart="24" format="1" series="1">
      <pivotArea type="data" outline="0" fieldPosition="0">
        <references count="2">
          <reference field="4294967294" count="1" selected="0">
            <x v="0"/>
          </reference>
          <reference field="13" count="1" selected="0">
            <x v="1"/>
          </reference>
        </references>
      </pivotArea>
    </chartFormat>
  </chartFormats>
  <pivotTableStyleInfo name="PivotStyleLight17"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19101A-2F63-43D0-9B54-9A44D511E4E2}" name="PivotTable1" cacheId="10" applyNumberFormats="0" applyBorderFormats="0" applyFontFormats="0" applyPatternFormats="0" applyAlignmentFormats="0" applyWidthHeightFormats="1" dataCaption="Values" updatedVersion="8" minRefreshableVersion="3" useAutoFormatting="1" itemPrintTitles="1" createdVersion="8" indent="0" showHeaders="0" outline="1" outlineData="1" multipleFieldFilters="0" chartFormat="53" colHeaderCaption="">
  <location ref="A40:D48" firstHeaderRow="1" firstDataRow="3" firstDataCol="1"/>
  <pivotFields count="14">
    <pivotField showAll="0"/>
    <pivotField showAll="0">
      <items count="3">
        <item x="0"/>
        <item x="1"/>
        <item t="default"/>
      </items>
    </pivotField>
    <pivotField showAll="0">
      <items count="3">
        <item x="0"/>
        <item x="1"/>
        <item t="default"/>
      </items>
    </pivotField>
    <pivotField numFmtId="1" showAll="0"/>
    <pivotField showAll="0"/>
    <pivotField showAll="0">
      <items count="6">
        <item x="0"/>
        <item x="4"/>
        <item x="2"/>
        <item x="1"/>
        <item x="3"/>
        <item t="default"/>
      </items>
    </pivotField>
    <pivotField showAll="0"/>
    <pivotField showAll="0">
      <items count="3">
        <item x="1"/>
        <item x="0"/>
        <item t="default"/>
      </items>
    </pivotField>
    <pivotField showAll="0">
      <items count="6">
        <item x="0"/>
        <item x="1"/>
        <item x="2"/>
        <item x="4"/>
        <item x="3"/>
        <item t="default"/>
      </items>
    </pivotField>
    <pivotField axis="axisRow" dataField="1" showAll="0">
      <items count="7">
        <item sd="0" x="0"/>
        <item sd="0" m="1" x="5"/>
        <item sd="0" x="3"/>
        <item sd="0" x="1"/>
        <item sd="0" x="2"/>
        <item sd="0" x="4"/>
        <item t="default" sd="0"/>
      </items>
    </pivotField>
    <pivotField showAll="0">
      <items count="4">
        <item x="0"/>
        <item x="2"/>
        <item x="1"/>
        <item t="default"/>
      </items>
    </pivotField>
    <pivotField axis="axisCol" showAll="0">
      <items count="6">
        <item x="2"/>
        <item x="0"/>
        <item x="1"/>
        <item x="4"/>
        <item x="3"/>
        <item t="default"/>
      </items>
    </pivotField>
    <pivotField showAll="0"/>
    <pivotField axis="axisCol" showAll="0">
      <items count="3">
        <item sd="0" x="0"/>
        <item sd="0" x="1"/>
        <item t="default" sd="0"/>
      </items>
    </pivotField>
  </pivotFields>
  <rowFields count="1">
    <field x="9"/>
  </rowFields>
  <rowItems count="6">
    <i>
      <x/>
    </i>
    <i>
      <x v="2"/>
    </i>
    <i>
      <x v="3"/>
    </i>
    <i>
      <x v="4"/>
    </i>
    <i>
      <x v="5"/>
    </i>
    <i t="grand">
      <x/>
    </i>
  </rowItems>
  <colFields count="2">
    <field x="13"/>
    <field x="11"/>
  </colFields>
  <colItems count="3">
    <i>
      <x/>
    </i>
    <i>
      <x v="1"/>
    </i>
    <i t="grand">
      <x/>
    </i>
  </colItems>
  <dataFields count="1">
    <dataField name="Count of Commute Distance" fld="9" subtotal="count" baseField="0" baseItem="0"/>
  </dataFields>
  <formats count="2">
    <format dxfId="166">
      <pivotArea dataOnly="0" labelOnly="1" fieldPosition="0">
        <references count="1">
          <reference field="11" count="0"/>
        </references>
      </pivotArea>
    </format>
    <format dxfId="165">
      <pivotArea dataOnly="0" labelOnly="1" fieldPosition="0">
        <references count="1">
          <reference field="11" count="0"/>
        </references>
      </pivotArea>
    </format>
  </formats>
  <chartFormats count="92">
    <chartFormat chart="5" format="0" series="1">
      <pivotArea type="data" outline="0" fieldPosition="0">
        <references count="2">
          <reference field="4294967294" count="1" selected="0">
            <x v="0"/>
          </reference>
          <reference field="13" count="1" selected="0">
            <x v="0"/>
          </reference>
        </references>
      </pivotArea>
    </chartFormat>
    <chartFormat chart="5" format="1" series="1">
      <pivotArea type="data" outline="0" fieldPosition="0">
        <references count="2">
          <reference field="4294967294" count="1" selected="0">
            <x v="0"/>
          </reference>
          <reference field="13" count="1" selected="0">
            <x v="1"/>
          </reference>
        </references>
      </pivotArea>
    </chartFormat>
    <chartFormat chart="5" format="2" series="1">
      <pivotArea type="data" outline="0" fieldPosition="0">
        <references count="3">
          <reference field="4294967294" count="1" selected="0">
            <x v="0"/>
          </reference>
          <reference field="11" count="1" selected="0">
            <x v="2"/>
          </reference>
          <reference field="13" count="1" selected="0">
            <x v="0"/>
          </reference>
        </references>
      </pivotArea>
    </chartFormat>
    <chartFormat chart="5" format="3" series="1">
      <pivotArea type="data" outline="0" fieldPosition="0">
        <references count="3">
          <reference field="4294967294" count="1" selected="0">
            <x v="0"/>
          </reference>
          <reference field="11" count="1" selected="0">
            <x v="3"/>
          </reference>
          <reference field="13" count="1" selected="0">
            <x v="0"/>
          </reference>
        </references>
      </pivotArea>
    </chartFormat>
    <chartFormat chart="5" format="4" series="1">
      <pivotArea type="data" outline="0" fieldPosition="0">
        <references count="3">
          <reference field="4294967294" count="1" selected="0">
            <x v="0"/>
          </reference>
          <reference field="11" count="1" selected="0">
            <x v="4"/>
          </reference>
          <reference field="13" count="1" selected="0">
            <x v="0"/>
          </reference>
        </references>
      </pivotArea>
    </chartFormat>
    <chartFormat chart="7" format="0" series="1">
      <pivotArea type="data" outline="0" fieldPosition="0">
        <references count="2">
          <reference field="4294967294" count="1" selected="0">
            <x v="0"/>
          </reference>
          <reference field="13" count="1" selected="0">
            <x v="0"/>
          </reference>
        </references>
      </pivotArea>
    </chartFormat>
    <chartFormat chart="7" format="1" series="1">
      <pivotArea type="data" outline="0" fieldPosition="0">
        <references count="2">
          <reference field="4294967294" count="1" selected="0">
            <x v="0"/>
          </reference>
          <reference field="13" count="1" selected="0">
            <x v="1"/>
          </reference>
        </references>
      </pivotArea>
    </chartFormat>
    <chartFormat chart="8" format="10" series="1">
      <pivotArea type="data" outline="0" fieldPosition="0">
        <references count="2">
          <reference field="4294967294" count="1" selected="0">
            <x v="0"/>
          </reference>
          <reference field="13" count="1" selected="0">
            <x v="0"/>
          </reference>
        </references>
      </pivotArea>
    </chartFormat>
    <chartFormat chart="8" format="11" series="1">
      <pivotArea type="data" outline="0" fieldPosition="0">
        <references count="2">
          <reference field="4294967294" count="1" selected="0">
            <x v="0"/>
          </reference>
          <reference field="13" count="1" selected="0">
            <x v="1"/>
          </reference>
        </references>
      </pivotArea>
    </chartFormat>
    <chartFormat chart="9" format="12" series="1">
      <pivotArea type="data" outline="0" fieldPosition="0">
        <references count="2">
          <reference field="4294967294" count="1" selected="0">
            <x v="0"/>
          </reference>
          <reference field="13" count="1" selected="0">
            <x v="0"/>
          </reference>
        </references>
      </pivotArea>
    </chartFormat>
    <chartFormat chart="9" format="13" series="1">
      <pivotArea type="data" outline="0" fieldPosition="0">
        <references count="2">
          <reference field="4294967294" count="1" selected="0">
            <x v="0"/>
          </reference>
          <reference field="13" count="1" selected="0">
            <x v="1"/>
          </reference>
        </references>
      </pivotArea>
    </chartFormat>
    <chartFormat chart="9" format="14" series="1">
      <pivotArea type="data" outline="0" fieldPosition="0">
        <references count="3">
          <reference field="4294967294" count="1" selected="0">
            <x v="0"/>
          </reference>
          <reference field="11" count="1" selected="0">
            <x v="2"/>
          </reference>
          <reference field="13" count="1" selected="0">
            <x v="0"/>
          </reference>
        </references>
      </pivotArea>
    </chartFormat>
    <chartFormat chart="9" format="15" series="1">
      <pivotArea type="data" outline="0" fieldPosition="0">
        <references count="3">
          <reference field="4294967294" count="1" selected="0">
            <x v="0"/>
          </reference>
          <reference field="11" count="1" selected="0">
            <x v="3"/>
          </reference>
          <reference field="13" count="1" selected="0">
            <x v="0"/>
          </reference>
        </references>
      </pivotArea>
    </chartFormat>
    <chartFormat chart="9" format="16" series="1">
      <pivotArea type="data" outline="0" fieldPosition="0">
        <references count="3">
          <reference field="4294967294" count="1" selected="0">
            <x v="0"/>
          </reference>
          <reference field="11" count="1" selected="0">
            <x v="4"/>
          </reference>
          <reference field="13" count="1" selected="0">
            <x v="0"/>
          </reference>
        </references>
      </pivotArea>
    </chartFormat>
    <chartFormat chart="9" format="17" series="1">
      <pivotArea type="data" outline="0" fieldPosition="0">
        <references count="3">
          <reference field="4294967294" count="1" selected="0">
            <x v="0"/>
          </reference>
          <reference field="11" count="1" selected="0">
            <x v="0"/>
          </reference>
          <reference field="13" count="1" selected="0">
            <x v="1"/>
          </reference>
        </references>
      </pivotArea>
    </chartFormat>
    <chartFormat chart="9" format="18" series="1">
      <pivotArea type="data" outline="0" fieldPosition="0">
        <references count="3">
          <reference field="4294967294" count="1" selected="0">
            <x v="0"/>
          </reference>
          <reference field="11" count="1" selected="0">
            <x v="1"/>
          </reference>
          <reference field="13" count="1" selected="0">
            <x v="1"/>
          </reference>
        </references>
      </pivotArea>
    </chartFormat>
    <chartFormat chart="9" format="19" series="1">
      <pivotArea type="data" outline="0" fieldPosition="0">
        <references count="3">
          <reference field="4294967294" count="1" selected="0">
            <x v="0"/>
          </reference>
          <reference field="11" count="1" selected="0">
            <x v="2"/>
          </reference>
          <reference field="13" count="1" selected="0">
            <x v="1"/>
          </reference>
        </references>
      </pivotArea>
    </chartFormat>
    <chartFormat chart="9" format="20" series="1">
      <pivotArea type="data" outline="0" fieldPosition="0">
        <references count="3">
          <reference field="4294967294" count="1" selected="0">
            <x v="0"/>
          </reference>
          <reference field="11" count="1" selected="0">
            <x v="3"/>
          </reference>
          <reference field="13" count="1" selected="0">
            <x v="1"/>
          </reference>
        </references>
      </pivotArea>
    </chartFormat>
    <chartFormat chart="9" format="21" series="1">
      <pivotArea type="data" outline="0" fieldPosition="0">
        <references count="3">
          <reference field="4294967294" count="1" selected="0">
            <x v="0"/>
          </reference>
          <reference field="11" count="1" selected="0">
            <x v="4"/>
          </reference>
          <reference field="13" count="1" selected="0">
            <x v="1"/>
          </reference>
        </references>
      </pivotArea>
    </chartFormat>
    <chartFormat chart="8" format="12" series="1">
      <pivotArea type="data" outline="0" fieldPosition="0">
        <references count="3">
          <reference field="4294967294" count="1" selected="0">
            <x v="0"/>
          </reference>
          <reference field="11" count="1" selected="0">
            <x v="2"/>
          </reference>
          <reference field="13" count="1" selected="0">
            <x v="0"/>
          </reference>
        </references>
      </pivotArea>
    </chartFormat>
    <chartFormat chart="8" format="13" series="1">
      <pivotArea type="data" outline="0" fieldPosition="0">
        <references count="3">
          <reference field="4294967294" count="1" selected="0">
            <x v="0"/>
          </reference>
          <reference field="11" count="1" selected="0">
            <x v="3"/>
          </reference>
          <reference field="13" count="1" selected="0">
            <x v="0"/>
          </reference>
        </references>
      </pivotArea>
    </chartFormat>
    <chartFormat chart="8" format="14" series="1">
      <pivotArea type="data" outline="0" fieldPosition="0">
        <references count="3">
          <reference field="4294967294" count="1" selected="0">
            <x v="0"/>
          </reference>
          <reference field="11" count="1" selected="0">
            <x v="4"/>
          </reference>
          <reference field="13" count="1" selected="0">
            <x v="0"/>
          </reference>
        </references>
      </pivotArea>
    </chartFormat>
    <chartFormat chart="8" format="15" series="1">
      <pivotArea type="data" outline="0" fieldPosition="0">
        <references count="3">
          <reference field="4294967294" count="1" selected="0">
            <x v="0"/>
          </reference>
          <reference field="11" count="1" selected="0">
            <x v="0"/>
          </reference>
          <reference field="13" count="1" selected="0">
            <x v="1"/>
          </reference>
        </references>
      </pivotArea>
    </chartFormat>
    <chartFormat chart="8" format="16" series="1">
      <pivotArea type="data" outline="0" fieldPosition="0">
        <references count="3">
          <reference field="4294967294" count="1" selected="0">
            <x v="0"/>
          </reference>
          <reference field="11" count="1" selected="0">
            <x v="1"/>
          </reference>
          <reference field="13" count="1" selected="0">
            <x v="1"/>
          </reference>
        </references>
      </pivotArea>
    </chartFormat>
    <chartFormat chart="8" format="17" series="1">
      <pivotArea type="data" outline="0" fieldPosition="0">
        <references count="3">
          <reference field="4294967294" count="1" selected="0">
            <x v="0"/>
          </reference>
          <reference field="11" count="1" selected="0">
            <x v="2"/>
          </reference>
          <reference field="13" count="1" selected="0">
            <x v="1"/>
          </reference>
        </references>
      </pivotArea>
    </chartFormat>
    <chartFormat chart="8" format="18" series="1">
      <pivotArea type="data" outline="0" fieldPosition="0">
        <references count="3">
          <reference field="4294967294" count="1" selected="0">
            <x v="0"/>
          </reference>
          <reference field="11" count="1" selected="0">
            <x v="3"/>
          </reference>
          <reference field="13" count="1" selected="0">
            <x v="1"/>
          </reference>
        </references>
      </pivotArea>
    </chartFormat>
    <chartFormat chart="8" format="19" series="1">
      <pivotArea type="data" outline="0" fieldPosition="0">
        <references count="3">
          <reference field="4294967294" count="1" selected="0">
            <x v="0"/>
          </reference>
          <reference field="11" count="1" selected="0">
            <x v="4"/>
          </reference>
          <reference field="13" count="1" selected="0">
            <x v="1"/>
          </reference>
        </references>
      </pivotArea>
    </chartFormat>
    <chartFormat chart="7" format="10" series="1">
      <pivotArea type="data" outline="0" fieldPosition="0">
        <references count="3">
          <reference field="4294967294" count="1" selected="0">
            <x v="0"/>
          </reference>
          <reference field="11" count="1" selected="0">
            <x v="2"/>
          </reference>
          <reference field="13" count="1" selected="0">
            <x v="0"/>
          </reference>
        </references>
      </pivotArea>
    </chartFormat>
    <chartFormat chart="7" format="11" series="1">
      <pivotArea type="data" outline="0" fieldPosition="0">
        <references count="3">
          <reference field="4294967294" count="1" selected="0">
            <x v="0"/>
          </reference>
          <reference field="11" count="1" selected="0">
            <x v="3"/>
          </reference>
          <reference field="13" count="1" selected="0">
            <x v="0"/>
          </reference>
        </references>
      </pivotArea>
    </chartFormat>
    <chartFormat chart="7" format="12" series="1">
      <pivotArea type="data" outline="0" fieldPosition="0">
        <references count="3">
          <reference field="4294967294" count="1" selected="0">
            <x v="0"/>
          </reference>
          <reference field="11" count="1" selected="0">
            <x v="4"/>
          </reference>
          <reference field="13" count="1" selected="0">
            <x v="0"/>
          </reference>
        </references>
      </pivotArea>
    </chartFormat>
    <chartFormat chart="7" format="13" series="1">
      <pivotArea type="data" outline="0" fieldPosition="0">
        <references count="3">
          <reference field="4294967294" count="1" selected="0">
            <x v="0"/>
          </reference>
          <reference field="11" count="1" selected="0">
            <x v="0"/>
          </reference>
          <reference field="13" count="1" selected="0">
            <x v="1"/>
          </reference>
        </references>
      </pivotArea>
    </chartFormat>
    <chartFormat chart="7" format="14" series="1">
      <pivotArea type="data" outline="0" fieldPosition="0">
        <references count="3">
          <reference field="4294967294" count="1" selected="0">
            <x v="0"/>
          </reference>
          <reference field="11" count="1" selected="0">
            <x v="1"/>
          </reference>
          <reference field="13" count="1" selected="0">
            <x v="1"/>
          </reference>
        </references>
      </pivotArea>
    </chartFormat>
    <chartFormat chart="7" format="15" series="1">
      <pivotArea type="data" outline="0" fieldPosition="0">
        <references count="3">
          <reference field="4294967294" count="1" selected="0">
            <x v="0"/>
          </reference>
          <reference field="11" count="1" selected="0">
            <x v="2"/>
          </reference>
          <reference field="13" count="1" selected="0">
            <x v="1"/>
          </reference>
        </references>
      </pivotArea>
    </chartFormat>
    <chartFormat chart="7" format="16" series="1">
      <pivotArea type="data" outline="0" fieldPosition="0">
        <references count="3">
          <reference field="4294967294" count="1" selected="0">
            <x v="0"/>
          </reference>
          <reference field="11" count="1" selected="0">
            <x v="3"/>
          </reference>
          <reference field="13" count="1" selected="0">
            <x v="1"/>
          </reference>
        </references>
      </pivotArea>
    </chartFormat>
    <chartFormat chart="7" format="17" series="1">
      <pivotArea type="data" outline="0" fieldPosition="0">
        <references count="3">
          <reference field="4294967294" count="1" selected="0">
            <x v="0"/>
          </reference>
          <reference field="11" count="1" selected="0">
            <x v="4"/>
          </reference>
          <reference field="13" count="1" selected="0">
            <x v="1"/>
          </reference>
        </references>
      </pivotArea>
    </chartFormat>
    <chartFormat chart="5" format="13" series="1">
      <pivotArea type="data" outline="0" fieldPosition="0">
        <references count="3">
          <reference field="4294967294" count="1" selected="0">
            <x v="0"/>
          </reference>
          <reference field="11" count="1" selected="0">
            <x v="0"/>
          </reference>
          <reference field="13" count="1" selected="0">
            <x v="1"/>
          </reference>
        </references>
      </pivotArea>
    </chartFormat>
    <chartFormat chart="5" format="14" series="1">
      <pivotArea type="data" outline="0" fieldPosition="0">
        <references count="3">
          <reference field="4294967294" count="1" selected="0">
            <x v="0"/>
          </reference>
          <reference field="11" count="1" selected="0">
            <x v="1"/>
          </reference>
          <reference field="13" count="1" selected="0">
            <x v="1"/>
          </reference>
        </references>
      </pivotArea>
    </chartFormat>
    <chartFormat chart="5" format="15" series="1">
      <pivotArea type="data" outline="0" fieldPosition="0">
        <references count="3">
          <reference field="4294967294" count="1" selected="0">
            <x v="0"/>
          </reference>
          <reference field="11" count="1" selected="0">
            <x v="2"/>
          </reference>
          <reference field="13" count="1" selected="0">
            <x v="1"/>
          </reference>
        </references>
      </pivotArea>
    </chartFormat>
    <chartFormat chart="5" format="16" series="1">
      <pivotArea type="data" outline="0" fieldPosition="0">
        <references count="3">
          <reference field="4294967294" count="1" selected="0">
            <x v="0"/>
          </reference>
          <reference field="11" count="1" selected="0">
            <x v="3"/>
          </reference>
          <reference field="13" count="1" selected="0">
            <x v="1"/>
          </reference>
        </references>
      </pivotArea>
    </chartFormat>
    <chartFormat chart="5" format="17" series="1">
      <pivotArea type="data" outline="0" fieldPosition="0">
        <references count="3">
          <reference field="4294967294" count="1" selected="0">
            <x v="0"/>
          </reference>
          <reference field="11" count="1" selected="0">
            <x v="4"/>
          </reference>
          <reference field="13" count="1" selected="0">
            <x v="1"/>
          </reference>
        </references>
      </pivotArea>
    </chartFormat>
    <chartFormat chart="7" format="18" series="1">
      <pivotArea type="data" outline="0" fieldPosition="0">
        <references count="1">
          <reference field="4294967294" count="1" selected="0">
            <x v="0"/>
          </reference>
        </references>
      </pivotArea>
    </chartFormat>
    <chartFormat chart="20" format="21" series="1">
      <pivotArea type="data" outline="0" fieldPosition="0">
        <references count="2">
          <reference field="4294967294" count="1" selected="0">
            <x v="0"/>
          </reference>
          <reference field="13" count="1" selected="0">
            <x v="0"/>
          </reference>
        </references>
      </pivotArea>
    </chartFormat>
    <chartFormat chart="20" format="22" series="1">
      <pivotArea type="data" outline="0" fieldPosition="0">
        <references count="2">
          <reference field="4294967294" count="1" selected="0">
            <x v="0"/>
          </reference>
          <reference field="13" count="1" selected="0">
            <x v="1"/>
          </reference>
        </references>
      </pivotArea>
    </chartFormat>
    <chartFormat chart="26" format="21" series="1">
      <pivotArea type="data" outline="0" fieldPosition="0">
        <references count="2">
          <reference field="4294967294" count="1" selected="0">
            <x v="0"/>
          </reference>
          <reference field="13" count="1" selected="0">
            <x v="0"/>
          </reference>
        </references>
      </pivotArea>
    </chartFormat>
    <chartFormat chart="26" format="22" series="1">
      <pivotArea type="data" outline="0" fieldPosition="0">
        <references count="2">
          <reference field="4294967294" count="1" selected="0">
            <x v="0"/>
          </reference>
          <reference field="13" count="1" selected="0">
            <x v="1"/>
          </reference>
        </references>
      </pivotArea>
    </chartFormat>
    <chartFormat chart="28" format="23" series="1">
      <pivotArea type="data" outline="0" fieldPosition="0">
        <references count="2">
          <reference field="4294967294" count="1" selected="0">
            <x v="0"/>
          </reference>
          <reference field="13" count="1" selected="0">
            <x v="0"/>
          </reference>
        </references>
      </pivotArea>
    </chartFormat>
    <chartFormat chart="28" format="24">
      <pivotArea type="data" outline="0" fieldPosition="0">
        <references count="3">
          <reference field="4294967294" count="1" selected="0">
            <x v="0"/>
          </reference>
          <reference field="9" count="1" selected="0">
            <x v="0"/>
          </reference>
          <reference field="13" count="1" selected="0">
            <x v="0"/>
          </reference>
        </references>
      </pivotArea>
    </chartFormat>
    <chartFormat chart="28" format="25">
      <pivotArea type="data" outline="0" fieldPosition="0">
        <references count="3">
          <reference field="4294967294" count="1" selected="0">
            <x v="0"/>
          </reference>
          <reference field="9" count="1" selected="0">
            <x v="2"/>
          </reference>
          <reference field="13" count="1" selected="0">
            <x v="0"/>
          </reference>
        </references>
      </pivotArea>
    </chartFormat>
    <chartFormat chart="28" format="26">
      <pivotArea type="data" outline="0" fieldPosition="0">
        <references count="3">
          <reference field="4294967294" count="1" selected="0">
            <x v="0"/>
          </reference>
          <reference field="9" count="1" selected="0">
            <x v="3"/>
          </reference>
          <reference field="13" count="1" selected="0">
            <x v="0"/>
          </reference>
        </references>
      </pivotArea>
    </chartFormat>
    <chartFormat chart="28" format="27">
      <pivotArea type="data" outline="0" fieldPosition="0">
        <references count="3">
          <reference field="4294967294" count="1" selected="0">
            <x v="0"/>
          </reference>
          <reference field="9" count="1" selected="0">
            <x v="4"/>
          </reference>
          <reference field="13" count="1" selected="0">
            <x v="0"/>
          </reference>
        </references>
      </pivotArea>
    </chartFormat>
    <chartFormat chart="28" format="28">
      <pivotArea type="data" outline="0" fieldPosition="0">
        <references count="3">
          <reference field="4294967294" count="1" selected="0">
            <x v="0"/>
          </reference>
          <reference field="9" count="1" selected="0">
            <x v="5"/>
          </reference>
          <reference field="13" count="1" selected="0">
            <x v="0"/>
          </reference>
        </references>
      </pivotArea>
    </chartFormat>
    <chartFormat chart="28" format="29" series="1">
      <pivotArea type="data" outline="0" fieldPosition="0">
        <references count="2">
          <reference field="4294967294" count="1" selected="0">
            <x v="0"/>
          </reference>
          <reference field="13" count="1" selected="0">
            <x v="1"/>
          </reference>
        </references>
      </pivotArea>
    </chartFormat>
    <chartFormat chart="28" format="30">
      <pivotArea type="data" outline="0" fieldPosition="0">
        <references count="3">
          <reference field="4294967294" count="1" selected="0">
            <x v="0"/>
          </reference>
          <reference field="9" count="1" selected="0">
            <x v="0"/>
          </reference>
          <reference field="13" count="1" selected="0">
            <x v="1"/>
          </reference>
        </references>
      </pivotArea>
    </chartFormat>
    <chartFormat chart="28" format="31">
      <pivotArea type="data" outline="0" fieldPosition="0">
        <references count="3">
          <reference field="4294967294" count="1" selected="0">
            <x v="0"/>
          </reference>
          <reference field="9" count="1" selected="0">
            <x v="2"/>
          </reference>
          <reference field="13" count="1" selected="0">
            <x v="1"/>
          </reference>
        </references>
      </pivotArea>
    </chartFormat>
    <chartFormat chart="28" format="32">
      <pivotArea type="data" outline="0" fieldPosition="0">
        <references count="3">
          <reference field="4294967294" count="1" selected="0">
            <x v="0"/>
          </reference>
          <reference field="9" count="1" selected="0">
            <x v="3"/>
          </reference>
          <reference field="13" count="1" selected="0">
            <x v="1"/>
          </reference>
        </references>
      </pivotArea>
    </chartFormat>
    <chartFormat chart="28" format="33">
      <pivotArea type="data" outline="0" fieldPosition="0">
        <references count="3">
          <reference field="4294967294" count="1" selected="0">
            <x v="0"/>
          </reference>
          <reference field="9" count="1" selected="0">
            <x v="4"/>
          </reference>
          <reference field="13" count="1" selected="0">
            <x v="1"/>
          </reference>
        </references>
      </pivotArea>
    </chartFormat>
    <chartFormat chart="28" format="34">
      <pivotArea type="data" outline="0" fieldPosition="0">
        <references count="3">
          <reference field="4294967294" count="1" selected="0">
            <x v="0"/>
          </reference>
          <reference field="9" count="1" selected="0">
            <x v="5"/>
          </reference>
          <reference field="13" count="1" selected="0">
            <x v="1"/>
          </reference>
        </references>
      </pivotArea>
    </chartFormat>
    <chartFormat chart="29" format="35" series="1">
      <pivotArea type="data" outline="0" fieldPosition="0">
        <references count="2">
          <reference field="4294967294" count="1" selected="0">
            <x v="0"/>
          </reference>
          <reference field="13" count="1" selected="0">
            <x v="0"/>
          </reference>
        </references>
      </pivotArea>
    </chartFormat>
    <chartFormat chart="29" format="36">
      <pivotArea type="data" outline="0" fieldPosition="0">
        <references count="3">
          <reference field="4294967294" count="1" selected="0">
            <x v="0"/>
          </reference>
          <reference field="9" count="1" selected="0">
            <x v="0"/>
          </reference>
          <reference field="13" count="1" selected="0">
            <x v="0"/>
          </reference>
        </references>
      </pivotArea>
    </chartFormat>
    <chartFormat chart="29" format="37">
      <pivotArea type="data" outline="0" fieldPosition="0">
        <references count="3">
          <reference field="4294967294" count="1" selected="0">
            <x v="0"/>
          </reference>
          <reference field="9" count="1" selected="0">
            <x v="2"/>
          </reference>
          <reference field="13" count="1" selected="0">
            <x v="0"/>
          </reference>
        </references>
      </pivotArea>
    </chartFormat>
    <chartFormat chart="29" format="38">
      <pivotArea type="data" outline="0" fieldPosition="0">
        <references count="3">
          <reference field="4294967294" count="1" selected="0">
            <x v="0"/>
          </reference>
          <reference field="9" count="1" selected="0">
            <x v="3"/>
          </reference>
          <reference field="13" count="1" selected="0">
            <x v="0"/>
          </reference>
        </references>
      </pivotArea>
    </chartFormat>
    <chartFormat chart="29" format="39">
      <pivotArea type="data" outline="0" fieldPosition="0">
        <references count="3">
          <reference field="4294967294" count="1" selected="0">
            <x v="0"/>
          </reference>
          <reference field="9" count="1" selected="0">
            <x v="4"/>
          </reference>
          <reference field="13" count="1" selected="0">
            <x v="0"/>
          </reference>
        </references>
      </pivotArea>
    </chartFormat>
    <chartFormat chart="29" format="40">
      <pivotArea type="data" outline="0" fieldPosition="0">
        <references count="3">
          <reference field="4294967294" count="1" selected="0">
            <x v="0"/>
          </reference>
          <reference field="9" count="1" selected="0">
            <x v="5"/>
          </reference>
          <reference field="13" count="1" selected="0">
            <x v="0"/>
          </reference>
        </references>
      </pivotArea>
    </chartFormat>
    <chartFormat chart="29" format="41" series="1">
      <pivotArea type="data" outline="0" fieldPosition="0">
        <references count="2">
          <reference field="4294967294" count="1" selected="0">
            <x v="0"/>
          </reference>
          <reference field="13" count="1" selected="0">
            <x v="1"/>
          </reference>
        </references>
      </pivotArea>
    </chartFormat>
    <chartFormat chart="29" format="42">
      <pivotArea type="data" outline="0" fieldPosition="0">
        <references count="3">
          <reference field="4294967294" count="1" selected="0">
            <x v="0"/>
          </reference>
          <reference field="9" count="1" selected="0">
            <x v="0"/>
          </reference>
          <reference field="13" count="1" selected="0">
            <x v="1"/>
          </reference>
        </references>
      </pivotArea>
    </chartFormat>
    <chartFormat chart="29" format="43">
      <pivotArea type="data" outline="0" fieldPosition="0">
        <references count="3">
          <reference field="4294967294" count="1" selected="0">
            <x v="0"/>
          </reference>
          <reference field="9" count="1" selected="0">
            <x v="2"/>
          </reference>
          <reference field="13" count="1" selected="0">
            <x v="1"/>
          </reference>
        </references>
      </pivotArea>
    </chartFormat>
    <chartFormat chart="29" format="44">
      <pivotArea type="data" outline="0" fieldPosition="0">
        <references count="3">
          <reference field="4294967294" count="1" selected="0">
            <x v="0"/>
          </reference>
          <reference field="9" count="1" selected="0">
            <x v="3"/>
          </reference>
          <reference field="13" count="1" selected="0">
            <x v="1"/>
          </reference>
        </references>
      </pivotArea>
    </chartFormat>
    <chartFormat chart="29" format="45">
      <pivotArea type="data" outline="0" fieldPosition="0">
        <references count="3">
          <reference field="4294967294" count="1" selected="0">
            <x v="0"/>
          </reference>
          <reference field="9" count="1" selected="0">
            <x v="4"/>
          </reference>
          <reference field="13" count="1" selected="0">
            <x v="1"/>
          </reference>
        </references>
      </pivotArea>
    </chartFormat>
    <chartFormat chart="29" format="46">
      <pivotArea type="data" outline="0" fieldPosition="0">
        <references count="3">
          <reference field="4294967294" count="1" selected="0">
            <x v="0"/>
          </reference>
          <reference field="9" count="1" selected="0">
            <x v="5"/>
          </reference>
          <reference field="13" count="1" selected="0">
            <x v="1"/>
          </reference>
        </references>
      </pivotArea>
    </chartFormat>
    <chartFormat chart="31" format="35" series="1">
      <pivotArea type="data" outline="0" fieldPosition="0">
        <references count="2">
          <reference field="4294967294" count="1" selected="0">
            <x v="0"/>
          </reference>
          <reference field="13" count="1" selected="0">
            <x v="0"/>
          </reference>
        </references>
      </pivotArea>
    </chartFormat>
    <chartFormat chart="31" format="36">
      <pivotArea type="data" outline="0" fieldPosition="0">
        <references count="3">
          <reference field="4294967294" count="1" selected="0">
            <x v="0"/>
          </reference>
          <reference field="9" count="1" selected="0">
            <x v="0"/>
          </reference>
          <reference field="13" count="1" selected="0">
            <x v="0"/>
          </reference>
        </references>
      </pivotArea>
    </chartFormat>
    <chartFormat chart="31" format="37">
      <pivotArea type="data" outline="0" fieldPosition="0">
        <references count="3">
          <reference field="4294967294" count="1" selected="0">
            <x v="0"/>
          </reference>
          <reference field="9" count="1" selected="0">
            <x v="2"/>
          </reference>
          <reference field="13" count="1" selected="0">
            <x v="0"/>
          </reference>
        </references>
      </pivotArea>
    </chartFormat>
    <chartFormat chart="31" format="38">
      <pivotArea type="data" outline="0" fieldPosition="0">
        <references count="3">
          <reference field="4294967294" count="1" selected="0">
            <x v="0"/>
          </reference>
          <reference field="9" count="1" selected="0">
            <x v="3"/>
          </reference>
          <reference field="13" count="1" selected="0">
            <x v="0"/>
          </reference>
        </references>
      </pivotArea>
    </chartFormat>
    <chartFormat chart="31" format="39">
      <pivotArea type="data" outline="0" fieldPosition="0">
        <references count="3">
          <reference field="4294967294" count="1" selected="0">
            <x v="0"/>
          </reference>
          <reference field="9" count="1" selected="0">
            <x v="4"/>
          </reference>
          <reference field="13" count="1" selected="0">
            <x v="0"/>
          </reference>
        </references>
      </pivotArea>
    </chartFormat>
    <chartFormat chart="31" format="40">
      <pivotArea type="data" outline="0" fieldPosition="0">
        <references count="3">
          <reference field="4294967294" count="1" selected="0">
            <x v="0"/>
          </reference>
          <reference field="9" count="1" selected="0">
            <x v="5"/>
          </reference>
          <reference field="13" count="1" selected="0">
            <x v="0"/>
          </reference>
        </references>
      </pivotArea>
    </chartFormat>
    <chartFormat chart="31" format="41" series="1">
      <pivotArea type="data" outline="0" fieldPosition="0">
        <references count="2">
          <reference field="4294967294" count="1" selected="0">
            <x v="0"/>
          </reference>
          <reference field="13" count="1" selected="0">
            <x v="1"/>
          </reference>
        </references>
      </pivotArea>
    </chartFormat>
    <chartFormat chart="31" format="42">
      <pivotArea type="data" outline="0" fieldPosition="0">
        <references count="3">
          <reference field="4294967294" count="1" selected="0">
            <x v="0"/>
          </reference>
          <reference field="9" count="1" selected="0">
            <x v="0"/>
          </reference>
          <reference field="13" count="1" selected="0">
            <x v="1"/>
          </reference>
        </references>
      </pivotArea>
    </chartFormat>
    <chartFormat chart="31" format="43">
      <pivotArea type="data" outline="0" fieldPosition="0">
        <references count="3">
          <reference field="4294967294" count="1" selected="0">
            <x v="0"/>
          </reference>
          <reference field="9" count="1" selected="0">
            <x v="2"/>
          </reference>
          <reference field="13" count="1" selected="0">
            <x v="1"/>
          </reference>
        </references>
      </pivotArea>
    </chartFormat>
    <chartFormat chart="31" format="44">
      <pivotArea type="data" outline="0" fieldPosition="0">
        <references count="3">
          <reference field="4294967294" count="1" selected="0">
            <x v="0"/>
          </reference>
          <reference field="9" count="1" selected="0">
            <x v="3"/>
          </reference>
          <reference field="13" count="1" selected="0">
            <x v="1"/>
          </reference>
        </references>
      </pivotArea>
    </chartFormat>
    <chartFormat chart="31" format="45">
      <pivotArea type="data" outline="0" fieldPosition="0">
        <references count="3">
          <reference field="4294967294" count="1" selected="0">
            <x v="0"/>
          </reference>
          <reference field="9" count="1" selected="0">
            <x v="4"/>
          </reference>
          <reference field="13" count="1" selected="0">
            <x v="1"/>
          </reference>
        </references>
      </pivotArea>
    </chartFormat>
    <chartFormat chart="31" format="46">
      <pivotArea type="data" outline="0" fieldPosition="0">
        <references count="3">
          <reference field="4294967294" count="1" selected="0">
            <x v="0"/>
          </reference>
          <reference field="9" count="1" selected="0">
            <x v="5"/>
          </reference>
          <reference field="13" count="1" selected="0">
            <x v="1"/>
          </reference>
        </references>
      </pivotArea>
    </chartFormat>
    <chartFormat chart="26" format="23">
      <pivotArea type="data" outline="0" fieldPosition="0">
        <references count="3">
          <reference field="4294967294" count="1" selected="0">
            <x v="0"/>
          </reference>
          <reference field="9" count="1" selected="0">
            <x v="0"/>
          </reference>
          <reference field="13" count="1" selected="0">
            <x v="0"/>
          </reference>
        </references>
      </pivotArea>
    </chartFormat>
    <chartFormat chart="26" format="24">
      <pivotArea type="data" outline="0" fieldPosition="0">
        <references count="3">
          <reference field="4294967294" count="1" selected="0">
            <x v="0"/>
          </reference>
          <reference field="9" count="1" selected="0">
            <x v="2"/>
          </reference>
          <reference field="13" count="1" selected="0">
            <x v="0"/>
          </reference>
        </references>
      </pivotArea>
    </chartFormat>
    <chartFormat chart="26" format="25">
      <pivotArea type="data" outline="0" fieldPosition="0">
        <references count="3">
          <reference field="4294967294" count="1" selected="0">
            <x v="0"/>
          </reference>
          <reference field="9" count="1" selected="0">
            <x v="3"/>
          </reference>
          <reference field="13" count="1" selected="0">
            <x v="0"/>
          </reference>
        </references>
      </pivotArea>
    </chartFormat>
    <chartFormat chart="26" format="26">
      <pivotArea type="data" outline="0" fieldPosition="0">
        <references count="3">
          <reference field="4294967294" count="1" selected="0">
            <x v="0"/>
          </reference>
          <reference field="9" count="1" selected="0">
            <x v="4"/>
          </reference>
          <reference field="13" count="1" selected="0">
            <x v="0"/>
          </reference>
        </references>
      </pivotArea>
    </chartFormat>
    <chartFormat chart="26" format="27">
      <pivotArea type="data" outline="0" fieldPosition="0">
        <references count="3">
          <reference field="4294967294" count="1" selected="0">
            <x v="0"/>
          </reference>
          <reference field="9" count="1" selected="0">
            <x v="5"/>
          </reference>
          <reference field="13" count="1" selected="0">
            <x v="0"/>
          </reference>
        </references>
      </pivotArea>
    </chartFormat>
    <chartFormat chart="26" format="28">
      <pivotArea type="data" outline="0" fieldPosition="0">
        <references count="3">
          <reference field="4294967294" count="1" selected="0">
            <x v="0"/>
          </reference>
          <reference field="9" count="1" selected="0">
            <x v="0"/>
          </reference>
          <reference field="13" count="1" selected="0">
            <x v="1"/>
          </reference>
        </references>
      </pivotArea>
    </chartFormat>
    <chartFormat chart="26" format="29">
      <pivotArea type="data" outline="0" fieldPosition="0">
        <references count="3">
          <reference field="4294967294" count="1" selected="0">
            <x v="0"/>
          </reference>
          <reference field="9" count="1" selected="0">
            <x v="2"/>
          </reference>
          <reference field="13" count="1" selected="0">
            <x v="1"/>
          </reference>
        </references>
      </pivotArea>
    </chartFormat>
    <chartFormat chart="26" format="30">
      <pivotArea type="data" outline="0" fieldPosition="0">
        <references count="3">
          <reference field="4294967294" count="1" selected="0">
            <x v="0"/>
          </reference>
          <reference field="9" count="1" selected="0">
            <x v="3"/>
          </reference>
          <reference field="13" count="1" selected="0">
            <x v="1"/>
          </reference>
        </references>
      </pivotArea>
    </chartFormat>
    <chartFormat chart="26" format="31">
      <pivotArea type="data" outline="0" fieldPosition="0">
        <references count="3">
          <reference field="4294967294" count="1" selected="0">
            <x v="0"/>
          </reference>
          <reference field="9" count="1" selected="0">
            <x v="4"/>
          </reference>
          <reference field="13" count="1" selected="0">
            <x v="1"/>
          </reference>
        </references>
      </pivotArea>
    </chartFormat>
    <chartFormat chart="26" format="32">
      <pivotArea type="data" outline="0" fieldPosition="0">
        <references count="3">
          <reference field="4294967294" count="1" selected="0">
            <x v="0"/>
          </reference>
          <reference field="9" count="1" selected="0">
            <x v="5"/>
          </reference>
          <reference field="13" count="1" selected="0">
            <x v="1"/>
          </reference>
        </references>
      </pivotArea>
    </chartFormat>
    <chartFormat chart="20" format="23">
      <pivotArea type="data" outline="0" fieldPosition="0">
        <references count="3">
          <reference field="4294967294" count="1" selected="0">
            <x v="0"/>
          </reference>
          <reference field="9" count="1" selected="0">
            <x v="0"/>
          </reference>
          <reference field="13" count="1" selected="0">
            <x v="1"/>
          </reference>
        </references>
      </pivotArea>
    </chartFormat>
  </chartFormats>
  <pivotTableStyleInfo name="PivotStyleLight1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BCC004A-3B64-466C-B150-E43D52EE348A}" name="PivotTable4" cacheId="10" applyNumberFormats="0" applyBorderFormats="0" applyFontFormats="0" applyPatternFormats="0" applyAlignmentFormats="0" applyWidthHeightFormats="1" dataCaption="Values" updatedVersion="8" minRefreshableVersion="3" useAutoFormatting="1" itemPrintTitles="1" createdVersion="8" indent="0" showHeaders="0" outline="1" outlineData="1" multipleFieldFilters="0" chartFormat="36">
  <location ref="G70:J74" firstHeaderRow="1" firstDataRow="2" firstDataCol="1"/>
  <pivotFields count="14">
    <pivotField showAll="0"/>
    <pivotField showAll="0"/>
    <pivotField axis="axisRow" showAll="0">
      <items count="3">
        <item x="0"/>
        <item x="1"/>
        <item t="default"/>
      </items>
    </pivotField>
    <pivotField numFmtId="1" showAll="0"/>
    <pivotField showAll="0"/>
    <pivotField showAll="0">
      <items count="6">
        <item x="0"/>
        <item x="4"/>
        <item x="2"/>
        <item x="1"/>
        <item x="3"/>
        <item t="default"/>
      </items>
    </pivotField>
    <pivotField showAll="0"/>
    <pivotField axis="axisCol" showAll="0">
      <items count="3">
        <item x="1"/>
        <item x="0"/>
        <item t="default"/>
      </items>
    </pivotField>
    <pivotField showAll="0">
      <items count="6">
        <item x="0"/>
        <item x="1"/>
        <item x="2"/>
        <item x="4"/>
        <item x="3"/>
        <item t="default"/>
      </items>
    </pivotField>
    <pivotField showAll="0"/>
    <pivotField showAll="0">
      <items count="4">
        <item x="0"/>
        <item x="2"/>
        <item x="1"/>
        <item t="default"/>
      </items>
    </pivotField>
    <pivotField showAll="0">
      <items count="6">
        <item x="2"/>
        <item x="0"/>
        <item x="1"/>
        <item x="4"/>
        <item x="3"/>
        <item t="default"/>
      </items>
    </pivotField>
    <pivotField showAll="0"/>
    <pivotField dataField="1" showAll="0">
      <items count="3">
        <item x="0"/>
        <item x="1"/>
        <item t="default"/>
      </items>
    </pivotField>
  </pivotFields>
  <rowFields count="1">
    <field x="2"/>
  </rowFields>
  <rowItems count="3">
    <i>
      <x/>
    </i>
    <i>
      <x v="1"/>
    </i>
    <i t="grand">
      <x/>
    </i>
  </rowItems>
  <colFields count="1">
    <field x="7"/>
  </colFields>
  <colItems count="3">
    <i>
      <x/>
    </i>
    <i>
      <x v="1"/>
    </i>
    <i t="grand">
      <x/>
    </i>
  </colItems>
  <dataFields count="1">
    <dataField name="Count of Purchased bike that are home owner" fld="13" subtotal="count" baseField="0" baseItem="0"/>
  </dataFields>
  <formats count="8">
    <format dxfId="174">
      <pivotArea type="all" dataOnly="0" outline="0" fieldPosition="0"/>
    </format>
    <format dxfId="173">
      <pivotArea outline="0" collapsedLevelsAreSubtotals="1" fieldPosition="0"/>
    </format>
    <format dxfId="172">
      <pivotArea type="origin" dataOnly="0" labelOnly="1" outline="0" fieldPosition="0"/>
    </format>
    <format dxfId="171">
      <pivotArea field="7" type="button" dataOnly="0" labelOnly="1" outline="0" axis="axisCol" fieldPosition="0"/>
    </format>
    <format dxfId="170">
      <pivotArea type="topRight" dataOnly="0" labelOnly="1" outline="0" fieldPosition="0"/>
    </format>
    <format dxfId="169">
      <pivotArea field="13" type="button" dataOnly="0" labelOnly="1" outline="0"/>
    </format>
    <format dxfId="168">
      <pivotArea dataOnly="0" labelOnly="1" grandRow="1" outline="0" fieldPosition="0"/>
    </format>
    <format dxfId="167">
      <pivotArea dataOnly="0" labelOnly="1" grandCol="1" outline="0" fieldPosition="0"/>
    </format>
  </formats>
  <chartFormats count="8">
    <chartFormat chart="1" format="2" series="1">
      <pivotArea type="data" outline="0" fieldPosition="0">
        <references count="1">
          <reference field="4294967294" count="1" selected="0">
            <x v="0"/>
          </reference>
        </references>
      </pivotArea>
    </chartFormat>
    <chartFormat chart="23" format="0" series="1">
      <pivotArea type="data" outline="0" fieldPosition="0">
        <references count="1">
          <reference field="4294967294" count="1" selected="0">
            <x v="0"/>
          </reference>
        </references>
      </pivotArea>
    </chartFormat>
    <chartFormat chart="23" format="1" series="1">
      <pivotArea type="data" outline="0" fieldPosition="0">
        <references count="2">
          <reference field="4294967294" count="1" selected="0">
            <x v="0"/>
          </reference>
          <reference field="7" count="1" selected="0">
            <x v="1"/>
          </reference>
        </references>
      </pivotArea>
    </chartFormat>
    <chartFormat chart="1" format="3" series="1">
      <pivotArea type="data" outline="0" fieldPosition="0">
        <references count="2">
          <reference field="4294967294" count="1" selected="0">
            <x v="0"/>
          </reference>
          <reference field="7" count="1" selected="0">
            <x v="1"/>
          </reference>
        </references>
      </pivotArea>
    </chartFormat>
    <chartFormat chart="32" format="4" series="1">
      <pivotArea type="data" outline="0" fieldPosition="0">
        <references count="2">
          <reference field="4294967294" count="1" selected="0">
            <x v="0"/>
          </reference>
          <reference field="7" count="1" selected="0">
            <x v="0"/>
          </reference>
        </references>
      </pivotArea>
    </chartFormat>
    <chartFormat chart="32" format="5" series="1">
      <pivotArea type="data" outline="0" fieldPosition="0">
        <references count="2">
          <reference field="4294967294" count="1" selected="0">
            <x v="0"/>
          </reference>
          <reference field="7" count="1" selected="0">
            <x v="1"/>
          </reference>
        </references>
      </pivotArea>
    </chartFormat>
    <chartFormat chart="23" format="2" series="1">
      <pivotArea type="data" outline="0" fieldPosition="0">
        <references count="2">
          <reference field="4294967294" count="1" selected="0">
            <x v="0"/>
          </reference>
          <reference field="7" count="1" selected="0">
            <x v="0"/>
          </reference>
        </references>
      </pivotArea>
    </chartFormat>
    <chartFormat chart="1" format="4" series="1">
      <pivotArea type="data" outline="0" fieldPosition="0">
        <references count="2">
          <reference field="4294967294" count="1" selected="0">
            <x v="0"/>
          </reference>
          <reference field="7" count="1" selected="0">
            <x v="0"/>
          </reference>
        </references>
      </pivotArea>
    </chartFormat>
  </chartFormats>
  <pivotTableStyleInfo name="PivotStyleLight19" showRowHeaders="0" showColHeaders="1" showRowStripes="1"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34136FBE-FA8C-4DE7-8D0D-7F4DBE7B8F0B}" autoFormatId="16" applyNumberFormats="0" applyBorderFormats="0" applyFontFormats="0" applyPatternFormats="0" applyAlignmentFormats="0" applyWidthHeightFormats="0">
  <queryTableRefresh nextId="15">
    <queryTableFields count="14">
      <queryTableField id="1" name="ID" tableColumnId="1"/>
      <queryTableField id="2" name="Marital Status" tableColumnId="2"/>
      <queryTableField id="3" name="Gender" tableColumnId="3"/>
      <queryTableField id="4" name="Income" tableColumnId="4"/>
      <queryTableField id="5" name="Children" tableColumnId="5"/>
      <queryTableField id="6" name="Education" tableColumnId="6"/>
      <queryTableField id="7" name="Occupation" tableColumnId="7"/>
      <queryTableField id="8" name="Home Owner" tableColumnId="8"/>
      <queryTableField id="9" name="Cars" tableColumnId="9"/>
      <queryTableField id="10" name="Commute Distance" tableColumnId="10"/>
      <queryTableField id="11" name="Region" tableColumnId="11"/>
      <queryTableField id="14" dataBound="0" tableColumnId="14"/>
      <queryTableField id="12" name="Age" tableColumnId="12"/>
      <queryTableField id="13" name="Purchased Bike" tableColumnId="13"/>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_categories" xr10:uid="{1129653E-3894-4EED-95E2-9C1A4E93EE3D}" sourceName="age categories">
  <pivotTables>
    <pivotTable tabId="5" name="PivotTable3"/>
    <pivotTable tabId="5" name="PivotTable1"/>
    <pivotTable tabId="5" name="PivotTable2"/>
    <pivotTable tabId="5" name="PivotTable4"/>
    <pivotTable tabId="5" name="PivotTable5"/>
  </pivotTables>
  <data>
    <tabular pivotCacheId="1732761272" sortOrder="descending">
      <items count="5">
        <i x="3" s="1"/>
        <i x="4" s="1"/>
        <i x="1" s="1"/>
        <i x="0"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C42ADBF8-725B-4FBD-8D7A-EE36B8FD2F19}" sourceName="Gender">
  <pivotTables>
    <pivotTable tabId="5" name="PivotTable1"/>
    <pivotTable tabId="5" name="PivotTable3"/>
    <pivotTable tabId="5" name="PivotTable2"/>
    <pivotTable tabId="5" name="PivotTable4"/>
    <pivotTable tabId="5" name="PivotTable5"/>
  </pivotTables>
  <data>
    <tabular pivotCacheId="1732761272">
      <items count="2">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mute_Distance" xr10:uid="{322F9268-7627-4CB5-9A33-C92BFFE74CF1}" sourceName="Commute Distance">
  <pivotTables>
    <pivotTable tabId="5" name="PivotTable1"/>
    <pivotTable tabId="5" name="PivotTable3"/>
  </pivotTables>
  <data>
    <tabular pivotCacheId="1732761272">
      <items count="6">
        <i x="0" s="1"/>
        <i x="3" s="1"/>
        <i x="1" s="1"/>
        <i x="2" s="1"/>
        <i x="4" s="1"/>
        <i x="5" s="1" nd="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rital_Status" xr10:uid="{CE797145-5A61-47A7-8162-6A262527131B}" sourceName="Marital Status">
  <pivotTables>
    <pivotTable tabId="5" name="PivotTable2"/>
    <pivotTable tabId="5" name="PivotTable1"/>
    <pivotTable tabId="5" name="PivotTable3"/>
  </pivotTables>
  <data>
    <tabular pivotCacheId="1732761272">
      <items count="2">
        <i x="0" s="1"/>
        <i x="1"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1EC13D2B-D35C-4363-96D9-73A2B894C8B1}" sourceName="Region">
  <pivotTables>
    <pivotTable tabId="5" name="PivotTable2"/>
    <pivotTable tabId="5" name="PivotTable1"/>
    <pivotTable tabId="5" name="PivotTable3"/>
    <pivotTable tabId="5" name="PivotTable4"/>
    <pivotTable tabId="5" name="PivotTable5"/>
  </pivotTables>
  <data>
    <tabular pivotCacheId="1732761272">
      <items count="3">
        <i x="0" s="1"/>
        <i x="2" s="1"/>
        <i x="1"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rs" xr10:uid="{4480BC9F-E04B-4085-AE1E-925C04E5DB1C}" sourceName="Cars">
  <pivotTables>
    <pivotTable tabId="5" name="PivotTable3"/>
    <pivotTable tabId="5" name="PivotTable1"/>
    <pivotTable tabId="5" name="PivotTable2"/>
    <pivotTable tabId="5" name="PivotTable4"/>
    <pivotTable tabId="5" name="PivotTable5"/>
  </pivotTables>
  <data>
    <tabular pivotCacheId="1732761272">
      <items count="5">
        <i x="0" s="1"/>
        <i x="1" s="1"/>
        <i x="2" s="1"/>
        <i x="4" s="1"/>
        <i x="3" s="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urchased_Bike1" xr10:uid="{F1FAE6E0-7E35-4FED-A361-DEE58C53B360}" sourceName="Purchased Bike">
  <pivotTables>
    <pivotTable tabId="5" name="PivotTable3"/>
    <pivotTable tabId="5" name="PivotTable1"/>
    <pivotTable tabId="5" name="PivotTable2"/>
    <pivotTable tabId="5" name="PivotTable4"/>
    <pivotTable tabId="5" name="PivotTable5"/>
  </pivotTables>
  <data>
    <tabular pivotCacheId="1732761272">
      <items count="2">
        <i x="0" s="1"/>
        <i x="1" s="1"/>
      </items>
    </tabular>
  </data>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ome_Owner" xr10:uid="{2B3E9464-CFDF-42EC-83F6-CA5BF2BB316B}" sourceName="Home Owner">
  <pivotTables>
    <pivotTable tabId="5" name="PivotTable4"/>
    <pivotTable tabId="5" name="PivotTable1"/>
    <pivotTable tabId="5" name="PivotTable2"/>
    <pivotTable tabId="5" name="PivotTable3"/>
    <pivotTable tabId="5" name="PivotTable5"/>
  </pivotTables>
  <data>
    <tabular pivotCacheId="1732761272">
      <items count="2">
        <i x="1" s="1"/>
        <i x="0" s="1"/>
      </items>
    </tabular>
  </data>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ducation" xr10:uid="{341AA564-7CCB-4D53-B712-FEAF9E11DD4C}" sourceName="Education">
  <pivotTables>
    <pivotTable tabId="5" name="PivotTable10"/>
  </pivotTables>
  <data>
    <tabular pivotCacheId="495451707">
      <items count="5">
        <i x="0" s="1"/>
        <i x="4" s="1"/>
        <i x="2" s="1"/>
        <i x="1" s="1"/>
        <i x="3" s="1"/>
      </items>
    </tabular>
  </data>
</slicerCacheDefinition>
</file>

<file path=xl/slicerCaches/slicerCache1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urchased_Bike" xr10:uid="{AE132626-F0B8-4119-9154-A41C51A588FA}" sourceName="Purchased Bike">
  <pivotTables>
    <pivotTable tabId="5" name="PivotTable10"/>
  </pivotTables>
  <data>
    <tabular pivotCacheId="495451707">
      <items count="2">
        <i x="0" s="1"/>
        <i x="1" s="1"/>
      </items>
    </tabular>
  </data>
</slicerCacheDefinition>
</file>

<file path=xl/slicerCaches/slicerCache1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ducation1" xr10:uid="{63D505C5-038C-4A51-828B-0359636806F1}" sourceName="Education">
  <pivotTables>
    <pivotTable tabId="5" name="PivotTable7"/>
    <pivotTable tabId="5" name="PivotTable1"/>
    <pivotTable tabId="5" name="PivotTable2"/>
    <pivotTable tabId="5" name="PivotTable3"/>
    <pivotTable tabId="5" name="PivotTable4"/>
    <pivotTable tabId="5" name="PivotTable5"/>
  </pivotTables>
  <data>
    <tabular pivotCacheId="1732761272">
      <items count="5">
        <i x="0" s="1"/>
        <i x="4" s="1"/>
        <i x="2" s="1"/>
        <i x="1"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             age categories 1" xr10:uid="{391D6066-6A69-4C95-A528-1695642BFE04}" cache="Slicer_age_categories" caption="age categories" style="SlicerStyleLight6" rowHeight="241300"/>
  <slicer name="Gender 1" xr10:uid="{3D5DA704-40E4-4023-AEE6-85DBCCF9DB70}" cache="Slicer_Gender" caption="Gender" rowHeight="241300"/>
  <slicer name="Marital Status 1" xr10:uid="{2ADF230F-F0D9-46BB-93FC-C463996A8B0D}" cache="Slicer_Marital_Status" caption="Marital Status" style="SlicerStyleLight2" rowHeight="241300"/>
  <slicer name="Region 1" xr10:uid="{29BA48AB-563F-47A6-849D-0CBF6A880278}" cache="Slicer_Region" caption="Region" style="SlicerStyleDark1" rowHeight="241300"/>
  <slicer name="Cars" xr10:uid="{F3155BFD-6AEC-4CDC-AA3B-190C91C6F2B6}" cache="Slicer_Cars" caption="no. of Cars present" style="SlicerStyleLight4" rowHeight="241300"/>
  <slicer name="Purchased Bike 1" xr10:uid="{B4A9BBAF-721E-47E1-B93D-0A77221A6222}" cache="Slicer_Purchased_Bike1" caption="Purchased Bike" style="SlicerStyleLight3" rowHeight="241300"/>
  <slicer name="Home Owner 3" xr10:uid="{DDA21642-6898-4AA0-870B-6ED84CC04431}" cache="Slicer_Home_Owner" caption="Home Owner" style="SlicerStyleLight2" rowHeight="241300"/>
  <slicer name="Education 3" xr10:uid="{B5BECC53-FACA-455E-98D1-53CBF6E38220}" cache="Slicer_Education1" caption="Education"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             age categories" xr10:uid="{73761884-DC1D-42A9-9EFB-81E00A91CFFE}" cache="Slicer_age_categories" caption="                   age categories" startItem="1" style="SlicerStyleOther2" rowHeight="241300"/>
  <slicer name="Gender" xr10:uid="{B9F104E0-1E28-4E67-ACD8-1A1F4544BCCE}" cache="Slicer_Gender" caption="Gender" rowHeight="241300"/>
  <slicer name="Commute Distance" xr10:uid="{9D7DC645-837D-4A1E-9E3C-48EA8F496D73}" cache="Slicer_Commute_Distance" caption="Commute Distance" rowHeight="241300"/>
  <slicer name="Region" xr10:uid="{64704170-0966-4F34-B960-70778F399855}" cache="Slicer_Region" caption="Region" rowHeight="241300"/>
  <slicer name="Purchased Bike 2" xr10:uid="{3FAF0862-ABB3-4DBB-A8A2-52CBA651D7C1}" cache="Slicer_Purchased_Bike1" caption="Purchased Bike" rowHeight="241300"/>
  <slicer name="Purchased Bike" xr10:uid="{3344C54C-8088-4DDB-8BC5-E1D26C0A03E7}" cache="Slicer_Purchased_Bike1" caption="Purchased Bike" startItem="1" rowHeight="241300"/>
  <slicer name="Home Owner" xr10:uid="{2CCF01D0-39D5-427D-B7B2-402719C53837}" cache="Slicer_Home_Owner" caption="Home Owner" style="SlicerStyleDark6" rowHeight="241300"/>
  <slicer name="Home Owner 2" xr10:uid="{48BFE229-D8D2-4E55-9C00-833F68BDE0D3}" cache="Slicer_Home_Owner" caption="Home Owner" style="SlicerStyleLight2" rowHeight="241300"/>
  <slicer name="Education 1" xr10:uid="{A3F3561F-0DD1-45E6-ABDB-98B9273ADA33}" cache="Slicer_Education" caption="Education" rowHeight="241300"/>
  <slicer name="Purchased Bike 3" xr10:uid="{650E47C2-C9A7-4926-92C7-B5D8DDA9014A}" cache="Slicer_Purchased_Bike" caption="Purchased Bike" rowHeight="241300"/>
  <slicer name="Education 2" xr10:uid="{804278A0-35AB-4B89-8737-DECBA3DDA35B}" cache="Slicer_Education1" caption="Education"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3EA026B-B77F-4C49-9CE5-14A17E43C19E}" name="bike_buyers" displayName="bike_buyers" ref="A1:N1001" tableType="queryTable" totalsRowShown="0">
  <autoFilter ref="A1:N1001" xr:uid="{D3EA026B-B77F-4C49-9CE5-14A17E43C19E}"/>
  <tableColumns count="14">
    <tableColumn id="1" xr3:uid="{119E4450-8568-4F54-9857-D5439050879C}" uniqueName="1" name="ID" queryTableFieldId="1"/>
    <tableColumn id="2" xr3:uid="{A9684CC9-A8DD-4C70-AA61-196CFC5F045B}" uniqueName="2" name="Marital Status" queryTableFieldId="2" dataDxfId="184"/>
    <tableColumn id="3" xr3:uid="{EA58C0BC-9889-4CB6-89E7-5B24F2A41C4B}" uniqueName="3" name="Gender" queryTableFieldId="3" dataDxfId="183"/>
    <tableColumn id="4" xr3:uid="{DD84686E-EA3A-4E1A-968C-C5CCFD36113F}" uniqueName="4" name="Income" queryTableFieldId="4" dataDxfId="182"/>
    <tableColumn id="5" xr3:uid="{11DE7C87-DE21-41F5-B9BF-A77C4F53D48A}" uniqueName="5" name="Children" queryTableFieldId="5"/>
    <tableColumn id="6" xr3:uid="{E48D0BD4-D75F-46A5-B46C-54F6B8961B62}" uniqueName="6" name="Education" queryTableFieldId="6" dataDxfId="181"/>
    <tableColumn id="7" xr3:uid="{5301C8EC-ADE8-41B8-B827-A36B6ECC4E64}" uniqueName="7" name="Occupation" queryTableFieldId="7" dataDxfId="180"/>
    <tableColumn id="8" xr3:uid="{36036D25-2046-47E5-8B33-827A3823DFEE}" uniqueName="8" name="Home Owner" queryTableFieldId="8" dataDxfId="179"/>
    <tableColumn id="9" xr3:uid="{A85489F2-C352-43A1-96E5-6B50A7E4FDB3}" uniqueName="9" name="Cars" queryTableFieldId="9"/>
    <tableColumn id="10" xr3:uid="{62B9994F-5012-4552-8E05-3F731BAD77B9}" uniqueName="10" name="Commute Distance" queryTableFieldId="10" dataDxfId="178"/>
    <tableColumn id="11" xr3:uid="{0AC10A51-ACAD-4CDF-93C6-4EA095B25E49}" uniqueName="11" name="Region" queryTableFieldId="11" dataDxfId="177"/>
    <tableColumn id="14" xr3:uid="{B6CD4E85-B246-4BA2-B5FB-A219591C5C37}" uniqueName="14" name="age categories" queryTableFieldId="14" dataDxfId="176">
      <calculatedColumnFormula array="1">_xlfn.IFS(bike_buyers[[#This Row],[Age]]&gt;= 70, "senior citizen", bike_buyers[[#This Row],[Age]]&gt;=55, "middle age",  bike_buyers[[#This Row],[Age]]&gt;=40,"mature adult ", bike_buyers[[#This Row],[Age]]&gt;=30, "adults", bike_buyers[[#This Row],[Age]]&gt;= 20, "young adults")</calculatedColumnFormula>
    </tableColumn>
    <tableColumn id="12" xr3:uid="{080BB114-A995-4CCF-84A0-53E313074133}" uniqueName="12" name="Age" queryTableFieldId="12"/>
    <tableColumn id="13" xr3:uid="{768C802C-B899-4B4A-8503-63F677DD567E}" uniqueName="13" name="Purchased Bike" queryTableFieldId="13" dataDxfId="175"/>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3.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4.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F7221F01-0066-493F-9574-293288345BCD}">
  <we:reference id="wa200008850" version="1.0.1.0" store="en-US" storeType="OMEX"/>
  <we:alternateReferences>
    <we:reference id="wa200008850" version="1.0.1.0" store="wa200008850"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printerSettings" Target="../printerSettings/printerSettings2.bin"/><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microsoft.com/office/2007/relationships/slicer" Target="../slicers/slicer2.xml"/><Relationship Id="rId4" Type="http://schemas.openxmlformats.org/officeDocument/2006/relationships/pivotTable" Target="../pivotTables/pivotTable4.xml"/><Relationship Id="rId9"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853A46-3D21-4CFB-9B4F-0796A76F219E}">
  <sheetPr codeName="Sheet2">
    <tabColor rgb="FFFF0000"/>
  </sheetPr>
  <dimension ref="A1:AA43"/>
  <sheetViews>
    <sheetView showGridLines="0" showRowColHeaders="0" tabSelected="1" zoomScale="85" zoomScaleNormal="85" workbookViewId="0">
      <selection activeCell="V3" sqref="V3"/>
    </sheetView>
  </sheetViews>
  <sheetFormatPr defaultRowHeight="15" x14ac:dyDescent="0.25"/>
  <cols>
    <col min="1" max="16384" width="9.140625" style="8"/>
  </cols>
  <sheetData>
    <row r="1" spans="1:27" x14ac:dyDescent="0.25">
      <c r="A1" s="9"/>
      <c r="B1" s="9"/>
      <c r="C1" s="9"/>
      <c r="D1" s="9"/>
      <c r="E1" s="9"/>
      <c r="F1" s="9"/>
      <c r="G1" s="9"/>
      <c r="H1" s="9"/>
      <c r="I1" s="9"/>
      <c r="J1" s="9"/>
      <c r="K1" s="9"/>
      <c r="L1" s="9"/>
      <c r="M1" s="9"/>
      <c r="N1" s="9"/>
      <c r="O1" s="9"/>
      <c r="P1" s="9"/>
      <c r="Q1" s="9"/>
      <c r="R1" s="9"/>
      <c r="S1" s="9"/>
      <c r="T1" s="9"/>
      <c r="U1" s="9"/>
      <c r="V1" s="9"/>
      <c r="W1" s="9"/>
      <c r="X1" s="9"/>
      <c r="Y1" s="9"/>
    </row>
    <row r="2" spans="1:27" x14ac:dyDescent="0.25">
      <c r="A2" s="9"/>
      <c r="B2" s="9"/>
      <c r="C2" s="9"/>
      <c r="D2" s="9"/>
      <c r="E2" s="9"/>
      <c r="F2" s="9"/>
      <c r="G2" s="9"/>
      <c r="H2" s="9"/>
      <c r="I2" s="9"/>
      <c r="J2" s="9"/>
      <c r="K2" s="9"/>
      <c r="L2" s="9"/>
      <c r="M2" s="9"/>
      <c r="N2" s="9"/>
      <c r="O2" s="9"/>
      <c r="P2" s="9"/>
      <c r="Q2" s="9"/>
      <c r="R2" s="9"/>
      <c r="S2" s="9"/>
      <c r="T2" s="9"/>
      <c r="U2" s="9"/>
      <c r="V2" s="9"/>
      <c r="W2" s="9"/>
      <c r="X2" s="9"/>
      <c r="Y2" s="9"/>
    </row>
    <row r="3" spans="1:27" x14ac:dyDescent="0.25">
      <c r="A3" s="9"/>
      <c r="B3" s="9"/>
      <c r="C3" s="9"/>
      <c r="D3" s="9"/>
      <c r="E3" s="9"/>
      <c r="F3" s="9"/>
      <c r="G3" s="9"/>
      <c r="H3" s="9"/>
      <c r="I3" s="9"/>
      <c r="J3" s="9"/>
      <c r="K3" s="9"/>
      <c r="L3" s="9"/>
      <c r="M3" s="9"/>
      <c r="N3" s="9"/>
      <c r="O3" s="9"/>
      <c r="P3" s="9"/>
      <c r="Q3" s="9"/>
      <c r="R3" s="9"/>
      <c r="S3" s="9"/>
      <c r="T3" s="9"/>
      <c r="U3" s="9"/>
      <c r="V3" s="9"/>
      <c r="W3" s="9"/>
      <c r="X3" s="9"/>
      <c r="Y3" s="9"/>
    </row>
    <row r="4" spans="1:27" x14ac:dyDescent="0.25">
      <c r="A4" s="9"/>
      <c r="B4" s="9"/>
      <c r="C4" s="9"/>
      <c r="D4" s="9"/>
      <c r="E4" s="9"/>
      <c r="F4" s="9"/>
      <c r="G4" s="9"/>
      <c r="H4" s="9"/>
      <c r="I4" s="9"/>
      <c r="J4" s="9"/>
      <c r="K4" s="9"/>
      <c r="L4" s="9"/>
      <c r="M4" s="9"/>
      <c r="N4" s="9"/>
      <c r="O4" s="9"/>
      <c r="P4" s="9"/>
      <c r="Q4" s="9"/>
      <c r="R4" s="9"/>
      <c r="S4" s="9"/>
      <c r="T4" s="9"/>
      <c r="U4" s="9"/>
      <c r="V4" s="9"/>
      <c r="W4" s="9"/>
      <c r="X4" s="9"/>
      <c r="Y4" s="9"/>
    </row>
    <row r="5" spans="1:27" x14ac:dyDescent="0.25">
      <c r="A5" s="9"/>
      <c r="B5" s="9"/>
      <c r="C5" s="9"/>
      <c r="D5" s="9"/>
      <c r="E5" s="9"/>
      <c r="F5" s="9"/>
      <c r="G5" s="9"/>
      <c r="H5" s="9"/>
      <c r="I5" s="9"/>
      <c r="J5" s="9"/>
      <c r="K5" s="9"/>
      <c r="L5" s="9"/>
      <c r="M5" s="9"/>
      <c r="N5" s="9"/>
      <c r="O5" s="9"/>
      <c r="P5" s="9"/>
      <c r="Q5" s="9"/>
      <c r="R5" s="9"/>
      <c r="S5" s="9"/>
      <c r="T5" s="9"/>
      <c r="U5" s="9"/>
      <c r="V5" s="9"/>
      <c r="W5" s="9"/>
      <c r="X5" s="9"/>
      <c r="Y5" s="9"/>
    </row>
    <row r="6" spans="1:27" x14ac:dyDescent="0.25">
      <c r="A6" s="13"/>
      <c r="B6" s="13"/>
      <c r="C6" s="13"/>
      <c r="D6" s="13"/>
      <c r="E6" s="13"/>
      <c r="F6" s="13"/>
      <c r="G6" s="13"/>
      <c r="H6" s="13"/>
      <c r="I6" s="13"/>
      <c r="J6" s="13"/>
      <c r="K6" s="13"/>
      <c r="L6" s="13"/>
      <c r="M6" s="13"/>
      <c r="N6" s="13"/>
      <c r="O6" s="13"/>
      <c r="P6" s="13"/>
      <c r="Q6" s="13"/>
      <c r="R6" s="13"/>
      <c r="S6" s="13"/>
      <c r="T6" s="13"/>
      <c r="U6" s="13"/>
      <c r="V6" s="13"/>
      <c r="W6" s="13"/>
      <c r="X6" s="13"/>
      <c r="Y6" s="13"/>
      <c r="Z6" s="19"/>
      <c r="AA6" s="19"/>
    </row>
    <row r="7" spans="1:27" x14ac:dyDescent="0.25">
      <c r="A7" s="13"/>
      <c r="B7" s="13"/>
      <c r="C7" s="13"/>
      <c r="D7" s="13"/>
      <c r="E7" s="13"/>
      <c r="F7" s="13"/>
      <c r="G7" s="13"/>
      <c r="H7" s="13"/>
      <c r="I7" s="13"/>
      <c r="J7" s="13"/>
      <c r="K7" s="13"/>
      <c r="L7" s="13"/>
      <c r="M7" s="13"/>
      <c r="N7" s="13"/>
      <c r="O7" s="13"/>
      <c r="P7" s="13"/>
      <c r="Q7" s="13"/>
      <c r="R7" s="13"/>
      <c r="S7" s="13"/>
      <c r="T7" s="13"/>
      <c r="U7" s="13"/>
      <c r="V7" s="13"/>
      <c r="W7" s="13"/>
      <c r="X7" s="13"/>
      <c r="Y7" s="13"/>
      <c r="Z7" s="19"/>
      <c r="AA7" s="19"/>
    </row>
    <row r="8" spans="1:27" x14ac:dyDescent="0.25">
      <c r="A8" s="13"/>
      <c r="B8" s="13"/>
      <c r="C8" s="13"/>
      <c r="D8" s="13"/>
      <c r="E8" s="13"/>
      <c r="F8" s="13"/>
      <c r="G8" s="13"/>
      <c r="H8" s="13"/>
      <c r="I8" s="13"/>
      <c r="J8" s="13"/>
      <c r="K8" s="13"/>
      <c r="L8" s="13"/>
      <c r="M8" s="13"/>
      <c r="N8" s="13"/>
      <c r="O8" s="13"/>
      <c r="P8" s="13"/>
      <c r="Q8" s="13"/>
      <c r="R8" s="13"/>
      <c r="S8" s="13"/>
      <c r="T8" s="13"/>
      <c r="U8" s="13"/>
      <c r="V8" s="13"/>
      <c r="W8" s="13"/>
      <c r="X8" s="13"/>
      <c r="Y8" s="13"/>
      <c r="Z8" s="19"/>
      <c r="AA8" s="19"/>
    </row>
    <row r="9" spans="1:27" x14ac:dyDescent="0.25">
      <c r="A9" s="13"/>
      <c r="B9" s="13"/>
      <c r="C9" s="13"/>
      <c r="D9" s="13"/>
      <c r="E9" s="13"/>
      <c r="F9" s="13"/>
      <c r="G9" s="13"/>
      <c r="H9" s="13"/>
      <c r="I9" s="13"/>
      <c r="J9" s="13"/>
      <c r="K9" s="13"/>
      <c r="L9" s="13"/>
      <c r="M9" s="13"/>
      <c r="N9" s="13"/>
      <c r="O9" s="13"/>
      <c r="P9" s="13"/>
      <c r="Q9" s="13"/>
      <c r="R9" s="13"/>
      <c r="S9" s="13"/>
      <c r="T9" s="13"/>
      <c r="U9" s="13"/>
      <c r="V9" s="13"/>
      <c r="W9" s="13"/>
      <c r="X9" s="13"/>
      <c r="Y9" s="13"/>
      <c r="Z9" s="19"/>
      <c r="AA9" s="19"/>
    </row>
    <row r="10" spans="1:27" x14ac:dyDescent="0.25">
      <c r="A10" s="13"/>
      <c r="B10" s="13"/>
      <c r="C10" s="13"/>
      <c r="D10" s="13"/>
      <c r="E10" s="13"/>
      <c r="F10" s="13"/>
      <c r="G10" s="13"/>
      <c r="H10" s="13"/>
      <c r="I10" s="13"/>
      <c r="J10" s="13"/>
      <c r="K10" s="13"/>
      <c r="L10" s="13"/>
      <c r="M10" s="13"/>
      <c r="N10" s="13"/>
      <c r="O10" s="13"/>
      <c r="P10" s="13"/>
      <c r="Q10" s="13"/>
      <c r="R10" s="13"/>
      <c r="S10" s="13"/>
      <c r="T10" s="13"/>
      <c r="U10" s="13"/>
      <c r="V10" s="13"/>
      <c r="W10" s="13"/>
      <c r="X10" s="13"/>
      <c r="Y10" s="13"/>
      <c r="Z10" s="19"/>
      <c r="AA10" s="19"/>
    </row>
    <row r="11" spans="1:27" x14ac:dyDescent="0.25">
      <c r="A11" s="13"/>
      <c r="B11" s="13"/>
      <c r="C11" s="13"/>
      <c r="D11" s="13"/>
      <c r="E11" s="13"/>
      <c r="F11" s="13"/>
      <c r="G11" s="13"/>
      <c r="H11" s="13"/>
      <c r="I11" s="13"/>
      <c r="J11" s="13"/>
      <c r="K11" s="13"/>
      <c r="L11" s="13"/>
      <c r="M11" s="13"/>
      <c r="N11" s="13"/>
      <c r="O11" s="13"/>
      <c r="P11" s="13"/>
      <c r="Q11" s="13"/>
      <c r="R11" s="13"/>
      <c r="S11" s="13"/>
      <c r="T11" s="13"/>
      <c r="U11" s="13"/>
      <c r="V11" s="13"/>
      <c r="W11" s="13"/>
      <c r="X11" s="13"/>
      <c r="Y11" s="13"/>
      <c r="Z11" s="19"/>
      <c r="AA11" s="19"/>
    </row>
    <row r="12" spans="1:27" x14ac:dyDescent="0.25">
      <c r="A12" s="13"/>
      <c r="B12" s="13"/>
      <c r="C12" s="13"/>
      <c r="D12" s="13"/>
      <c r="E12" s="13"/>
      <c r="F12" s="13"/>
      <c r="G12" s="13"/>
      <c r="H12" s="13"/>
      <c r="I12" s="13"/>
      <c r="J12" s="13"/>
      <c r="K12" s="13"/>
      <c r="L12" s="13"/>
      <c r="M12" s="13"/>
      <c r="N12" s="13"/>
      <c r="O12" s="13"/>
      <c r="P12" s="13"/>
      <c r="Q12" s="13"/>
      <c r="R12" s="13"/>
      <c r="S12" s="13"/>
      <c r="T12" s="13"/>
      <c r="U12" s="13"/>
      <c r="V12" s="13"/>
      <c r="W12" s="13"/>
      <c r="X12" s="13"/>
      <c r="Y12" s="13"/>
      <c r="Z12" s="19"/>
      <c r="AA12" s="19"/>
    </row>
    <row r="13" spans="1:27" x14ac:dyDescent="0.25">
      <c r="A13" s="13"/>
      <c r="B13" s="13"/>
      <c r="C13" s="13"/>
      <c r="D13" s="13"/>
      <c r="E13" s="13"/>
      <c r="F13" s="13"/>
      <c r="G13" s="13"/>
      <c r="H13" s="13"/>
      <c r="I13" s="13"/>
      <c r="J13" s="13"/>
      <c r="K13" s="13"/>
      <c r="L13" s="13"/>
      <c r="M13" s="13"/>
      <c r="N13" s="13"/>
      <c r="O13" s="13"/>
      <c r="P13" s="13"/>
      <c r="Q13" s="13"/>
      <c r="R13" s="13"/>
      <c r="S13" s="13"/>
      <c r="T13" s="13"/>
      <c r="U13" s="13"/>
      <c r="V13" s="13"/>
      <c r="W13" s="13"/>
      <c r="X13" s="13"/>
      <c r="Y13" s="13"/>
      <c r="Z13" s="19"/>
      <c r="AA13" s="19"/>
    </row>
    <row r="14" spans="1:27" x14ac:dyDescent="0.25">
      <c r="A14" s="13"/>
      <c r="B14" s="13"/>
      <c r="C14" s="13"/>
      <c r="D14" s="13"/>
      <c r="E14" s="13"/>
      <c r="F14" s="13"/>
      <c r="G14" s="13"/>
      <c r="H14" s="13"/>
      <c r="I14" s="13"/>
      <c r="J14" s="13"/>
      <c r="K14" s="13"/>
      <c r="L14" s="13"/>
      <c r="M14" s="13"/>
      <c r="N14" s="13"/>
      <c r="O14" s="13"/>
      <c r="P14" s="13"/>
      <c r="Q14" s="13"/>
      <c r="R14" s="13"/>
      <c r="S14" s="13"/>
      <c r="T14" s="13"/>
      <c r="U14" s="13"/>
      <c r="V14" s="13"/>
      <c r="W14" s="13"/>
      <c r="X14" s="13"/>
      <c r="Y14" s="13"/>
      <c r="Z14" s="19"/>
      <c r="AA14" s="19"/>
    </row>
    <row r="15" spans="1:27" x14ac:dyDescent="0.25">
      <c r="A15" s="13"/>
      <c r="B15" s="13"/>
      <c r="C15" s="13"/>
      <c r="D15" s="13"/>
      <c r="E15" s="13"/>
      <c r="F15" s="13"/>
      <c r="G15" s="13"/>
      <c r="H15" s="13"/>
      <c r="I15" s="13"/>
      <c r="J15" s="13"/>
      <c r="K15" s="13"/>
      <c r="L15" s="13"/>
      <c r="M15" s="13"/>
      <c r="N15" s="13"/>
      <c r="O15" s="13"/>
      <c r="P15" s="13"/>
      <c r="Q15" s="13"/>
      <c r="R15" s="13"/>
      <c r="S15" s="13"/>
      <c r="T15" s="13"/>
      <c r="U15" s="13"/>
      <c r="V15" s="13"/>
      <c r="W15" s="13"/>
      <c r="X15" s="13"/>
      <c r="Y15" s="13"/>
      <c r="Z15" s="19"/>
      <c r="AA15" s="19"/>
    </row>
    <row r="16" spans="1:27" x14ac:dyDescent="0.25">
      <c r="A16" s="13"/>
      <c r="B16" s="13"/>
      <c r="C16" s="13"/>
      <c r="D16" s="13"/>
      <c r="E16" s="13"/>
      <c r="F16" s="13"/>
      <c r="G16" s="13"/>
      <c r="H16" s="13"/>
      <c r="I16" s="13"/>
      <c r="J16" s="13"/>
      <c r="K16" s="13"/>
      <c r="L16" s="13"/>
      <c r="M16" s="13"/>
      <c r="N16" s="13"/>
      <c r="O16" s="13"/>
      <c r="P16" s="13"/>
      <c r="Q16" s="13"/>
      <c r="R16" s="13"/>
      <c r="S16" s="13"/>
      <c r="T16" s="13"/>
      <c r="U16" s="13"/>
      <c r="V16" s="13"/>
      <c r="W16" s="13"/>
      <c r="X16" s="13"/>
      <c r="Y16" s="13"/>
      <c r="Z16" s="19"/>
      <c r="AA16" s="19"/>
    </row>
    <row r="17" spans="1:27" x14ac:dyDescent="0.25">
      <c r="A17" s="13"/>
      <c r="B17" s="13"/>
      <c r="C17" s="13"/>
      <c r="D17" s="13"/>
      <c r="E17" s="13"/>
      <c r="F17" s="13"/>
      <c r="G17" s="13"/>
      <c r="H17" s="13"/>
      <c r="I17" s="13"/>
      <c r="J17" s="13"/>
      <c r="K17" s="13"/>
      <c r="L17" s="13"/>
      <c r="M17" s="13"/>
      <c r="N17" s="13"/>
      <c r="O17" s="13"/>
      <c r="P17" s="13"/>
      <c r="Q17" s="13"/>
      <c r="R17" s="13"/>
      <c r="S17" s="13"/>
      <c r="T17" s="13"/>
      <c r="U17" s="13"/>
      <c r="V17" s="13"/>
      <c r="W17" s="13"/>
      <c r="X17" s="13"/>
      <c r="Y17" s="13"/>
      <c r="Z17" s="19"/>
      <c r="AA17" s="19"/>
    </row>
    <row r="18" spans="1:27" x14ac:dyDescent="0.25">
      <c r="A18" s="13"/>
      <c r="B18" s="13"/>
      <c r="C18" s="13"/>
      <c r="D18" s="13"/>
      <c r="E18" s="13"/>
      <c r="F18" s="13"/>
      <c r="G18" s="13"/>
      <c r="H18" s="13"/>
      <c r="I18" s="13"/>
      <c r="J18" s="13"/>
      <c r="K18" s="13"/>
      <c r="L18" s="13"/>
      <c r="M18" s="13"/>
      <c r="N18" s="13"/>
      <c r="O18" s="13"/>
      <c r="P18" s="13"/>
      <c r="Q18" s="13"/>
      <c r="R18" s="13"/>
      <c r="S18" s="13"/>
      <c r="T18" s="13"/>
      <c r="U18" s="13"/>
      <c r="V18" s="13"/>
      <c r="W18" s="13"/>
      <c r="X18" s="13"/>
      <c r="Y18" s="13"/>
      <c r="Z18" s="19"/>
      <c r="AA18" s="19"/>
    </row>
    <row r="19" spans="1:27" x14ac:dyDescent="0.25">
      <c r="A19" s="13"/>
      <c r="B19" s="13"/>
      <c r="C19" s="13"/>
      <c r="D19" s="13"/>
      <c r="E19" s="13"/>
      <c r="F19" s="13"/>
      <c r="G19" s="13"/>
      <c r="H19" s="13"/>
      <c r="I19" s="13"/>
      <c r="J19" s="13"/>
      <c r="K19" s="13"/>
      <c r="L19" s="13"/>
      <c r="M19" s="13"/>
      <c r="N19" s="13"/>
      <c r="O19" s="13"/>
      <c r="P19" s="13"/>
      <c r="Q19" s="13"/>
      <c r="R19" s="13"/>
      <c r="S19" s="13"/>
      <c r="T19" s="13"/>
      <c r="U19" s="13"/>
      <c r="V19" s="13"/>
      <c r="W19" s="13"/>
      <c r="X19" s="13"/>
      <c r="Y19" s="13"/>
      <c r="Z19" s="19"/>
      <c r="AA19" s="19"/>
    </row>
    <row r="20" spans="1:27" x14ac:dyDescent="0.25">
      <c r="A20" s="13"/>
      <c r="B20" s="13"/>
      <c r="C20" s="13"/>
      <c r="D20" s="13"/>
      <c r="E20" s="13"/>
      <c r="F20" s="13"/>
      <c r="G20" s="13"/>
      <c r="H20" s="13"/>
      <c r="I20" s="13"/>
      <c r="J20" s="13"/>
      <c r="K20" s="13"/>
      <c r="L20" s="13"/>
      <c r="M20" s="13"/>
      <c r="N20" s="13"/>
      <c r="O20" s="13"/>
      <c r="P20" s="13"/>
      <c r="Q20" s="13"/>
      <c r="R20" s="13"/>
      <c r="S20" s="13"/>
      <c r="T20" s="13"/>
      <c r="U20" s="13"/>
      <c r="V20" s="13"/>
      <c r="W20" s="13"/>
      <c r="X20" s="13"/>
      <c r="Y20" s="13"/>
      <c r="Z20" s="19"/>
      <c r="AA20" s="19"/>
    </row>
    <row r="21" spans="1:27" x14ac:dyDescent="0.25">
      <c r="A21" s="13"/>
      <c r="B21" s="13"/>
      <c r="C21" s="13"/>
      <c r="D21" s="13"/>
      <c r="E21" s="13"/>
      <c r="F21" s="13"/>
      <c r="G21" s="13"/>
      <c r="H21" s="13"/>
      <c r="I21" s="13"/>
      <c r="J21" s="13"/>
      <c r="K21" s="13"/>
      <c r="L21" s="13"/>
      <c r="M21" s="13"/>
      <c r="N21" s="13"/>
      <c r="O21" s="13"/>
      <c r="P21" s="13"/>
      <c r="Q21" s="13"/>
      <c r="R21" s="13"/>
      <c r="S21" s="13"/>
      <c r="T21" s="13"/>
      <c r="U21" s="13"/>
      <c r="V21" s="13"/>
      <c r="W21" s="13"/>
      <c r="X21" s="13"/>
      <c r="Y21" s="13"/>
      <c r="Z21" s="19"/>
      <c r="AA21" s="19"/>
    </row>
    <row r="22" spans="1:27" x14ac:dyDescent="0.25">
      <c r="A22" s="13"/>
      <c r="B22" s="13"/>
      <c r="C22" s="13"/>
      <c r="D22" s="13"/>
      <c r="E22" s="13"/>
      <c r="F22" s="13"/>
      <c r="G22" s="13"/>
      <c r="H22" s="13"/>
      <c r="I22" s="13"/>
      <c r="J22" s="13"/>
      <c r="K22" s="13"/>
      <c r="L22" s="13"/>
      <c r="M22" s="13"/>
      <c r="N22" s="13"/>
      <c r="O22" s="13"/>
      <c r="P22" s="13"/>
      <c r="Q22" s="13"/>
      <c r="R22" s="13"/>
      <c r="S22" s="13"/>
      <c r="T22" s="13"/>
      <c r="U22" s="13"/>
      <c r="V22" s="13"/>
      <c r="W22" s="13"/>
      <c r="X22" s="13"/>
      <c r="Y22" s="13"/>
      <c r="Z22" s="19"/>
      <c r="AA22" s="19"/>
    </row>
    <row r="23" spans="1:27" x14ac:dyDescent="0.25">
      <c r="A23" s="13"/>
      <c r="B23" s="13"/>
      <c r="C23" s="13"/>
      <c r="D23" s="13"/>
      <c r="E23" s="13"/>
      <c r="F23" s="13"/>
      <c r="G23" s="13"/>
      <c r="H23" s="13"/>
      <c r="I23" s="13"/>
      <c r="J23" s="13"/>
      <c r="K23" s="13"/>
      <c r="L23" s="13"/>
      <c r="M23" s="13"/>
      <c r="N23" s="13"/>
      <c r="O23" s="13"/>
      <c r="P23" s="13"/>
      <c r="Q23" s="13"/>
      <c r="R23" s="13"/>
      <c r="S23" s="13"/>
      <c r="T23" s="13"/>
      <c r="U23" s="13"/>
      <c r="V23" s="13"/>
      <c r="W23" s="13"/>
      <c r="X23" s="13"/>
      <c r="Y23" s="13"/>
      <c r="Z23" s="19"/>
      <c r="AA23" s="19"/>
    </row>
    <row r="24" spans="1:27" x14ac:dyDescent="0.25">
      <c r="A24" s="13"/>
      <c r="B24" s="13"/>
      <c r="C24" s="13"/>
      <c r="D24" s="13"/>
      <c r="E24" s="13"/>
      <c r="F24" s="13"/>
      <c r="G24" s="13"/>
      <c r="H24" s="13"/>
      <c r="I24" s="13"/>
      <c r="J24" s="13"/>
      <c r="K24" s="13"/>
      <c r="L24" s="13"/>
      <c r="M24" s="13"/>
      <c r="N24" s="13"/>
      <c r="O24" s="13"/>
      <c r="P24" s="13"/>
      <c r="Q24" s="13"/>
      <c r="R24" s="13"/>
      <c r="S24" s="13"/>
      <c r="T24" s="13"/>
      <c r="U24" s="13"/>
      <c r="V24" s="13"/>
      <c r="W24" s="13"/>
      <c r="X24" s="13"/>
      <c r="Y24" s="13"/>
      <c r="Z24" s="19"/>
      <c r="AA24" s="19"/>
    </row>
    <row r="25" spans="1:27" x14ac:dyDescent="0.25">
      <c r="A25" s="13"/>
      <c r="B25" s="13"/>
      <c r="C25" s="13"/>
      <c r="D25" s="13"/>
      <c r="E25" s="13"/>
      <c r="F25" s="13"/>
      <c r="G25" s="13"/>
      <c r="H25" s="13"/>
      <c r="I25" s="13"/>
      <c r="J25" s="13"/>
      <c r="K25" s="13"/>
      <c r="L25" s="13"/>
      <c r="M25" s="13"/>
      <c r="N25" s="13"/>
      <c r="O25" s="13"/>
      <c r="P25" s="13"/>
      <c r="Q25" s="13"/>
      <c r="R25" s="13"/>
      <c r="S25" s="13"/>
      <c r="T25" s="13"/>
      <c r="U25" s="13"/>
      <c r="V25" s="13"/>
      <c r="W25" s="13"/>
      <c r="X25" s="13"/>
      <c r="Y25" s="13"/>
      <c r="Z25" s="19"/>
      <c r="AA25" s="19"/>
    </row>
    <row r="26" spans="1:27" x14ac:dyDescent="0.25">
      <c r="A26" s="13"/>
      <c r="B26" s="13"/>
      <c r="C26" s="13"/>
      <c r="D26" s="13"/>
      <c r="E26" s="13"/>
      <c r="F26" s="13"/>
      <c r="G26" s="13"/>
      <c r="H26" s="13"/>
      <c r="I26" s="13"/>
      <c r="J26" s="13"/>
      <c r="K26" s="13"/>
      <c r="L26" s="13"/>
      <c r="M26" s="13"/>
      <c r="N26" s="13"/>
      <c r="O26" s="13"/>
      <c r="P26" s="13"/>
      <c r="Q26" s="13"/>
      <c r="R26" s="13"/>
      <c r="S26" s="13"/>
      <c r="T26" s="13"/>
      <c r="U26" s="13"/>
      <c r="V26" s="13"/>
      <c r="W26" s="13"/>
      <c r="X26" s="13"/>
      <c r="Y26" s="13"/>
      <c r="Z26" s="19"/>
      <c r="AA26" s="19"/>
    </row>
    <row r="27" spans="1:27" x14ac:dyDescent="0.25">
      <c r="A27" s="13"/>
      <c r="B27" s="13"/>
      <c r="C27" s="13"/>
      <c r="D27" s="13"/>
      <c r="E27" s="13"/>
      <c r="F27" s="13"/>
      <c r="G27" s="13"/>
      <c r="H27" s="13"/>
      <c r="I27" s="13"/>
      <c r="J27" s="13"/>
      <c r="K27" s="13"/>
      <c r="L27" s="13"/>
      <c r="M27" s="13"/>
      <c r="N27" s="13"/>
      <c r="O27" s="13"/>
      <c r="P27" s="13"/>
      <c r="Q27" s="13"/>
      <c r="R27" s="13"/>
      <c r="S27" s="13"/>
      <c r="T27" s="13"/>
      <c r="U27" s="13"/>
      <c r="V27" s="13"/>
      <c r="W27" s="13"/>
      <c r="X27" s="13"/>
      <c r="Y27" s="13"/>
      <c r="Z27" s="19"/>
      <c r="AA27" s="19"/>
    </row>
    <row r="28" spans="1:27" x14ac:dyDescent="0.25">
      <c r="A28" s="13"/>
      <c r="B28" s="13"/>
      <c r="C28" s="13"/>
      <c r="D28" s="13"/>
      <c r="E28" s="13"/>
      <c r="F28" s="13"/>
      <c r="G28" s="13"/>
      <c r="H28" s="13"/>
      <c r="I28" s="13"/>
      <c r="J28" s="13"/>
      <c r="K28" s="13"/>
      <c r="L28" s="13"/>
      <c r="M28" s="13"/>
      <c r="N28" s="13"/>
      <c r="O28" s="13"/>
      <c r="P28" s="13"/>
      <c r="Q28" s="13"/>
      <c r="R28" s="13"/>
      <c r="S28" s="13"/>
      <c r="T28" s="13"/>
      <c r="U28" s="13"/>
      <c r="V28" s="13"/>
      <c r="W28" s="13"/>
      <c r="X28" s="13"/>
      <c r="Y28" s="13"/>
      <c r="Z28" s="19"/>
      <c r="AA28" s="19"/>
    </row>
    <row r="29" spans="1:27" x14ac:dyDescent="0.25">
      <c r="A29" s="13"/>
      <c r="B29" s="13"/>
      <c r="C29" s="13"/>
      <c r="D29" s="13"/>
      <c r="E29" s="13"/>
      <c r="F29" s="13"/>
      <c r="G29" s="13"/>
      <c r="H29" s="13"/>
      <c r="I29" s="13"/>
      <c r="J29" s="13"/>
      <c r="K29" s="13"/>
      <c r="L29" s="13"/>
      <c r="M29" s="13"/>
      <c r="N29" s="13"/>
      <c r="O29" s="13"/>
      <c r="P29" s="13"/>
      <c r="Q29" s="13"/>
      <c r="R29" s="13"/>
      <c r="S29" s="13"/>
      <c r="T29" s="13"/>
      <c r="U29" s="13"/>
      <c r="V29" s="13"/>
      <c r="W29" s="13"/>
      <c r="X29" s="13"/>
      <c r="Y29" s="13"/>
      <c r="Z29" s="19"/>
      <c r="AA29" s="19"/>
    </row>
    <row r="30" spans="1:27" x14ac:dyDescent="0.25">
      <c r="A30" s="13"/>
      <c r="B30" s="13"/>
      <c r="C30" s="13"/>
      <c r="D30" s="13"/>
      <c r="E30" s="13"/>
      <c r="F30" s="13"/>
      <c r="G30" s="13"/>
      <c r="H30" s="13"/>
      <c r="I30" s="13"/>
      <c r="J30" s="13"/>
      <c r="K30" s="13"/>
      <c r="L30" s="13"/>
      <c r="M30" s="13"/>
      <c r="N30" s="13"/>
      <c r="O30" s="13"/>
      <c r="P30" s="13"/>
      <c r="Q30" s="13"/>
      <c r="R30" s="13"/>
      <c r="S30" s="13"/>
      <c r="T30" s="13"/>
      <c r="U30" s="13"/>
      <c r="V30" s="13"/>
      <c r="W30" s="13"/>
      <c r="X30" s="13"/>
      <c r="Y30" s="13"/>
      <c r="Z30" s="19"/>
      <c r="AA30" s="19"/>
    </row>
    <row r="31" spans="1:27" x14ac:dyDescent="0.25">
      <c r="A31" s="13"/>
      <c r="B31" s="13"/>
      <c r="C31" s="13"/>
      <c r="D31" s="13"/>
      <c r="E31" s="13"/>
      <c r="F31" s="13"/>
      <c r="G31" s="13"/>
      <c r="H31" s="13"/>
      <c r="I31" s="13"/>
      <c r="J31" s="13"/>
      <c r="K31" s="13"/>
      <c r="L31" s="13"/>
      <c r="M31" s="13"/>
      <c r="N31" s="13"/>
      <c r="O31" s="13"/>
      <c r="P31" s="13"/>
      <c r="Q31" s="13"/>
      <c r="R31" s="13"/>
      <c r="S31" s="13"/>
      <c r="T31" s="13"/>
      <c r="U31" s="13"/>
      <c r="V31" s="13"/>
      <c r="W31" s="13"/>
      <c r="X31" s="13"/>
      <c r="Y31" s="13"/>
      <c r="Z31" s="19"/>
      <c r="AA31" s="19"/>
    </row>
    <row r="32" spans="1:27" x14ac:dyDescent="0.25">
      <c r="A32" s="13"/>
      <c r="B32" s="13"/>
      <c r="C32" s="13"/>
      <c r="D32" s="13"/>
      <c r="E32" s="13"/>
      <c r="F32" s="13"/>
      <c r="G32" s="13"/>
      <c r="H32" s="13"/>
      <c r="I32" s="13"/>
      <c r="J32" s="13"/>
      <c r="K32" s="13"/>
      <c r="L32" s="13"/>
      <c r="M32" s="13"/>
      <c r="N32" s="13"/>
      <c r="O32" s="13"/>
      <c r="P32" s="13"/>
      <c r="Q32" s="13"/>
      <c r="R32" s="13"/>
      <c r="S32" s="13"/>
      <c r="T32" s="13"/>
      <c r="U32" s="13"/>
      <c r="V32" s="13"/>
      <c r="W32" s="13"/>
      <c r="X32" s="13"/>
      <c r="Y32" s="13"/>
      <c r="Z32" s="19"/>
      <c r="AA32" s="19"/>
    </row>
    <row r="33" spans="1:27" x14ac:dyDescent="0.25">
      <c r="A33" s="13"/>
      <c r="B33" s="13"/>
      <c r="C33" s="13"/>
      <c r="D33" s="13"/>
      <c r="E33" s="13"/>
      <c r="F33" s="13"/>
      <c r="G33" s="13"/>
      <c r="H33" s="13"/>
      <c r="I33" s="13"/>
      <c r="J33" s="13"/>
      <c r="K33" s="13"/>
      <c r="L33" s="13"/>
      <c r="M33" s="13"/>
      <c r="N33" s="13"/>
      <c r="O33" s="13"/>
      <c r="P33" s="13"/>
      <c r="Q33" s="13"/>
      <c r="R33" s="13"/>
      <c r="S33" s="13"/>
      <c r="T33" s="13"/>
      <c r="U33" s="13"/>
      <c r="V33" s="13"/>
      <c r="W33" s="13"/>
      <c r="X33" s="13"/>
      <c r="Y33" s="13"/>
      <c r="Z33" s="19"/>
      <c r="AA33" s="19"/>
    </row>
    <row r="34" spans="1:27" x14ac:dyDescent="0.25">
      <c r="A34" s="13"/>
      <c r="B34" s="13"/>
      <c r="C34" s="13"/>
      <c r="D34" s="13"/>
      <c r="E34" s="13"/>
      <c r="F34" s="13"/>
      <c r="G34" s="13"/>
      <c r="H34" s="13"/>
      <c r="I34" s="13"/>
      <c r="J34" s="13"/>
      <c r="K34" s="13"/>
      <c r="L34" s="13"/>
      <c r="M34" s="13"/>
      <c r="N34" s="13"/>
      <c r="O34" s="13"/>
      <c r="P34" s="13"/>
      <c r="Q34" s="13"/>
      <c r="R34" s="13"/>
      <c r="S34" s="13"/>
      <c r="T34" s="13"/>
      <c r="U34" s="13"/>
      <c r="V34" s="13"/>
      <c r="W34" s="13"/>
      <c r="X34" s="13"/>
      <c r="Y34" s="13"/>
      <c r="Z34" s="19"/>
      <c r="AA34" s="19"/>
    </row>
    <row r="35" spans="1:27" x14ac:dyDescent="0.25">
      <c r="A35" s="13"/>
      <c r="B35" s="13"/>
      <c r="C35" s="13"/>
      <c r="D35" s="13"/>
      <c r="E35" s="13"/>
      <c r="F35" s="13"/>
      <c r="G35" s="13"/>
      <c r="H35" s="13"/>
      <c r="I35" s="13"/>
      <c r="J35" s="13"/>
      <c r="K35" s="13"/>
      <c r="L35" s="13"/>
      <c r="M35" s="13"/>
      <c r="N35" s="13"/>
      <c r="O35" s="13"/>
      <c r="P35" s="13"/>
      <c r="Q35" s="13"/>
      <c r="R35" s="13"/>
      <c r="S35" s="13"/>
      <c r="T35" s="13"/>
      <c r="U35" s="13"/>
      <c r="V35" s="13"/>
      <c r="W35" s="13"/>
      <c r="X35" s="13"/>
      <c r="Y35" s="13"/>
      <c r="Z35" s="19"/>
      <c r="AA35" s="19"/>
    </row>
    <row r="36" spans="1:27" x14ac:dyDescent="0.25">
      <c r="A36" s="13"/>
      <c r="B36" s="13"/>
      <c r="C36" s="13"/>
      <c r="D36" s="13"/>
      <c r="E36" s="13"/>
      <c r="F36" s="13"/>
      <c r="G36" s="13"/>
      <c r="H36" s="13"/>
      <c r="I36" s="13"/>
      <c r="J36" s="13"/>
      <c r="K36" s="13"/>
      <c r="L36" s="13"/>
      <c r="M36" s="13"/>
      <c r="N36" s="13"/>
      <c r="O36" s="13"/>
      <c r="P36" s="13"/>
      <c r="Q36" s="13"/>
      <c r="R36" s="13"/>
      <c r="S36" s="13"/>
      <c r="T36" s="13"/>
      <c r="U36" s="13"/>
      <c r="V36" s="13"/>
      <c r="W36" s="13"/>
      <c r="X36" s="13"/>
      <c r="Y36" s="13"/>
      <c r="Z36" s="19"/>
      <c r="AA36" s="19"/>
    </row>
    <row r="37" spans="1:27" x14ac:dyDescent="0.25">
      <c r="A37" s="13"/>
      <c r="B37" s="13"/>
      <c r="C37" s="13"/>
      <c r="D37" s="13"/>
      <c r="E37" s="13"/>
      <c r="F37" s="13"/>
      <c r="G37" s="13"/>
      <c r="H37" s="13"/>
      <c r="I37" s="13"/>
      <c r="J37" s="13"/>
      <c r="K37" s="13"/>
      <c r="L37" s="13"/>
      <c r="M37" s="13"/>
      <c r="N37" s="13"/>
      <c r="O37" s="13"/>
      <c r="P37" s="13"/>
      <c r="Q37" s="13"/>
      <c r="R37" s="13"/>
      <c r="S37" s="13"/>
      <c r="T37" s="13"/>
      <c r="U37" s="13"/>
      <c r="V37" s="13"/>
      <c r="W37" s="13"/>
      <c r="X37" s="13"/>
      <c r="Y37" s="13"/>
      <c r="Z37" s="19"/>
      <c r="AA37" s="19"/>
    </row>
    <row r="38" spans="1:27" x14ac:dyDescent="0.25">
      <c r="A38" s="13"/>
      <c r="B38" s="13"/>
      <c r="C38" s="13"/>
      <c r="D38" s="13"/>
      <c r="E38" s="13"/>
      <c r="F38" s="13"/>
      <c r="G38" s="13"/>
      <c r="H38" s="13"/>
      <c r="I38" s="13"/>
      <c r="J38" s="13"/>
      <c r="K38" s="13"/>
      <c r="L38" s="13"/>
      <c r="M38" s="13"/>
      <c r="N38" s="13"/>
      <c r="O38" s="13"/>
      <c r="P38" s="13"/>
      <c r="Q38" s="13"/>
      <c r="R38" s="13"/>
      <c r="S38" s="13"/>
      <c r="T38" s="13"/>
      <c r="U38" s="13"/>
      <c r="V38" s="13"/>
      <c r="W38" s="13"/>
      <c r="X38" s="13"/>
      <c r="Y38" s="13"/>
      <c r="Z38" s="19"/>
      <c r="AA38" s="19"/>
    </row>
    <row r="39" spans="1:27" x14ac:dyDescent="0.25">
      <c r="A39" s="13"/>
      <c r="B39" s="13"/>
      <c r="C39" s="13"/>
      <c r="D39" s="13"/>
      <c r="E39" s="13"/>
      <c r="F39" s="13"/>
      <c r="G39" s="13"/>
      <c r="H39" s="13"/>
      <c r="I39" s="13"/>
      <c r="J39" s="13"/>
      <c r="K39" s="13"/>
      <c r="L39" s="13"/>
      <c r="M39" s="13"/>
      <c r="N39" s="13"/>
      <c r="O39" s="13"/>
      <c r="P39" s="13"/>
      <c r="Q39" s="13"/>
      <c r="R39" s="13"/>
      <c r="S39" s="13"/>
      <c r="T39" s="13"/>
      <c r="U39" s="13"/>
      <c r="V39" s="13"/>
      <c r="W39" s="13"/>
      <c r="X39" s="13"/>
      <c r="Y39" s="13"/>
      <c r="Z39" s="19"/>
      <c r="AA39" s="19"/>
    </row>
    <row r="40" spans="1:27" x14ac:dyDescent="0.25">
      <c r="A40" s="13"/>
      <c r="B40" s="13"/>
      <c r="C40" s="13"/>
      <c r="D40" s="13"/>
      <c r="E40" s="13"/>
      <c r="F40" s="13"/>
      <c r="G40" s="13"/>
      <c r="H40" s="13"/>
      <c r="I40" s="13"/>
      <c r="J40" s="13"/>
      <c r="K40" s="13"/>
      <c r="L40" s="13"/>
      <c r="M40" s="13"/>
      <c r="N40" s="13"/>
      <c r="O40" s="13"/>
      <c r="P40" s="13"/>
      <c r="Q40" s="13"/>
      <c r="R40" s="13"/>
      <c r="S40" s="13"/>
      <c r="T40" s="13"/>
      <c r="U40" s="13"/>
      <c r="V40" s="13"/>
      <c r="W40" s="13"/>
      <c r="X40" s="13"/>
      <c r="Y40" s="13"/>
      <c r="Z40" s="19"/>
      <c r="AA40" s="19"/>
    </row>
    <row r="41" spans="1:27" x14ac:dyDescent="0.25">
      <c r="A41" s="13"/>
      <c r="B41" s="13"/>
      <c r="C41" s="13"/>
      <c r="D41" s="13"/>
      <c r="E41" s="13"/>
      <c r="F41" s="13"/>
      <c r="G41" s="13"/>
      <c r="H41" s="13"/>
      <c r="I41" s="13"/>
      <c r="J41" s="13"/>
      <c r="K41" s="13"/>
      <c r="L41" s="13"/>
      <c r="M41" s="13"/>
      <c r="N41" s="13"/>
      <c r="O41" s="13"/>
      <c r="P41" s="13"/>
      <c r="Q41" s="13"/>
      <c r="R41" s="13"/>
      <c r="S41" s="13"/>
      <c r="T41" s="13"/>
      <c r="U41" s="13"/>
      <c r="V41" s="13"/>
      <c r="W41" s="13"/>
      <c r="X41" s="13"/>
      <c r="Y41" s="13"/>
      <c r="Z41" s="19"/>
      <c r="AA41" s="19"/>
    </row>
    <row r="42" spans="1:27" x14ac:dyDescent="0.25">
      <c r="A42" s="13"/>
      <c r="B42" s="13"/>
      <c r="C42" s="13"/>
      <c r="D42" s="13"/>
      <c r="E42" s="13"/>
      <c r="F42" s="13"/>
      <c r="G42" s="13"/>
      <c r="H42" s="13"/>
      <c r="I42" s="13"/>
      <c r="J42" s="13"/>
      <c r="K42" s="13"/>
      <c r="L42" s="13"/>
      <c r="M42" s="13"/>
      <c r="N42" s="13"/>
      <c r="O42" s="13"/>
      <c r="P42" s="13"/>
      <c r="Q42" s="13"/>
      <c r="R42" s="13"/>
      <c r="S42" s="13"/>
      <c r="T42" s="13"/>
      <c r="U42" s="13"/>
      <c r="V42" s="13"/>
      <c r="W42" s="13"/>
      <c r="X42" s="13"/>
      <c r="Y42" s="13"/>
      <c r="Z42" s="19"/>
      <c r="AA42" s="19"/>
    </row>
    <row r="43" spans="1:27" x14ac:dyDescent="0.25">
      <c r="A43" s="13"/>
      <c r="B43" s="13"/>
      <c r="C43" s="13"/>
      <c r="D43" s="13"/>
      <c r="E43" s="13"/>
      <c r="F43" s="13"/>
      <c r="G43" s="13"/>
      <c r="H43" s="13"/>
      <c r="I43" s="13"/>
      <c r="J43" s="13"/>
      <c r="K43" s="13"/>
      <c r="L43" s="13"/>
      <c r="M43" s="13"/>
      <c r="N43" s="13"/>
      <c r="O43" s="13"/>
      <c r="P43" s="13"/>
      <c r="Q43" s="13"/>
      <c r="R43" s="13"/>
      <c r="S43" s="13"/>
      <c r="T43" s="13"/>
      <c r="U43" s="13"/>
      <c r="V43" s="13"/>
      <c r="W43" s="13"/>
      <c r="X43" s="13"/>
      <c r="Y43" s="13"/>
      <c r="Z43" s="19"/>
      <c r="AA43" s="19"/>
    </row>
  </sheetData>
  <pageMargins left="0.7" right="0.7" top="0.75" bottom="0.75" header="0.3" footer="0.3"/>
  <pageSetup paperSize="9" scale="53" orientation="portrait" r:id="rId1"/>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DDA90F-BBA3-4EC5-9193-AD178C586A99}">
  <sheetPr codeName="Sheet4"/>
  <dimension ref="A1:N1027"/>
  <sheetViews>
    <sheetView topLeftCell="A2" workbookViewId="0">
      <selection sqref="A1:N1001"/>
    </sheetView>
  </sheetViews>
  <sheetFormatPr defaultRowHeight="15" x14ac:dyDescent="0.25"/>
  <cols>
    <col min="1" max="1" width="6" bestFit="1" customWidth="1"/>
    <col min="2" max="2" width="15.7109375" bestFit="1" customWidth="1"/>
    <col min="3" max="3" width="10" bestFit="1" customWidth="1"/>
    <col min="4" max="4" width="9.85546875" style="1" bestFit="1" customWidth="1"/>
    <col min="5" max="5" width="10.85546875" bestFit="1" customWidth="1"/>
    <col min="6" max="6" width="17.7109375" bestFit="1" customWidth="1"/>
    <col min="7" max="7" width="14.140625" bestFit="1" customWidth="1"/>
    <col min="8" max="8" width="15" bestFit="1" customWidth="1"/>
    <col min="9" max="9" width="7" bestFit="1" customWidth="1"/>
    <col min="10" max="10" width="20.28515625" bestFit="1" customWidth="1"/>
    <col min="11" max="11" width="14" bestFit="1" customWidth="1"/>
    <col min="12" max="12" width="14" customWidth="1"/>
    <col min="13" max="13" width="6.7109375" bestFit="1" customWidth="1"/>
    <col min="14" max="14" width="16.85546875" bestFit="1" customWidth="1"/>
  </cols>
  <sheetData>
    <row r="1" spans="1:14" x14ac:dyDescent="0.25">
      <c r="A1" t="s">
        <v>0</v>
      </c>
      <c r="B1" t="s">
        <v>1</v>
      </c>
      <c r="C1" t="s">
        <v>2</v>
      </c>
      <c r="D1" s="1" t="s">
        <v>3</v>
      </c>
      <c r="E1" t="s">
        <v>4</v>
      </c>
      <c r="F1" t="s">
        <v>5</v>
      </c>
      <c r="G1" t="s">
        <v>6</v>
      </c>
      <c r="H1" t="s">
        <v>7</v>
      </c>
      <c r="I1" t="s">
        <v>8</v>
      </c>
      <c r="J1" t="s">
        <v>9</v>
      </c>
      <c r="K1" t="s">
        <v>10</v>
      </c>
      <c r="L1" t="s">
        <v>36</v>
      </c>
      <c r="M1" t="s">
        <v>11</v>
      </c>
      <c r="N1" t="s">
        <v>12</v>
      </c>
    </row>
    <row r="2" spans="1:14" x14ac:dyDescent="0.25">
      <c r="A2">
        <v>12496</v>
      </c>
      <c r="B2" t="s">
        <v>13</v>
      </c>
      <c r="C2" t="s">
        <v>14</v>
      </c>
      <c r="D2" s="1">
        <v>40000</v>
      </c>
      <c r="E2">
        <v>1</v>
      </c>
      <c r="F2" t="s">
        <v>15</v>
      </c>
      <c r="G2" t="s">
        <v>16</v>
      </c>
      <c r="H2" t="s">
        <v>17</v>
      </c>
      <c r="I2">
        <v>0</v>
      </c>
      <c r="J2" t="s">
        <v>18</v>
      </c>
      <c r="K2" t="s">
        <v>19</v>
      </c>
      <c r="L2" t="str" cm="1">
        <f t="array" ref="L2">_xlfn.IFS(bike_buyers[[#This Row],[Age]]&gt;= 70, "senior citizen", bike_buyers[[#This Row],[Age]]&gt;=55, "middle age",  bike_buyers[[#This Row],[Age]]&gt;=40,"mature adult ", bike_buyers[[#This Row],[Age]]&gt;=30, "adults", bike_buyers[[#This Row],[Age]]&gt;= 20, "young adults")</f>
        <v xml:space="preserve">mature adult </v>
      </c>
      <c r="M2">
        <v>42</v>
      </c>
      <c r="N2" t="s">
        <v>20</v>
      </c>
    </row>
    <row r="3" spans="1:14" x14ac:dyDescent="0.25">
      <c r="A3">
        <v>24107</v>
      </c>
      <c r="B3" t="s">
        <v>13</v>
      </c>
      <c r="C3" t="s">
        <v>21</v>
      </c>
      <c r="D3" s="1">
        <v>30000</v>
      </c>
      <c r="E3">
        <v>3</v>
      </c>
      <c r="F3" t="s">
        <v>22</v>
      </c>
      <c r="G3" t="s">
        <v>23</v>
      </c>
      <c r="H3" t="s">
        <v>17</v>
      </c>
      <c r="I3">
        <v>1</v>
      </c>
      <c r="J3" t="s">
        <v>18</v>
      </c>
      <c r="K3" t="s">
        <v>19</v>
      </c>
      <c r="L3" t="str" cm="1">
        <f t="array" ref="L3">_xlfn.IFS(bike_buyers[[#This Row],[Age]]&gt;= 70, "senior citizen", bike_buyers[[#This Row],[Age]]&gt;=55, "middle age",  bike_buyers[[#This Row],[Age]]&gt;=40,"mature adult ", bike_buyers[[#This Row],[Age]]&gt;=30, "adults", bike_buyers[[#This Row],[Age]]&gt;= 20, "young adults")</f>
        <v xml:space="preserve">mature adult </v>
      </c>
      <c r="M3">
        <v>43</v>
      </c>
      <c r="N3" t="s">
        <v>20</v>
      </c>
    </row>
    <row r="4" spans="1:14" x14ac:dyDescent="0.25">
      <c r="A4">
        <v>14177</v>
      </c>
      <c r="B4" t="s">
        <v>13</v>
      </c>
      <c r="C4" t="s">
        <v>21</v>
      </c>
      <c r="D4" s="1">
        <v>80000</v>
      </c>
      <c r="E4">
        <v>5</v>
      </c>
      <c r="F4" t="s">
        <v>22</v>
      </c>
      <c r="G4" t="s">
        <v>24</v>
      </c>
      <c r="H4" t="s">
        <v>20</v>
      </c>
      <c r="I4">
        <v>2</v>
      </c>
      <c r="J4" t="s">
        <v>25</v>
      </c>
      <c r="K4" t="s">
        <v>19</v>
      </c>
      <c r="L4" t="str" cm="1">
        <f t="array" ref="L4">_xlfn.IFS(bike_buyers[[#This Row],[Age]]&gt;= 70, "senior citizen", bike_buyers[[#This Row],[Age]]&gt;=55, "middle age",  bike_buyers[[#This Row],[Age]]&gt;=40,"mature adult ", bike_buyers[[#This Row],[Age]]&gt;=30, "adults", bike_buyers[[#This Row],[Age]]&gt;= 20, "young adults")</f>
        <v>middle age</v>
      </c>
      <c r="M4">
        <v>60</v>
      </c>
      <c r="N4" t="s">
        <v>20</v>
      </c>
    </row>
    <row r="5" spans="1:14" x14ac:dyDescent="0.25">
      <c r="A5">
        <v>24381</v>
      </c>
      <c r="B5" t="s">
        <v>26</v>
      </c>
      <c r="C5" t="s">
        <v>21</v>
      </c>
      <c r="D5" s="1">
        <v>70000</v>
      </c>
      <c r="E5">
        <v>0</v>
      </c>
      <c r="F5" t="s">
        <v>15</v>
      </c>
      <c r="G5" t="s">
        <v>24</v>
      </c>
      <c r="H5" t="s">
        <v>17</v>
      </c>
      <c r="I5">
        <v>1</v>
      </c>
      <c r="J5" t="s">
        <v>27</v>
      </c>
      <c r="K5" t="s">
        <v>28</v>
      </c>
      <c r="L5" t="str" cm="1">
        <f t="array" ref="L5">_xlfn.IFS(bike_buyers[[#This Row],[Age]]&gt;= 70, "senior citizen", bike_buyers[[#This Row],[Age]]&gt;=55, "middle age",  bike_buyers[[#This Row],[Age]]&gt;=40,"mature adult ", bike_buyers[[#This Row],[Age]]&gt;=30, "adults", bike_buyers[[#This Row],[Age]]&gt;= 20, "young adults")</f>
        <v xml:space="preserve">mature adult </v>
      </c>
      <c r="M5">
        <v>41</v>
      </c>
      <c r="N5" t="s">
        <v>17</v>
      </c>
    </row>
    <row r="6" spans="1:14" x14ac:dyDescent="0.25">
      <c r="A6">
        <v>25597</v>
      </c>
      <c r="B6" t="s">
        <v>26</v>
      </c>
      <c r="C6" t="s">
        <v>21</v>
      </c>
      <c r="D6" s="1">
        <v>30000</v>
      </c>
      <c r="E6">
        <v>0</v>
      </c>
      <c r="F6" t="s">
        <v>15</v>
      </c>
      <c r="G6" t="s">
        <v>23</v>
      </c>
      <c r="H6" t="s">
        <v>20</v>
      </c>
      <c r="I6">
        <v>0</v>
      </c>
      <c r="J6" t="s">
        <v>18</v>
      </c>
      <c r="K6" t="s">
        <v>19</v>
      </c>
      <c r="L6" t="str" cm="1">
        <f t="array" ref="L6">_xlfn.IFS(bike_buyers[[#This Row],[Age]]&gt;= 70, "senior citizen", bike_buyers[[#This Row],[Age]]&gt;=55, "middle age",  bike_buyers[[#This Row],[Age]]&gt;=40,"mature adult ", bike_buyers[[#This Row],[Age]]&gt;=30, "adults", bike_buyers[[#This Row],[Age]]&gt;= 20, "young adults")</f>
        <v>adults</v>
      </c>
      <c r="M6">
        <v>36</v>
      </c>
      <c r="N6" t="s">
        <v>17</v>
      </c>
    </row>
    <row r="7" spans="1:14" x14ac:dyDescent="0.25">
      <c r="A7">
        <v>13507</v>
      </c>
      <c r="B7" t="s">
        <v>13</v>
      </c>
      <c r="C7" t="s">
        <v>14</v>
      </c>
      <c r="D7" s="1">
        <v>10000</v>
      </c>
      <c r="E7">
        <v>2</v>
      </c>
      <c r="F7" t="s">
        <v>22</v>
      </c>
      <c r="G7" t="s">
        <v>29</v>
      </c>
      <c r="H7" t="s">
        <v>17</v>
      </c>
      <c r="I7">
        <v>0</v>
      </c>
      <c r="J7" t="s">
        <v>30</v>
      </c>
      <c r="K7" t="s">
        <v>19</v>
      </c>
      <c r="L7" t="str" cm="1">
        <f t="array" ref="L7">_xlfn.IFS(bike_buyers[[#This Row],[Age]]&gt;= 70, "senior citizen", bike_buyers[[#This Row],[Age]]&gt;=55, "middle age",  bike_buyers[[#This Row],[Age]]&gt;=40,"mature adult ", bike_buyers[[#This Row],[Age]]&gt;=30, "adults", bike_buyers[[#This Row],[Age]]&gt;= 20, "young adults")</f>
        <v xml:space="preserve">mature adult </v>
      </c>
      <c r="M7">
        <v>50</v>
      </c>
      <c r="N7" t="s">
        <v>20</v>
      </c>
    </row>
    <row r="8" spans="1:14" x14ac:dyDescent="0.25">
      <c r="A8">
        <v>27974</v>
      </c>
      <c r="B8" t="s">
        <v>26</v>
      </c>
      <c r="C8" t="s">
        <v>21</v>
      </c>
      <c r="D8" s="1">
        <v>160000</v>
      </c>
      <c r="E8">
        <v>2</v>
      </c>
      <c r="F8" t="s">
        <v>31</v>
      </c>
      <c r="G8" t="s">
        <v>32</v>
      </c>
      <c r="H8" t="s">
        <v>17</v>
      </c>
      <c r="I8">
        <v>4</v>
      </c>
      <c r="J8" t="s">
        <v>18</v>
      </c>
      <c r="K8" t="s">
        <v>28</v>
      </c>
      <c r="L8" t="str" cm="1">
        <f t="array" ref="L8">_xlfn.IFS(bike_buyers[[#This Row],[Age]]&gt;= 70, "senior citizen", bike_buyers[[#This Row],[Age]]&gt;=55, "middle age",  bike_buyers[[#This Row],[Age]]&gt;=40,"mature adult ", bike_buyers[[#This Row],[Age]]&gt;=30, "adults", bike_buyers[[#This Row],[Age]]&gt;= 20, "young adults")</f>
        <v>adults</v>
      </c>
      <c r="M8">
        <v>33</v>
      </c>
      <c r="N8" t="s">
        <v>17</v>
      </c>
    </row>
    <row r="9" spans="1:14" x14ac:dyDescent="0.25">
      <c r="A9">
        <v>19364</v>
      </c>
      <c r="B9" t="s">
        <v>13</v>
      </c>
      <c r="C9" t="s">
        <v>21</v>
      </c>
      <c r="D9" s="1">
        <v>40000</v>
      </c>
      <c r="E9">
        <v>1</v>
      </c>
      <c r="F9" t="s">
        <v>15</v>
      </c>
      <c r="G9" t="s">
        <v>16</v>
      </c>
      <c r="H9" t="s">
        <v>17</v>
      </c>
      <c r="I9">
        <v>0</v>
      </c>
      <c r="J9" t="s">
        <v>18</v>
      </c>
      <c r="K9" t="s">
        <v>19</v>
      </c>
      <c r="L9" t="str" cm="1">
        <f t="array" ref="L9">_xlfn.IFS(bike_buyers[[#This Row],[Age]]&gt;= 70, "senior citizen", bike_buyers[[#This Row],[Age]]&gt;=55, "middle age",  bike_buyers[[#This Row],[Age]]&gt;=40,"mature adult ", bike_buyers[[#This Row],[Age]]&gt;=30, "adults", bike_buyers[[#This Row],[Age]]&gt;= 20, "young adults")</f>
        <v xml:space="preserve">mature adult </v>
      </c>
      <c r="M9">
        <v>43</v>
      </c>
      <c r="N9" t="s">
        <v>17</v>
      </c>
    </row>
    <row r="10" spans="1:14" x14ac:dyDescent="0.25">
      <c r="A10">
        <v>22155</v>
      </c>
      <c r="B10" t="s">
        <v>13</v>
      </c>
      <c r="C10" t="s">
        <v>21</v>
      </c>
      <c r="D10" s="1">
        <v>20000</v>
      </c>
      <c r="E10">
        <v>2</v>
      </c>
      <c r="F10" t="s">
        <v>33</v>
      </c>
      <c r="G10" t="s">
        <v>23</v>
      </c>
      <c r="H10" t="s">
        <v>17</v>
      </c>
      <c r="I10">
        <v>2</v>
      </c>
      <c r="J10" t="s">
        <v>27</v>
      </c>
      <c r="K10" t="s">
        <v>28</v>
      </c>
      <c r="L10" t="str" cm="1">
        <f t="array" ref="L10">_xlfn.IFS(bike_buyers[[#This Row],[Age]]&gt;= 70, "senior citizen", bike_buyers[[#This Row],[Age]]&gt;=55, "middle age",  bike_buyers[[#This Row],[Age]]&gt;=40,"mature adult ", bike_buyers[[#This Row],[Age]]&gt;=30, "adults", bike_buyers[[#This Row],[Age]]&gt;= 20, "young adults")</f>
        <v>middle age</v>
      </c>
      <c r="M10">
        <v>58</v>
      </c>
      <c r="N10" t="s">
        <v>20</v>
      </c>
    </row>
    <row r="11" spans="1:14" x14ac:dyDescent="0.25">
      <c r="A11">
        <v>19280</v>
      </c>
      <c r="B11" t="s">
        <v>13</v>
      </c>
      <c r="C11" t="s">
        <v>21</v>
      </c>
      <c r="D11" s="1">
        <v>120000</v>
      </c>
      <c r="E11">
        <v>2</v>
      </c>
      <c r="F11" t="s">
        <v>22</v>
      </c>
      <c r="G11" t="s">
        <v>29</v>
      </c>
      <c r="H11" t="s">
        <v>17</v>
      </c>
      <c r="I11">
        <v>1</v>
      </c>
      <c r="J11" t="s">
        <v>18</v>
      </c>
      <c r="K11" t="s">
        <v>19</v>
      </c>
      <c r="L11" t="str" cm="1">
        <f t="array" ref="L11">_xlfn.IFS(bike_buyers[[#This Row],[Age]]&gt;= 70, "senior citizen", bike_buyers[[#This Row],[Age]]&gt;=55, "middle age",  bike_buyers[[#This Row],[Age]]&gt;=40,"mature adult ", bike_buyers[[#This Row],[Age]]&gt;=30, "adults", bike_buyers[[#This Row],[Age]]&gt;= 20, "young adults")</f>
        <v xml:space="preserve">mature adult </v>
      </c>
      <c r="M11">
        <v>40</v>
      </c>
      <c r="N11" t="s">
        <v>17</v>
      </c>
    </row>
    <row r="12" spans="1:14" x14ac:dyDescent="0.25">
      <c r="A12">
        <v>22173</v>
      </c>
      <c r="B12" t="s">
        <v>13</v>
      </c>
      <c r="C12" t="s">
        <v>14</v>
      </c>
      <c r="D12" s="1">
        <v>30000</v>
      </c>
      <c r="E12">
        <v>3</v>
      </c>
      <c r="F12" t="s">
        <v>31</v>
      </c>
      <c r="G12" t="s">
        <v>16</v>
      </c>
      <c r="H12" t="s">
        <v>20</v>
      </c>
      <c r="I12">
        <v>2</v>
      </c>
      <c r="J12" t="s">
        <v>30</v>
      </c>
      <c r="K12" t="s">
        <v>28</v>
      </c>
      <c r="L12" t="str" cm="1">
        <f t="array" ref="L12">_xlfn.IFS(bike_buyers[[#This Row],[Age]]&gt;= 70, "senior citizen", bike_buyers[[#This Row],[Age]]&gt;=55, "middle age",  bike_buyers[[#This Row],[Age]]&gt;=40,"mature adult ", bike_buyers[[#This Row],[Age]]&gt;=30, "adults", bike_buyers[[#This Row],[Age]]&gt;= 20, "young adults")</f>
        <v xml:space="preserve">mature adult </v>
      </c>
      <c r="M12">
        <v>54</v>
      </c>
      <c r="N12" t="s">
        <v>17</v>
      </c>
    </row>
    <row r="13" spans="1:14" x14ac:dyDescent="0.25">
      <c r="A13">
        <v>12697</v>
      </c>
      <c r="B13" t="s">
        <v>26</v>
      </c>
      <c r="C13" t="s">
        <v>14</v>
      </c>
      <c r="D13" s="1">
        <v>90000</v>
      </c>
      <c r="E13">
        <v>0</v>
      </c>
      <c r="F13" t="s">
        <v>15</v>
      </c>
      <c r="G13" t="s">
        <v>24</v>
      </c>
      <c r="H13" t="s">
        <v>20</v>
      </c>
      <c r="I13">
        <v>4</v>
      </c>
      <c r="J13" t="s">
        <v>41</v>
      </c>
      <c r="K13" t="s">
        <v>28</v>
      </c>
      <c r="L13" t="str" cm="1">
        <f t="array" ref="L13">_xlfn.IFS(bike_buyers[[#This Row],[Age]]&gt;= 70, "senior citizen", bike_buyers[[#This Row],[Age]]&gt;=55, "middle age",  bike_buyers[[#This Row],[Age]]&gt;=40,"mature adult ", bike_buyers[[#This Row],[Age]]&gt;=30, "adults", bike_buyers[[#This Row],[Age]]&gt;= 20, "young adults")</f>
        <v>adults</v>
      </c>
      <c r="M13">
        <v>36</v>
      </c>
      <c r="N13" t="s">
        <v>20</v>
      </c>
    </row>
    <row r="14" spans="1:14" x14ac:dyDescent="0.25">
      <c r="A14">
        <v>11434</v>
      </c>
      <c r="B14" t="s">
        <v>13</v>
      </c>
      <c r="C14" t="s">
        <v>21</v>
      </c>
      <c r="D14" s="1">
        <v>170000</v>
      </c>
      <c r="E14">
        <v>5</v>
      </c>
      <c r="F14" t="s">
        <v>22</v>
      </c>
      <c r="G14" t="s">
        <v>24</v>
      </c>
      <c r="H14" t="s">
        <v>17</v>
      </c>
      <c r="I14">
        <v>0</v>
      </c>
      <c r="J14" t="s">
        <v>18</v>
      </c>
      <c r="K14" t="s">
        <v>19</v>
      </c>
      <c r="L14" t="str" cm="1">
        <f t="array" ref="L14">_xlfn.IFS(bike_buyers[[#This Row],[Age]]&gt;= 70, "senior citizen", bike_buyers[[#This Row],[Age]]&gt;=55, "middle age",  bike_buyers[[#This Row],[Age]]&gt;=40,"mature adult ", bike_buyers[[#This Row],[Age]]&gt;=30, "adults", bike_buyers[[#This Row],[Age]]&gt;= 20, "young adults")</f>
        <v>middle age</v>
      </c>
      <c r="M14">
        <v>55</v>
      </c>
      <c r="N14" t="s">
        <v>20</v>
      </c>
    </row>
    <row r="15" spans="1:14" x14ac:dyDescent="0.25">
      <c r="A15">
        <v>25323</v>
      </c>
      <c r="B15" t="s">
        <v>13</v>
      </c>
      <c r="C15" t="s">
        <v>21</v>
      </c>
      <c r="D15" s="1">
        <v>40000</v>
      </c>
      <c r="E15">
        <v>2</v>
      </c>
      <c r="F15" t="s">
        <v>22</v>
      </c>
      <c r="G15" t="s">
        <v>23</v>
      </c>
      <c r="H15" t="s">
        <v>17</v>
      </c>
      <c r="I15">
        <v>1</v>
      </c>
      <c r="J15" t="s">
        <v>30</v>
      </c>
      <c r="K15" t="s">
        <v>19</v>
      </c>
      <c r="L15" t="str" cm="1">
        <f t="array" ref="L15">_xlfn.IFS(bike_buyers[[#This Row],[Age]]&gt;= 70, "senior citizen", bike_buyers[[#This Row],[Age]]&gt;=55, "middle age",  bike_buyers[[#This Row],[Age]]&gt;=40,"mature adult ", bike_buyers[[#This Row],[Age]]&gt;=30, "adults", bike_buyers[[#This Row],[Age]]&gt;= 20, "young adults")</f>
        <v>adults</v>
      </c>
      <c r="M15">
        <v>35</v>
      </c>
      <c r="N15" t="s">
        <v>17</v>
      </c>
    </row>
    <row r="16" spans="1:14" x14ac:dyDescent="0.25">
      <c r="A16">
        <v>23542</v>
      </c>
      <c r="B16" t="s">
        <v>26</v>
      </c>
      <c r="C16" t="s">
        <v>21</v>
      </c>
      <c r="D16" s="1">
        <v>60000</v>
      </c>
      <c r="E16">
        <v>1</v>
      </c>
      <c r="F16" t="s">
        <v>22</v>
      </c>
      <c r="G16" t="s">
        <v>16</v>
      </c>
      <c r="H16" t="s">
        <v>20</v>
      </c>
      <c r="I16">
        <v>1</v>
      </c>
      <c r="J16" t="s">
        <v>18</v>
      </c>
      <c r="K16" t="s">
        <v>28</v>
      </c>
      <c r="L16" t="str" cm="1">
        <f t="array" ref="L16">_xlfn.IFS(bike_buyers[[#This Row],[Age]]&gt;= 70, "senior citizen", bike_buyers[[#This Row],[Age]]&gt;=55, "middle age",  bike_buyers[[#This Row],[Age]]&gt;=40,"mature adult ", bike_buyers[[#This Row],[Age]]&gt;=30, "adults", bike_buyers[[#This Row],[Age]]&gt;= 20, "young adults")</f>
        <v xml:space="preserve">mature adult </v>
      </c>
      <c r="M16">
        <v>45</v>
      </c>
      <c r="N16" t="s">
        <v>17</v>
      </c>
    </row>
    <row r="17" spans="1:14" x14ac:dyDescent="0.25">
      <c r="A17">
        <v>20870</v>
      </c>
      <c r="B17" t="s">
        <v>26</v>
      </c>
      <c r="C17" t="s">
        <v>14</v>
      </c>
      <c r="D17" s="1">
        <v>10000</v>
      </c>
      <c r="E17">
        <v>2</v>
      </c>
      <c r="F17" t="s">
        <v>31</v>
      </c>
      <c r="G17" t="s">
        <v>29</v>
      </c>
      <c r="H17" t="s">
        <v>17</v>
      </c>
      <c r="I17">
        <v>1</v>
      </c>
      <c r="J17" t="s">
        <v>18</v>
      </c>
      <c r="K17" t="s">
        <v>19</v>
      </c>
      <c r="L17" t="str" cm="1">
        <f t="array" ref="L17">_xlfn.IFS(bike_buyers[[#This Row],[Age]]&gt;= 70, "senior citizen", bike_buyers[[#This Row],[Age]]&gt;=55, "middle age",  bike_buyers[[#This Row],[Age]]&gt;=40,"mature adult ", bike_buyers[[#This Row],[Age]]&gt;=30, "adults", bike_buyers[[#This Row],[Age]]&gt;= 20, "young adults")</f>
        <v>adults</v>
      </c>
      <c r="M17">
        <v>38</v>
      </c>
      <c r="N17" t="s">
        <v>17</v>
      </c>
    </row>
    <row r="18" spans="1:14" x14ac:dyDescent="0.25">
      <c r="A18">
        <v>23316</v>
      </c>
      <c r="B18" t="s">
        <v>26</v>
      </c>
      <c r="C18" t="s">
        <v>21</v>
      </c>
      <c r="D18" s="1">
        <v>30000</v>
      </c>
      <c r="E18">
        <v>3</v>
      </c>
      <c r="F18" t="s">
        <v>22</v>
      </c>
      <c r="G18" t="s">
        <v>23</v>
      </c>
      <c r="H18" t="s">
        <v>20</v>
      </c>
      <c r="I18">
        <v>2</v>
      </c>
      <c r="J18" t="s">
        <v>30</v>
      </c>
      <c r="K18" t="s">
        <v>28</v>
      </c>
      <c r="L18" t="str" cm="1">
        <f t="array" ref="L18">_xlfn.IFS(bike_buyers[[#This Row],[Age]]&gt;= 70, "senior citizen", bike_buyers[[#This Row],[Age]]&gt;=55, "middle age",  bike_buyers[[#This Row],[Age]]&gt;=40,"mature adult ", bike_buyers[[#This Row],[Age]]&gt;=30, "adults", bike_buyers[[#This Row],[Age]]&gt;= 20, "young adults")</f>
        <v>middle age</v>
      </c>
      <c r="M18">
        <v>59</v>
      </c>
      <c r="N18" t="s">
        <v>17</v>
      </c>
    </row>
    <row r="19" spans="1:14" x14ac:dyDescent="0.25">
      <c r="A19">
        <v>12610</v>
      </c>
      <c r="B19" t="s">
        <v>13</v>
      </c>
      <c r="C19" t="s">
        <v>14</v>
      </c>
      <c r="D19" s="1">
        <v>30000</v>
      </c>
      <c r="E19">
        <v>1</v>
      </c>
      <c r="F19" t="s">
        <v>15</v>
      </c>
      <c r="G19" t="s">
        <v>23</v>
      </c>
      <c r="H19" t="s">
        <v>17</v>
      </c>
      <c r="I19">
        <v>0</v>
      </c>
      <c r="J19" t="s">
        <v>18</v>
      </c>
      <c r="K19" t="s">
        <v>19</v>
      </c>
      <c r="L19" t="str" cm="1">
        <f t="array" ref="L19">_xlfn.IFS(bike_buyers[[#This Row],[Age]]&gt;= 70, "senior citizen", bike_buyers[[#This Row],[Age]]&gt;=55, "middle age",  bike_buyers[[#This Row],[Age]]&gt;=40,"mature adult ", bike_buyers[[#This Row],[Age]]&gt;=30, "adults", bike_buyers[[#This Row],[Age]]&gt;= 20, "young adults")</f>
        <v xml:space="preserve">mature adult </v>
      </c>
      <c r="M19">
        <v>47</v>
      </c>
      <c r="N19" t="s">
        <v>20</v>
      </c>
    </row>
    <row r="20" spans="1:14" x14ac:dyDescent="0.25">
      <c r="A20">
        <v>27183</v>
      </c>
      <c r="B20" t="s">
        <v>26</v>
      </c>
      <c r="C20" t="s">
        <v>21</v>
      </c>
      <c r="D20" s="1">
        <v>40000</v>
      </c>
      <c r="E20">
        <v>2</v>
      </c>
      <c r="F20" t="s">
        <v>22</v>
      </c>
      <c r="G20" t="s">
        <v>23</v>
      </c>
      <c r="H20" t="s">
        <v>17</v>
      </c>
      <c r="I20">
        <v>1</v>
      </c>
      <c r="J20" t="s">
        <v>30</v>
      </c>
      <c r="K20" t="s">
        <v>19</v>
      </c>
      <c r="L20" t="str" cm="1">
        <f t="array" ref="L20">_xlfn.IFS(bike_buyers[[#This Row],[Age]]&gt;= 70, "senior citizen", bike_buyers[[#This Row],[Age]]&gt;=55, "middle age",  bike_buyers[[#This Row],[Age]]&gt;=40,"mature adult ", bike_buyers[[#This Row],[Age]]&gt;=30, "adults", bike_buyers[[#This Row],[Age]]&gt;= 20, "young adults")</f>
        <v>adults</v>
      </c>
      <c r="M20">
        <v>35</v>
      </c>
      <c r="N20" t="s">
        <v>17</v>
      </c>
    </row>
    <row r="21" spans="1:14" x14ac:dyDescent="0.25">
      <c r="A21">
        <v>25940</v>
      </c>
      <c r="B21" t="s">
        <v>26</v>
      </c>
      <c r="C21" t="s">
        <v>21</v>
      </c>
      <c r="D21" s="1">
        <v>20000</v>
      </c>
      <c r="E21">
        <v>2</v>
      </c>
      <c r="F21" t="s">
        <v>33</v>
      </c>
      <c r="G21" t="s">
        <v>23</v>
      </c>
      <c r="H21" t="s">
        <v>17</v>
      </c>
      <c r="I21">
        <v>2</v>
      </c>
      <c r="J21" t="s">
        <v>27</v>
      </c>
      <c r="K21" t="s">
        <v>28</v>
      </c>
      <c r="L21" t="str" cm="1">
        <f t="array" ref="L21">_xlfn.IFS(bike_buyers[[#This Row],[Age]]&gt;= 70, "senior citizen", bike_buyers[[#This Row],[Age]]&gt;=55, "middle age",  bike_buyers[[#This Row],[Age]]&gt;=40,"mature adult ", bike_buyers[[#This Row],[Age]]&gt;=30, "adults", bike_buyers[[#This Row],[Age]]&gt;= 20, "young adults")</f>
        <v>middle age</v>
      </c>
      <c r="M21">
        <v>55</v>
      </c>
      <c r="N21" t="s">
        <v>17</v>
      </c>
    </row>
    <row r="22" spans="1:14" x14ac:dyDescent="0.25">
      <c r="A22">
        <v>25598</v>
      </c>
      <c r="B22" t="s">
        <v>13</v>
      </c>
      <c r="C22" t="s">
        <v>14</v>
      </c>
      <c r="D22" s="1">
        <v>40000</v>
      </c>
      <c r="E22">
        <v>0</v>
      </c>
      <c r="F22" t="s">
        <v>34</v>
      </c>
      <c r="G22" t="s">
        <v>23</v>
      </c>
      <c r="H22" t="s">
        <v>17</v>
      </c>
      <c r="I22">
        <v>0</v>
      </c>
      <c r="J22" t="s">
        <v>18</v>
      </c>
      <c r="K22" t="s">
        <v>19</v>
      </c>
      <c r="L22" t="str" cm="1">
        <f t="array" ref="L22">_xlfn.IFS(bike_buyers[[#This Row],[Age]]&gt;= 70, "senior citizen", bike_buyers[[#This Row],[Age]]&gt;=55, "middle age",  bike_buyers[[#This Row],[Age]]&gt;=40,"mature adult ", bike_buyers[[#This Row],[Age]]&gt;=30, "adults", bike_buyers[[#This Row],[Age]]&gt;= 20, "young adults")</f>
        <v>adults</v>
      </c>
      <c r="M22">
        <v>36</v>
      </c>
      <c r="N22" t="s">
        <v>17</v>
      </c>
    </row>
    <row r="23" spans="1:14" x14ac:dyDescent="0.25">
      <c r="A23">
        <v>21564</v>
      </c>
      <c r="B23" t="s">
        <v>26</v>
      </c>
      <c r="C23" t="s">
        <v>14</v>
      </c>
      <c r="D23" s="1">
        <v>80000</v>
      </c>
      <c r="E23">
        <v>0</v>
      </c>
      <c r="F23" t="s">
        <v>15</v>
      </c>
      <c r="G23" t="s">
        <v>24</v>
      </c>
      <c r="H23" t="s">
        <v>17</v>
      </c>
      <c r="I23">
        <v>4</v>
      </c>
      <c r="J23" t="s">
        <v>41</v>
      </c>
      <c r="K23" t="s">
        <v>28</v>
      </c>
      <c r="L23" t="str" cm="1">
        <f t="array" ref="L23">_xlfn.IFS(bike_buyers[[#This Row],[Age]]&gt;= 70, "senior citizen", bike_buyers[[#This Row],[Age]]&gt;=55, "middle age",  bike_buyers[[#This Row],[Age]]&gt;=40,"mature adult ", bike_buyers[[#This Row],[Age]]&gt;=30, "adults", bike_buyers[[#This Row],[Age]]&gt;= 20, "young adults")</f>
        <v>adults</v>
      </c>
      <c r="M23">
        <v>35</v>
      </c>
      <c r="N23" t="s">
        <v>20</v>
      </c>
    </row>
    <row r="24" spans="1:14" x14ac:dyDescent="0.25">
      <c r="A24">
        <v>19193</v>
      </c>
      <c r="B24" t="s">
        <v>26</v>
      </c>
      <c r="C24" t="s">
        <v>21</v>
      </c>
      <c r="D24" s="1">
        <v>40000</v>
      </c>
      <c r="E24">
        <v>2</v>
      </c>
      <c r="F24" t="s">
        <v>22</v>
      </c>
      <c r="G24" t="s">
        <v>23</v>
      </c>
      <c r="H24" t="s">
        <v>17</v>
      </c>
      <c r="I24">
        <v>0</v>
      </c>
      <c r="J24" t="s">
        <v>30</v>
      </c>
      <c r="K24" t="s">
        <v>19</v>
      </c>
      <c r="L24" t="str" cm="1">
        <f t="array" ref="L24">_xlfn.IFS(bike_buyers[[#This Row],[Age]]&gt;= 70, "senior citizen", bike_buyers[[#This Row],[Age]]&gt;=55, "middle age",  bike_buyers[[#This Row],[Age]]&gt;=40,"mature adult ", bike_buyers[[#This Row],[Age]]&gt;=30, "adults", bike_buyers[[#This Row],[Age]]&gt;= 20, "young adults")</f>
        <v>adults</v>
      </c>
      <c r="M24">
        <v>35</v>
      </c>
      <c r="N24" t="s">
        <v>17</v>
      </c>
    </row>
    <row r="25" spans="1:14" x14ac:dyDescent="0.25">
      <c r="A25">
        <v>26412</v>
      </c>
      <c r="B25" t="s">
        <v>13</v>
      </c>
      <c r="C25" t="s">
        <v>14</v>
      </c>
      <c r="D25" s="1">
        <v>80000</v>
      </c>
      <c r="E25">
        <v>5</v>
      </c>
      <c r="F25" t="s">
        <v>31</v>
      </c>
      <c r="G25" t="s">
        <v>32</v>
      </c>
      <c r="H25" t="s">
        <v>20</v>
      </c>
      <c r="I25">
        <v>3</v>
      </c>
      <c r="J25" t="s">
        <v>27</v>
      </c>
      <c r="K25" t="s">
        <v>19</v>
      </c>
      <c r="L25" t="str" cm="1">
        <f t="array" ref="L25">_xlfn.IFS(bike_buyers[[#This Row],[Age]]&gt;= 70, "senior citizen", bike_buyers[[#This Row],[Age]]&gt;=55, "middle age",  bike_buyers[[#This Row],[Age]]&gt;=40,"mature adult ", bike_buyers[[#This Row],[Age]]&gt;=30, "adults", bike_buyers[[#This Row],[Age]]&gt;= 20, "young adults")</f>
        <v>middle age</v>
      </c>
      <c r="M25">
        <v>56</v>
      </c>
      <c r="N25" t="s">
        <v>20</v>
      </c>
    </row>
    <row r="26" spans="1:14" x14ac:dyDescent="0.25">
      <c r="A26">
        <v>27184</v>
      </c>
      <c r="B26" t="s">
        <v>26</v>
      </c>
      <c r="C26" t="s">
        <v>21</v>
      </c>
      <c r="D26" s="1">
        <v>40000</v>
      </c>
      <c r="E26">
        <v>2</v>
      </c>
      <c r="F26" t="s">
        <v>22</v>
      </c>
      <c r="G26" t="s">
        <v>23</v>
      </c>
      <c r="H26" t="s">
        <v>20</v>
      </c>
      <c r="I26">
        <v>1</v>
      </c>
      <c r="J26" t="s">
        <v>18</v>
      </c>
      <c r="K26" t="s">
        <v>19</v>
      </c>
      <c r="L26" t="str" cm="1">
        <f t="array" ref="L26">_xlfn.IFS(bike_buyers[[#This Row],[Age]]&gt;= 70, "senior citizen", bike_buyers[[#This Row],[Age]]&gt;=55, "middle age",  bike_buyers[[#This Row],[Age]]&gt;=40,"mature adult ", bike_buyers[[#This Row],[Age]]&gt;=30, "adults", bike_buyers[[#This Row],[Age]]&gt;= 20, "young adults")</f>
        <v>adults</v>
      </c>
      <c r="M26">
        <v>34</v>
      </c>
      <c r="N26" t="s">
        <v>20</v>
      </c>
    </row>
    <row r="27" spans="1:14" x14ac:dyDescent="0.25">
      <c r="A27">
        <v>12590</v>
      </c>
      <c r="B27" t="s">
        <v>26</v>
      </c>
      <c r="C27" t="s">
        <v>21</v>
      </c>
      <c r="D27" s="1">
        <v>30000</v>
      </c>
      <c r="E27">
        <v>1</v>
      </c>
      <c r="F27" t="s">
        <v>15</v>
      </c>
      <c r="G27" t="s">
        <v>23</v>
      </c>
      <c r="H27" t="s">
        <v>17</v>
      </c>
      <c r="I27">
        <v>0</v>
      </c>
      <c r="J27" t="s">
        <v>18</v>
      </c>
      <c r="K27" t="s">
        <v>19</v>
      </c>
      <c r="L27" t="str" cm="1">
        <f t="array" ref="L27">_xlfn.IFS(bike_buyers[[#This Row],[Age]]&gt;= 70, "senior citizen", bike_buyers[[#This Row],[Age]]&gt;=55, "middle age",  bike_buyers[[#This Row],[Age]]&gt;=40,"mature adult ", bike_buyers[[#This Row],[Age]]&gt;=30, "adults", bike_buyers[[#This Row],[Age]]&gt;= 20, "young adults")</f>
        <v>middle age</v>
      </c>
      <c r="M27">
        <v>63</v>
      </c>
      <c r="N27" t="s">
        <v>20</v>
      </c>
    </row>
    <row r="28" spans="1:14" x14ac:dyDescent="0.25">
      <c r="A28">
        <v>17841</v>
      </c>
      <c r="B28" t="s">
        <v>26</v>
      </c>
      <c r="C28" t="s">
        <v>21</v>
      </c>
      <c r="D28" s="1">
        <v>30000</v>
      </c>
      <c r="E28">
        <v>0</v>
      </c>
      <c r="F28" t="s">
        <v>22</v>
      </c>
      <c r="G28" t="s">
        <v>23</v>
      </c>
      <c r="H28" t="s">
        <v>20</v>
      </c>
      <c r="I28">
        <v>1</v>
      </c>
      <c r="J28" t="s">
        <v>18</v>
      </c>
      <c r="K28" t="s">
        <v>19</v>
      </c>
      <c r="L28" t="str" cm="1">
        <f t="array" ref="L28">_xlfn.IFS(bike_buyers[[#This Row],[Age]]&gt;= 70, "senior citizen", bike_buyers[[#This Row],[Age]]&gt;=55, "middle age",  bike_buyers[[#This Row],[Age]]&gt;=40,"mature adult ", bike_buyers[[#This Row],[Age]]&gt;=30, "adults", bike_buyers[[#This Row],[Age]]&gt;= 20, "young adults")</f>
        <v>young adults</v>
      </c>
      <c r="M28">
        <v>29</v>
      </c>
      <c r="N28" t="s">
        <v>17</v>
      </c>
    </row>
    <row r="29" spans="1:14" x14ac:dyDescent="0.25">
      <c r="A29">
        <v>18283</v>
      </c>
      <c r="B29" t="s">
        <v>26</v>
      </c>
      <c r="C29" t="s">
        <v>14</v>
      </c>
      <c r="D29" s="1">
        <v>100000</v>
      </c>
      <c r="E29">
        <v>0</v>
      </c>
      <c r="F29" t="s">
        <v>15</v>
      </c>
      <c r="G29" t="s">
        <v>24</v>
      </c>
      <c r="H29" t="s">
        <v>20</v>
      </c>
      <c r="I29">
        <v>1</v>
      </c>
      <c r="J29" t="s">
        <v>27</v>
      </c>
      <c r="K29" t="s">
        <v>28</v>
      </c>
      <c r="L29" t="str" cm="1">
        <f t="array" ref="L29">_xlfn.IFS(bike_buyers[[#This Row],[Age]]&gt;= 70, "senior citizen", bike_buyers[[#This Row],[Age]]&gt;=55, "middle age",  bike_buyers[[#This Row],[Age]]&gt;=40,"mature adult ", bike_buyers[[#This Row],[Age]]&gt;=30, "adults", bike_buyers[[#This Row],[Age]]&gt;= 20, "young adults")</f>
        <v xml:space="preserve">mature adult </v>
      </c>
      <c r="M29">
        <v>40</v>
      </c>
      <c r="N29" t="s">
        <v>20</v>
      </c>
    </row>
    <row r="30" spans="1:14" x14ac:dyDescent="0.25">
      <c r="A30">
        <v>18299</v>
      </c>
      <c r="B30" t="s">
        <v>13</v>
      </c>
      <c r="C30" t="s">
        <v>21</v>
      </c>
      <c r="D30" s="1">
        <v>70000</v>
      </c>
      <c r="E30">
        <v>5</v>
      </c>
      <c r="F30" t="s">
        <v>22</v>
      </c>
      <c r="G30" t="s">
        <v>16</v>
      </c>
      <c r="H30" t="s">
        <v>17</v>
      </c>
      <c r="I30">
        <v>2</v>
      </c>
      <c r="J30" t="s">
        <v>27</v>
      </c>
      <c r="K30" t="s">
        <v>28</v>
      </c>
      <c r="L30" t="str" cm="1">
        <f t="array" ref="L30">_xlfn.IFS(bike_buyers[[#This Row],[Age]]&gt;= 70, "senior citizen", bike_buyers[[#This Row],[Age]]&gt;=55, "middle age",  bike_buyers[[#This Row],[Age]]&gt;=40,"mature adult ", bike_buyers[[#This Row],[Age]]&gt;=30, "adults", bike_buyers[[#This Row],[Age]]&gt;= 20, "young adults")</f>
        <v xml:space="preserve">mature adult </v>
      </c>
      <c r="M30">
        <v>44</v>
      </c>
      <c r="N30" t="s">
        <v>20</v>
      </c>
    </row>
    <row r="31" spans="1:14" x14ac:dyDescent="0.25">
      <c r="A31">
        <v>16466</v>
      </c>
      <c r="B31" t="s">
        <v>26</v>
      </c>
      <c r="C31" t="s">
        <v>14</v>
      </c>
      <c r="D31" s="1">
        <v>20000</v>
      </c>
      <c r="E31">
        <v>0</v>
      </c>
      <c r="F31" t="s">
        <v>33</v>
      </c>
      <c r="G31" t="s">
        <v>29</v>
      </c>
      <c r="H31" t="s">
        <v>20</v>
      </c>
      <c r="I31">
        <v>2</v>
      </c>
      <c r="J31" t="s">
        <v>18</v>
      </c>
      <c r="K31" t="s">
        <v>19</v>
      </c>
      <c r="L31" t="str" cm="1">
        <f t="array" ref="L31">_xlfn.IFS(bike_buyers[[#This Row],[Age]]&gt;= 70, "senior citizen", bike_buyers[[#This Row],[Age]]&gt;=55, "middle age",  bike_buyers[[#This Row],[Age]]&gt;=40,"mature adult ", bike_buyers[[#This Row],[Age]]&gt;=30, "adults", bike_buyers[[#This Row],[Age]]&gt;= 20, "young adults")</f>
        <v>adults</v>
      </c>
      <c r="M31">
        <v>32</v>
      </c>
      <c r="N31" t="s">
        <v>17</v>
      </c>
    </row>
    <row r="32" spans="1:14" x14ac:dyDescent="0.25">
      <c r="A32">
        <v>19273</v>
      </c>
      <c r="B32" t="s">
        <v>13</v>
      </c>
      <c r="C32" t="s">
        <v>14</v>
      </c>
      <c r="D32" s="1">
        <v>20000</v>
      </c>
      <c r="E32">
        <v>2</v>
      </c>
      <c r="F32" t="s">
        <v>22</v>
      </c>
      <c r="G32" t="s">
        <v>29</v>
      </c>
      <c r="H32" t="s">
        <v>17</v>
      </c>
      <c r="I32">
        <v>0</v>
      </c>
      <c r="J32" t="s">
        <v>18</v>
      </c>
      <c r="K32" t="s">
        <v>19</v>
      </c>
      <c r="L32" t="str" cm="1">
        <f t="array" ref="L32">_xlfn.IFS(bike_buyers[[#This Row],[Age]]&gt;= 70, "senior citizen", bike_buyers[[#This Row],[Age]]&gt;=55, "middle age",  bike_buyers[[#This Row],[Age]]&gt;=40,"mature adult ", bike_buyers[[#This Row],[Age]]&gt;=30, "adults", bike_buyers[[#This Row],[Age]]&gt;= 20, "young adults")</f>
        <v>middle age</v>
      </c>
      <c r="M32">
        <v>63</v>
      </c>
      <c r="N32" t="s">
        <v>20</v>
      </c>
    </row>
    <row r="33" spans="1:14" x14ac:dyDescent="0.25">
      <c r="A33">
        <v>22400</v>
      </c>
      <c r="B33" t="s">
        <v>13</v>
      </c>
      <c r="C33" t="s">
        <v>21</v>
      </c>
      <c r="D33" s="1">
        <v>10000</v>
      </c>
      <c r="E33">
        <v>0</v>
      </c>
      <c r="F33" t="s">
        <v>22</v>
      </c>
      <c r="G33" t="s">
        <v>29</v>
      </c>
      <c r="H33" t="s">
        <v>20</v>
      </c>
      <c r="I33">
        <v>1</v>
      </c>
      <c r="J33" t="s">
        <v>18</v>
      </c>
      <c r="K33" t="s">
        <v>28</v>
      </c>
      <c r="L33" t="str" cm="1">
        <f t="array" ref="L33">_xlfn.IFS(bike_buyers[[#This Row],[Age]]&gt;= 70, "senior citizen", bike_buyers[[#This Row],[Age]]&gt;=55, "middle age",  bike_buyers[[#This Row],[Age]]&gt;=40,"mature adult ", bike_buyers[[#This Row],[Age]]&gt;=30, "adults", bike_buyers[[#This Row],[Age]]&gt;= 20, "young adults")</f>
        <v>young adults</v>
      </c>
      <c r="M33">
        <v>26</v>
      </c>
      <c r="N33" t="s">
        <v>17</v>
      </c>
    </row>
    <row r="34" spans="1:14" x14ac:dyDescent="0.25">
      <c r="A34">
        <v>20942</v>
      </c>
      <c r="B34" t="s">
        <v>26</v>
      </c>
      <c r="C34" t="s">
        <v>14</v>
      </c>
      <c r="D34" s="1">
        <v>20000</v>
      </c>
      <c r="E34">
        <v>0</v>
      </c>
      <c r="F34" t="s">
        <v>31</v>
      </c>
      <c r="G34" t="s">
        <v>29</v>
      </c>
      <c r="H34" t="s">
        <v>20</v>
      </c>
      <c r="I34">
        <v>1</v>
      </c>
      <c r="J34" t="s">
        <v>27</v>
      </c>
      <c r="K34" t="s">
        <v>19</v>
      </c>
      <c r="L34" t="str" cm="1">
        <f t="array" ref="L34">_xlfn.IFS(bike_buyers[[#This Row],[Age]]&gt;= 70, "senior citizen", bike_buyers[[#This Row],[Age]]&gt;=55, "middle age",  bike_buyers[[#This Row],[Age]]&gt;=40,"mature adult ", bike_buyers[[#This Row],[Age]]&gt;=30, "adults", bike_buyers[[#This Row],[Age]]&gt;= 20, "young adults")</f>
        <v>adults</v>
      </c>
      <c r="M34">
        <v>31</v>
      </c>
      <c r="N34" t="s">
        <v>20</v>
      </c>
    </row>
    <row r="35" spans="1:14" x14ac:dyDescent="0.25">
      <c r="A35">
        <v>18484</v>
      </c>
      <c r="B35" t="s">
        <v>26</v>
      </c>
      <c r="C35" t="s">
        <v>21</v>
      </c>
      <c r="D35" s="1">
        <v>80000</v>
      </c>
      <c r="E35">
        <v>2</v>
      </c>
      <c r="F35" t="s">
        <v>31</v>
      </c>
      <c r="G35" t="s">
        <v>16</v>
      </c>
      <c r="H35" t="s">
        <v>20</v>
      </c>
      <c r="I35">
        <v>2</v>
      </c>
      <c r="J35" t="s">
        <v>30</v>
      </c>
      <c r="K35" t="s">
        <v>28</v>
      </c>
      <c r="L35" t="str" cm="1">
        <f t="array" ref="L35">_xlfn.IFS(bike_buyers[[#This Row],[Age]]&gt;= 70, "senior citizen", bike_buyers[[#This Row],[Age]]&gt;=55, "middle age",  bike_buyers[[#This Row],[Age]]&gt;=40,"mature adult ", bike_buyers[[#This Row],[Age]]&gt;=30, "adults", bike_buyers[[#This Row],[Age]]&gt;= 20, "young adults")</f>
        <v xml:space="preserve">mature adult </v>
      </c>
      <c r="M35">
        <v>50</v>
      </c>
      <c r="N35" t="s">
        <v>17</v>
      </c>
    </row>
    <row r="36" spans="1:14" x14ac:dyDescent="0.25">
      <c r="A36">
        <v>12291</v>
      </c>
      <c r="B36" t="s">
        <v>26</v>
      </c>
      <c r="C36" t="s">
        <v>21</v>
      </c>
      <c r="D36" s="1">
        <v>90000</v>
      </c>
      <c r="E36">
        <v>5</v>
      </c>
      <c r="F36" t="s">
        <v>22</v>
      </c>
      <c r="G36" t="s">
        <v>24</v>
      </c>
      <c r="H36" t="s">
        <v>20</v>
      </c>
      <c r="I36">
        <v>2</v>
      </c>
      <c r="J36" t="s">
        <v>25</v>
      </c>
      <c r="K36" t="s">
        <v>19</v>
      </c>
      <c r="L36" t="str" cm="1">
        <f t="array" ref="L36">_xlfn.IFS(bike_buyers[[#This Row],[Age]]&gt;= 70, "senior citizen", bike_buyers[[#This Row],[Age]]&gt;=55, "middle age",  bike_buyers[[#This Row],[Age]]&gt;=40,"mature adult ", bike_buyers[[#This Row],[Age]]&gt;=30, "adults", bike_buyers[[#This Row],[Age]]&gt;= 20, "young adults")</f>
        <v>middle age</v>
      </c>
      <c r="M36">
        <v>62</v>
      </c>
      <c r="N36" t="s">
        <v>17</v>
      </c>
    </row>
    <row r="37" spans="1:14" x14ac:dyDescent="0.25">
      <c r="A37">
        <v>28380</v>
      </c>
      <c r="B37" t="s">
        <v>26</v>
      </c>
      <c r="C37" t="s">
        <v>14</v>
      </c>
      <c r="D37" s="1">
        <v>10000</v>
      </c>
      <c r="E37">
        <v>5</v>
      </c>
      <c r="F37" t="s">
        <v>33</v>
      </c>
      <c r="G37" t="s">
        <v>29</v>
      </c>
      <c r="H37" t="s">
        <v>20</v>
      </c>
      <c r="I37">
        <v>2</v>
      </c>
      <c r="J37" t="s">
        <v>18</v>
      </c>
      <c r="K37" t="s">
        <v>19</v>
      </c>
      <c r="L37" t="str" cm="1">
        <f t="array" ref="L37">_xlfn.IFS(bike_buyers[[#This Row],[Age]]&gt;= 70, "senior citizen", bike_buyers[[#This Row],[Age]]&gt;=55, "middle age",  bike_buyers[[#This Row],[Age]]&gt;=40,"mature adult ", bike_buyers[[#This Row],[Age]]&gt;=30, "adults", bike_buyers[[#This Row],[Age]]&gt;= 20, "young adults")</f>
        <v xml:space="preserve">mature adult </v>
      </c>
      <c r="M37">
        <v>41</v>
      </c>
      <c r="N37" t="s">
        <v>20</v>
      </c>
    </row>
    <row r="38" spans="1:14" x14ac:dyDescent="0.25">
      <c r="A38">
        <v>17891</v>
      </c>
      <c r="B38" t="s">
        <v>13</v>
      </c>
      <c r="C38" t="s">
        <v>14</v>
      </c>
      <c r="D38" s="1">
        <v>10000</v>
      </c>
      <c r="E38">
        <v>2</v>
      </c>
      <c r="F38" t="s">
        <v>22</v>
      </c>
      <c r="G38" t="s">
        <v>29</v>
      </c>
      <c r="H38" t="s">
        <v>17</v>
      </c>
      <c r="I38">
        <v>1</v>
      </c>
      <c r="J38" t="s">
        <v>18</v>
      </c>
      <c r="K38" t="s">
        <v>19</v>
      </c>
      <c r="L38" t="str" cm="1">
        <f t="array" ref="L38">_xlfn.IFS(bike_buyers[[#This Row],[Age]]&gt;= 70, "senior citizen", bike_buyers[[#This Row],[Age]]&gt;=55, "middle age",  bike_buyers[[#This Row],[Age]]&gt;=40,"mature adult ", bike_buyers[[#This Row],[Age]]&gt;=30, "adults", bike_buyers[[#This Row],[Age]]&gt;= 20, "young adults")</f>
        <v xml:space="preserve">mature adult </v>
      </c>
      <c r="M38">
        <v>50</v>
      </c>
      <c r="N38" t="s">
        <v>17</v>
      </c>
    </row>
    <row r="39" spans="1:14" x14ac:dyDescent="0.25">
      <c r="A39">
        <v>27832</v>
      </c>
      <c r="B39" t="s">
        <v>26</v>
      </c>
      <c r="C39" t="s">
        <v>14</v>
      </c>
      <c r="D39" s="1">
        <v>30000</v>
      </c>
      <c r="E39">
        <v>0</v>
      </c>
      <c r="F39" t="s">
        <v>22</v>
      </c>
      <c r="G39" t="s">
        <v>23</v>
      </c>
      <c r="H39" t="s">
        <v>20</v>
      </c>
      <c r="I39">
        <v>1</v>
      </c>
      <c r="J39" t="s">
        <v>25</v>
      </c>
      <c r="K39" t="s">
        <v>19</v>
      </c>
      <c r="L39" t="str" cm="1">
        <f t="array" ref="L39">_xlfn.IFS(bike_buyers[[#This Row],[Age]]&gt;= 70, "senior citizen", bike_buyers[[#This Row],[Age]]&gt;=55, "middle age",  bike_buyers[[#This Row],[Age]]&gt;=40,"mature adult ", bike_buyers[[#This Row],[Age]]&gt;=30, "adults", bike_buyers[[#This Row],[Age]]&gt;= 20, "young adults")</f>
        <v>adults</v>
      </c>
      <c r="M39">
        <v>30</v>
      </c>
      <c r="N39" t="s">
        <v>20</v>
      </c>
    </row>
    <row r="40" spans="1:14" x14ac:dyDescent="0.25">
      <c r="A40">
        <v>26863</v>
      </c>
      <c r="B40" t="s">
        <v>26</v>
      </c>
      <c r="C40" t="s">
        <v>21</v>
      </c>
      <c r="D40" s="1">
        <v>20000</v>
      </c>
      <c r="E40">
        <v>0</v>
      </c>
      <c r="F40" t="s">
        <v>31</v>
      </c>
      <c r="G40" t="s">
        <v>29</v>
      </c>
      <c r="H40" t="s">
        <v>20</v>
      </c>
      <c r="I40">
        <v>1</v>
      </c>
      <c r="J40" t="s">
        <v>25</v>
      </c>
      <c r="K40" t="s">
        <v>19</v>
      </c>
      <c r="L40" t="str" cm="1">
        <f t="array" ref="L40">_xlfn.IFS(bike_buyers[[#This Row],[Age]]&gt;= 70, "senior citizen", bike_buyers[[#This Row],[Age]]&gt;=55, "middle age",  bike_buyers[[#This Row],[Age]]&gt;=40,"mature adult ", bike_buyers[[#This Row],[Age]]&gt;=30, "adults", bike_buyers[[#This Row],[Age]]&gt;= 20, "young adults")</f>
        <v>young adults</v>
      </c>
      <c r="M40">
        <v>28</v>
      </c>
      <c r="N40" t="s">
        <v>20</v>
      </c>
    </row>
    <row r="41" spans="1:14" x14ac:dyDescent="0.25">
      <c r="A41">
        <v>16259</v>
      </c>
      <c r="B41" t="s">
        <v>26</v>
      </c>
      <c r="C41" t="s">
        <v>14</v>
      </c>
      <c r="D41" s="1">
        <v>10000</v>
      </c>
      <c r="E41">
        <v>4</v>
      </c>
      <c r="F41" t="s">
        <v>33</v>
      </c>
      <c r="G41" t="s">
        <v>29</v>
      </c>
      <c r="H41" t="s">
        <v>17</v>
      </c>
      <c r="I41">
        <v>2</v>
      </c>
      <c r="J41" t="s">
        <v>18</v>
      </c>
      <c r="K41" t="s">
        <v>19</v>
      </c>
      <c r="L41" t="str" cm="1">
        <f t="array" ref="L41">_xlfn.IFS(bike_buyers[[#This Row],[Age]]&gt;= 70, "senior citizen", bike_buyers[[#This Row],[Age]]&gt;=55, "middle age",  bike_buyers[[#This Row],[Age]]&gt;=40,"mature adult ", bike_buyers[[#This Row],[Age]]&gt;=30, "adults", bike_buyers[[#This Row],[Age]]&gt;= 20, "young adults")</f>
        <v xml:space="preserve">mature adult </v>
      </c>
      <c r="M41">
        <v>40</v>
      </c>
      <c r="N41" t="s">
        <v>17</v>
      </c>
    </row>
    <row r="42" spans="1:14" x14ac:dyDescent="0.25">
      <c r="A42">
        <v>27803</v>
      </c>
      <c r="B42" t="s">
        <v>26</v>
      </c>
      <c r="C42" t="s">
        <v>14</v>
      </c>
      <c r="D42" s="1">
        <v>30000</v>
      </c>
      <c r="E42">
        <v>2</v>
      </c>
      <c r="F42" t="s">
        <v>22</v>
      </c>
      <c r="G42" t="s">
        <v>23</v>
      </c>
      <c r="H42" t="s">
        <v>20</v>
      </c>
      <c r="I42">
        <v>0</v>
      </c>
      <c r="J42" t="s">
        <v>18</v>
      </c>
      <c r="K42" t="s">
        <v>19</v>
      </c>
      <c r="L42" t="str" cm="1">
        <f t="array" ref="L42">_xlfn.IFS(bike_buyers[[#This Row],[Age]]&gt;= 70, "senior citizen", bike_buyers[[#This Row],[Age]]&gt;=55, "middle age",  bike_buyers[[#This Row],[Age]]&gt;=40,"mature adult ", bike_buyers[[#This Row],[Age]]&gt;=30, "adults", bike_buyers[[#This Row],[Age]]&gt;= 20, "young adults")</f>
        <v xml:space="preserve">mature adult </v>
      </c>
      <c r="M42">
        <v>43</v>
      </c>
      <c r="N42" t="s">
        <v>20</v>
      </c>
    </row>
    <row r="43" spans="1:14" x14ac:dyDescent="0.25">
      <c r="A43">
        <v>14347</v>
      </c>
      <c r="B43" t="s">
        <v>26</v>
      </c>
      <c r="C43" t="s">
        <v>14</v>
      </c>
      <c r="D43" s="1">
        <v>40000</v>
      </c>
      <c r="E43">
        <v>2</v>
      </c>
      <c r="F43" t="s">
        <v>15</v>
      </c>
      <c r="G43" t="s">
        <v>32</v>
      </c>
      <c r="H43" t="s">
        <v>17</v>
      </c>
      <c r="I43">
        <v>2</v>
      </c>
      <c r="J43" t="s">
        <v>27</v>
      </c>
      <c r="K43" t="s">
        <v>28</v>
      </c>
      <c r="L43" t="str" cm="1">
        <f t="array" ref="L43">_xlfn.IFS(bike_buyers[[#This Row],[Age]]&gt;= 70, "senior citizen", bike_buyers[[#This Row],[Age]]&gt;=55, "middle age",  bike_buyers[[#This Row],[Age]]&gt;=40,"mature adult ", bike_buyers[[#This Row],[Age]]&gt;=30, "adults", bike_buyers[[#This Row],[Age]]&gt;= 20, "young adults")</f>
        <v>middle age</v>
      </c>
      <c r="M43">
        <v>65</v>
      </c>
      <c r="N43" t="s">
        <v>17</v>
      </c>
    </row>
    <row r="44" spans="1:14" x14ac:dyDescent="0.25">
      <c r="A44">
        <v>17703</v>
      </c>
      <c r="B44" t="s">
        <v>13</v>
      </c>
      <c r="C44" t="s">
        <v>14</v>
      </c>
      <c r="D44" s="1">
        <v>10000</v>
      </c>
      <c r="E44">
        <v>1</v>
      </c>
      <c r="F44" t="s">
        <v>34</v>
      </c>
      <c r="G44" t="s">
        <v>29</v>
      </c>
      <c r="H44" t="s">
        <v>17</v>
      </c>
      <c r="I44">
        <v>0</v>
      </c>
      <c r="J44" t="s">
        <v>18</v>
      </c>
      <c r="K44" t="s">
        <v>19</v>
      </c>
      <c r="L44" t="str" cm="1">
        <f t="array" ref="L44">_xlfn.IFS(bike_buyers[[#This Row],[Age]]&gt;= 70, "senior citizen", bike_buyers[[#This Row],[Age]]&gt;=55, "middle age",  bike_buyers[[#This Row],[Age]]&gt;=40,"mature adult ", bike_buyers[[#This Row],[Age]]&gt;=30, "adults", bike_buyers[[#This Row],[Age]]&gt;= 20, "young adults")</f>
        <v xml:space="preserve">mature adult </v>
      </c>
      <c r="M44">
        <v>40</v>
      </c>
      <c r="N44" t="s">
        <v>20</v>
      </c>
    </row>
    <row r="45" spans="1:14" x14ac:dyDescent="0.25">
      <c r="A45">
        <v>17185</v>
      </c>
      <c r="B45" t="s">
        <v>13</v>
      </c>
      <c r="C45" t="s">
        <v>14</v>
      </c>
      <c r="D45" s="1">
        <v>170000</v>
      </c>
      <c r="E45">
        <v>4</v>
      </c>
      <c r="F45" t="s">
        <v>22</v>
      </c>
      <c r="G45" t="s">
        <v>24</v>
      </c>
      <c r="H45" t="s">
        <v>20</v>
      </c>
      <c r="I45">
        <v>3</v>
      </c>
      <c r="J45" t="s">
        <v>27</v>
      </c>
      <c r="K45" t="s">
        <v>19</v>
      </c>
      <c r="L45" t="str" cm="1">
        <f t="array" ref="L45">_xlfn.IFS(bike_buyers[[#This Row],[Age]]&gt;= 70, "senior citizen", bike_buyers[[#This Row],[Age]]&gt;=55, "middle age",  bike_buyers[[#This Row],[Age]]&gt;=40,"mature adult ", bike_buyers[[#This Row],[Age]]&gt;=30, "adults", bike_buyers[[#This Row],[Age]]&gt;= 20, "young adults")</f>
        <v xml:space="preserve">mature adult </v>
      </c>
      <c r="M45">
        <v>48</v>
      </c>
      <c r="N45" t="s">
        <v>17</v>
      </c>
    </row>
    <row r="46" spans="1:14" x14ac:dyDescent="0.25">
      <c r="A46">
        <v>29380</v>
      </c>
      <c r="B46" t="s">
        <v>13</v>
      </c>
      <c r="C46" t="s">
        <v>14</v>
      </c>
      <c r="D46" s="1">
        <v>20000</v>
      </c>
      <c r="E46">
        <v>3</v>
      </c>
      <c r="F46" t="s">
        <v>31</v>
      </c>
      <c r="G46" t="s">
        <v>29</v>
      </c>
      <c r="H46" t="s">
        <v>17</v>
      </c>
      <c r="I46">
        <v>0</v>
      </c>
      <c r="J46" t="s">
        <v>18</v>
      </c>
      <c r="K46" t="s">
        <v>19</v>
      </c>
      <c r="L46" t="str" cm="1">
        <f t="array" ref="L46">_xlfn.IFS(bike_buyers[[#This Row],[Age]]&gt;= 70, "senior citizen", bike_buyers[[#This Row],[Age]]&gt;=55, "middle age",  bike_buyers[[#This Row],[Age]]&gt;=40,"mature adult ", bike_buyers[[#This Row],[Age]]&gt;=30, "adults", bike_buyers[[#This Row],[Age]]&gt;= 20, "young adults")</f>
        <v xml:space="preserve">mature adult </v>
      </c>
      <c r="M46">
        <v>41</v>
      </c>
      <c r="N46" t="s">
        <v>17</v>
      </c>
    </row>
    <row r="47" spans="1:14" x14ac:dyDescent="0.25">
      <c r="A47">
        <v>23986</v>
      </c>
      <c r="B47" t="s">
        <v>13</v>
      </c>
      <c r="C47" t="s">
        <v>14</v>
      </c>
      <c r="D47" s="1">
        <v>20000</v>
      </c>
      <c r="E47">
        <v>1</v>
      </c>
      <c r="F47" t="s">
        <v>15</v>
      </c>
      <c r="G47" t="s">
        <v>23</v>
      </c>
      <c r="H47" t="s">
        <v>17</v>
      </c>
      <c r="I47">
        <v>0</v>
      </c>
      <c r="J47" t="s">
        <v>18</v>
      </c>
      <c r="K47" t="s">
        <v>19</v>
      </c>
      <c r="L47" t="str" cm="1">
        <f t="array" ref="L47">_xlfn.IFS(bike_buyers[[#This Row],[Age]]&gt;= 70, "senior citizen", bike_buyers[[#This Row],[Age]]&gt;=55, "middle age",  bike_buyers[[#This Row],[Age]]&gt;=40,"mature adult ", bike_buyers[[#This Row],[Age]]&gt;=30, "adults", bike_buyers[[#This Row],[Age]]&gt;= 20, "young adults")</f>
        <v>middle age</v>
      </c>
      <c r="M47">
        <v>66</v>
      </c>
      <c r="N47" t="s">
        <v>17</v>
      </c>
    </row>
    <row r="48" spans="1:14" x14ac:dyDescent="0.25">
      <c r="A48">
        <v>24466</v>
      </c>
      <c r="B48" t="s">
        <v>13</v>
      </c>
      <c r="C48" t="s">
        <v>14</v>
      </c>
      <c r="D48" s="1">
        <v>60000</v>
      </c>
      <c r="E48">
        <v>1</v>
      </c>
      <c r="F48" t="s">
        <v>22</v>
      </c>
      <c r="G48" t="s">
        <v>16</v>
      </c>
      <c r="H48" t="s">
        <v>17</v>
      </c>
      <c r="I48">
        <v>1</v>
      </c>
      <c r="J48" t="s">
        <v>27</v>
      </c>
      <c r="K48" t="s">
        <v>28</v>
      </c>
      <c r="L48" t="str" cm="1">
        <f t="array" ref="L48">_xlfn.IFS(bike_buyers[[#This Row],[Age]]&gt;= 70, "senior citizen", bike_buyers[[#This Row],[Age]]&gt;=55, "middle age",  bike_buyers[[#This Row],[Age]]&gt;=40,"mature adult ", bike_buyers[[#This Row],[Age]]&gt;=30, "adults", bike_buyers[[#This Row],[Age]]&gt;= 20, "young adults")</f>
        <v xml:space="preserve">mature adult </v>
      </c>
      <c r="M48">
        <v>46</v>
      </c>
      <c r="N48" t="s">
        <v>17</v>
      </c>
    </row>
    <row r="49" spans="1:14" x14ac:dyDescent="0.25">
      <c r="A49">
        <v>29097</v>
      </c>
      <c r="B49" t="s">
        <v>26</v>
      </c>
      <c r="C49" t="s">
        <v>14</v>
      </c>
      <c r="D49" s="1">
        <v>40000</v>
      </c>
      <c r="E49">
        <v>2</v>
      </c>
      <c r="F49" t="s">
        <v>22</v>
      </c>
      <c r="G49" t="s">
        <v>16</v>
      </c>
      <c r="H49" t="s">
        <v>17</v>
      </c>
      <c r="I49">
        <v>2</v>
      </c>
      <c r="J49" t="s">
        <v>27</v>
      </c>
      <c r="K49" t="s">
        <v>28</v>
      </c>
      <c r="L49" t="str" cm="1">
        <f t="array" ref="L49">_xlfn.IFS(bike_buyers[[#This Row],[Age]]&gt;= 70, "senior citizen", bike_buyers[[#This Row],[Age]]&gt;=55, "middle age",  bike_buyers[[#This Row],[Age]]&gt;=40,"mature adult ", bike_buyers[[#This Row],[Age]]&gt;=30, "adults", bike_buyers[[#This Row],[Age]]&gt;= 20, "young adults")</f>
        <v xml:space="preserve">mature adult </v>
      </c>
      <c r="M49">
        <v>52</v>
      </c>
      <c r="N49" t="s">
        <v>17</v>
      </c>
    </row>
    <row r="50" spans="1:14" x14ac:dyDescent="0.25">
      <c r="A50">
        <v>19487</v>
      </c>
      <c r="B50" t="s">
        <v>13</v>
      </c>
      <c r="C50" t="s">
        <v>21</v>
      </c>
      <c r="D50" s="1">
        <v>30000</v>
      </c>
      <c r="E50">
        <v>2</v>
      </c>
      <c r="F50" t="s">
        <v>22</v>
      </c>
      <c r="G50" t="s">
        <v>23</v>
      </c>
      <c r="H50" t="s">
        <v>20</v>
      </c>
      <c r="I50">
        <v>2</v>
      </c>
      <c r="J50" t="s">
        <v>18</v>
      </c>
      <c r="K50" t="s">
        <v>19</v>
      </c>
      <c r="L50" t="str" cm="1">
        <f t="array" ref="L50">_xlfn.IFS(bike_buyers[[#This Row],[Age]]&gt;= 70, "senior citizen", bike_buyers[[#This Row],[Age]]&gt;=55, "middle age",  bike_buyers[[#This Row],[Age]]&gt;=40,"mature adult ", bike_buyers[[#This Row],[Age]]&gt;=30, "adults", bike_buyers[[#This Row],[Age]]&gt;= 20, "young adults")</f>
        <v xml:space="preserve">mature adult </v>
      </c>
      <c r="M50">
        <v>42</v>
      </c>
      <c r="N50" t="s">
        <v>20</v>
      </c>
    </row>
    <row r="51" spans="1:14" x14ac:dyDescent="0.25">
      <c r="A51">
        <v>14939</v>
      </c>
      <c r="B51" t="s">
        <v>26</v>
      </c>
      <c r="C51" t="s">
        <v>21</v>
      </c>
      <c r="D51" s="1">
        <v>40000</v>
      </c>
      <c r="E51">
        <v>0</v>
      </c>
      <c r="F51" t="s">
        <v>15</v>
      </c>
      <c r="G51" t="s">
        <v>23</v>
      </c>
      <c r="H51" t="s">
        <v>17</v>
      </c>
      <c r="I51">
        <v>0</v>
      </c>
      <c r="J51" t="s">
        <v>18</v>
      </c>
      <c r="K51" t="s">
        <v>19</v>
      </c>
      <c r="L51" t="str" cm="1">
        <f t="array" ref="L51">_xlfn.IFS(bike_buyers[[#This Row],[Age]]&gt;= 70, "senior citizen", bike_buyers[[#This Row],[Age]]&gt;=55, "middle age",  bike_buyers[[#This Row],[Age]]&gt;=40,"mature adult ", bike_buyers[[#This Row],[Age]]&gt;=30, "adults", bike_buyers[[#This Row],[Age]]&gt;= 20, "young adults")</f>
        <v>adults</v>
      </c>
      <c r="M51">
        <v>39</v>
      </c>
      <c r="N51" t="s">
        <v>17</v>
      </c>
    </row>
    <row r="52" spans="1:14" x14ac:dyDescent="0.25">
      <c r="A52">
        <v>13826</v>
      </c>
      <c r="B52" t="s">
        <v>26</v>
      </c>
      <c r="C52" t="s">
        <v>14</v>
      </c>
      <c r="D52" s="1">
        <v>30000</v>
      </c>
      <c r="E52">
        <v>0</v>
      </c>
      <c r="F52" t="s">
        <v>22</v>
      </c>
      <c r="G52" t="s">
        <v>23</v>
      </c>
      <c r="H52" t="s">
        <v>20</v>
      </c>
      <c r="I52">
        <v>1</v>
      </c>
      <c r="J52" t="s">
        <v>18</v>
      </c>
      <c r="K52" t="s">
        <v>19</v>
      </c>
      <c r="L52" t="str" cm="1">
        <f t="array" ref="L52">_xlfn.IFS(bike_buyers[[#This Row],[Age]]&gt;= 70, "senior citizen", bike_buyers[[#This Row],[Age]]&gt;=55, "middle age",  bike_buyers[[#This Row],[Age]]&gt;=40,"mature adult ", bike_buyers[[#This Row],[Age]]&gt;=30, "adults", bike_buyers[[#This Row],[Age]]&gt;= 20, "young adults")</f>
        <v>young adults</v>
      </c>
      <c r="M52">
        <v>28</v>
      </c>
      <c r="N52" t="s">
        <v>20</v>
      </c>
    </row>
    <row r="53" spans="1:14" x14ac:dyDescent="0.25">
      <c r="A53">
        <v>20619</v>
      </c>
      <c r="B53" t="s">
        <v>26</v>
      </c>
      <c r="C53" t="s">
        <v>21</v>
      </c>
      <c r="D53" s="1">
        <v>80000</v>
      </c>
      <c r="E53">
        <v>0</v>
      </c>
      <c r="F53" t="s">
        <v>15</v>
      </c>
      <c r="G53" t="s">
        <v>24</v>
      </c>
      <c r="H53" t="s">
        <v>20</v>
      </c>
      <c r="I53">
        <v>4</v>
      </c>
      <c r="J53" t="s">
        <v>41</v>
      </c>
      <c r="K53" t="s">
        <v>28</v>
      </c>
      <c r="L53" t="str" cm="1">
        <f t="array" ref="L53">_xlfn.IFS(bike_buyers[[#This Row],[Age]]&gt;= 70, "senior citizen", bike_buyers[[#This Row],[Age]]&gt;=55, "middle age",  bike_buyers[[#This Row],[Age]]&gt;=40,"mature adult ", bike_buyers[[#This Row],[Age]]&gt;=30, "adults", bike_buyers[[#This Row],[Age]]&gt;= 20, "young adults")</f>
        <v>adults</v>
      </c>
      <c r="M53">
        <v>35</v>
      </c>
      <c r="N53" t="s">
        <v>20</v>
      </c>
    </row>
    <row r="54" spans="1:14" x14ac:dyDescent="0.25">
      <c r="A54">
        <v>12558</v>
      </c>
      <c r="B54" t="s">
        <v>13</v>
      </c>
      <c r="C54" t="s">
        <v>14</v>
      </c>
      <c r="D54" s="1">
        <v>20000</v>
      </c>
      <c r="E54">
        <v>1</v>
      </c>
      <c r="F54" t="s">
        <v>15</v>
      </c>
      <c r="G54" t="s">
        <v>23</v>
      </c>
      <c r="H54" t="s">
        <v>17</v>
      </c>
      <c r="I54">
        <v>0</v>
      </c>
      <c r="J54" t="s">
        <v>18</v>
      </c>
      <c r="K54" t="s">
        <v>19</v>
      </c>
      <c r="L54" t="str" cm="1">
        <f t="array" ref="L54">_xlfn.IFS(bike_buyers[[#This Row],[Age]]&gt;= 70, "senior citizen", bike_buyers[[#This Row],[Age]]&gt;=55, "middle age",  bike_buyers[[#This Row],[Age]]&gt;=40,"mature adult ", bike_buyers[[#This Row],[Age]]&gt;=30, "adults", bike_buyers[[#This Row],[Age]]&gt;= 20, "young adults")</f>
        <v>middle age</v>
      </c>
      <c r="M54">
        <v>65</v>
      </c>
      <c r="N54" t="s">
        <v>20</v>
      </c>
    </row>
    <row r="55" spans="1:14" x14ac:dyDescent="0.25">
      <c r="A55">
        <v>24871</v>
      </c>
      <c r="B55" t="s">
        <v>26</v>
      </c>
      <c r="C55" t="s">
        <v>14</v>
      </c>
      <c r="D55" s="1">
        <v>90000</v>
      </c>
      <c r="E55">
        <v>4</v>
      </c>
      <c r="F55" t="s">
        <v>31</v>
      </c>
      <c r="G55" t="s">
        <v>32</v>
      </c>
      <c r="H55" t="s">
        <v>20</v>
      </c>
      <c r="I55">
        <v>3</v>
      </c>
      <c r="J55" t="s">
        <v>27</v>
      </c>
      <c r="K55" t="s">
        <v>19</v>
      </c>
      <c r="L55" t="str" cm="1">
        <f t="array" ref="L55">_xlfn.IFS(bike_buyers[[#This Row],[Age]]&gt;= 70, "senior citizen", bike_buyers[[#This Row],[Age]]&gt;=55, "middle age",  bike_buyers[[#This Row],[Age]]&gt;=40,"mature adult ", bike_buyers[[#This Row],[Age]]&gt;=30, "adults", bike_buyers[[#This Row],[Age]]&gt;= 20, "young adults")</f>
        <v>middle age</v>
      </c>
      <c r="M55">
        <v>56</v>
      </c>
      <c r="N55" t="s">
        <v>20</v>
      </c>
    </row>
    <row r="56" spans="1:14" x14ac:dyDescent="0.25">
      <c r="A56">
        <v>17319</v>
      </c>
      <c r="B56" t="s">
        <v>26</v>
      </c>
      <c r="C56" t="s">
        <v>14</v>
      </c>
      <c r="D56" s="1">
        <v>70000</v>
      </c>
      <c r="E56">
        <v>0</v>
      </c>
      <c r="F56" t="s">
        <v>15</v>
      </c>
      <c r="G56" t="s">
        <v>24</v>
      </c>
      <c r="H56" t="s">
        <v>20</v>
      </c>
      <c r="I56">
        <v>1</v>
      </c>
      <c r="J56" t="s">
        <v>27</v>
      </c>
      <c r="K56" t="s">
        <v>28</v>
      </c>
      <c r="L56" t="str" cm="1">
        <f t="array" ref="L56">_xlfn.IFS(bike_buyers[[#This Row],[Age]]&gt;= 70, "senior citizen", bike_buyers[[#This Row],[Age]]&gt;=55, "middle age",  bike_buyers[[#This Row],[Age]]&gt;=40,"mature adult ", bike_buyers[[#This Row],[Age]]&gt;=30, "adults", bike_buyers[[#This Row],[Age]]&gt;= 20, "young adults")</f>
        <v xml:space="preserve">mature adult </v>
      </c>
      <c r="M56">
        <v>42</v>
      </c>
      <c r="N56" t="s">
        <v>20</v>
      </c>
    </row>
    <row r="57" spans="1:14" x14ac:dyDescent="0.25">
      <c r="A57">
        <v>28906</v>
      </c>
      <c r="B57" t="s">
        <v>13</v>
      </c>
      <c r="C57" t="s">
        <v>21</v>
      </c>
      <c r="D57" s="1">
        <v>80000</v>
      </c>
      <c r="E57">
        <v>4</v>
      </c>
      <c r="F57" t="s">
        <v>31</v>
      </c>
      <c r="G57" t="s">
        <v>24</v>
      </c>
      <c r="H57" t="s">
        <v>17</v>
      </c>
      <c r="I57">
        <v>2</v>
      </c>
      <c r="J57" t="s">
        <v>41</v>
      </c>
      <c r="K57" t="s">
        <v>19</v>
      </c>
      <c r="L57" t="str" cm="1">
        <f t="array" ref="L57">_xlfn.IFS(bike_buyers[[#This Row],[Age]]&gt;= 70, "senior citizen", bike_buyers[[#This Row],[Age]]&gt;=55, "middle age",  bike_buyers[[#This Row],[Age]]&gt;=40,"mature adult ", bike_buyers[[#This Row],[Age]]&gt;=30, "adults", bike_buyers[[#This Row],[Age]]&gt;= 20, "young adults")</f>
        <v xml:space="preserve">mature adult </v>
      </c>
      <c r="M57">
        <v>54</v>
      </c>
      <c r="N57" t="s">
        <v>20</v>
      </c>
    </row>
    <row r="58" spans="1:14" x14ac:dyDescent="0.25">
      <c r="A58">
        <v>12808</v>
      </c>
      <c r="B58" t="s">
        <v>13</v>
      </c>
      <c r="C58" t="s">
        <v>21</v>
      </c>
      <c r="D58" s="1">
        <v>40000</v>
      </c>
      <c r="E58">
        <v>0</v>
      </c>
      <c r="F58" t="s">
        <v>15</v>
      </c>
      <c r="G58" t="s">
        <v>23</v>
      </c>
      <c r="H58" t="s">
        <v>17</v>
      </c>
      <c r="I58">
        <v>0</v>
      </c>
      <c r="J58" t="s">
        <v>18</v>
      </c>
      <c r="K58" t="s">
        <v>19</v>
      </c>
      <c r="L58" t="str" cm="1">
        <f t="array" ref="L58">_xlfn.IFS(bike_buyers[[#This Row],[Age]]&gt;= 70, "senior citizen", bike_buyers[[#This Row],[Age]]&gt;=55, "middle age",  bike_buyers[[#This Row],[Age]]&gt;=40,"mature adult ", bike_buyers[[#This Row],[Age]]&gt;=30, "adults", bike_buyers[[#This Row],[Age]]&gt;= 20, "young adults")</f>
        <v>adults</v>
      </c>
      <c r="M58">
        <v>38</v>
      </c>
      <c r="N58" t="s">
        <v>17</v>
      </c>
    </row>
    <row r="59" spans="1:14" x14ac:dyDescent="0.25">
      <c r="A59">
        <v>20567</v>
      </c>
      <c r="B59" t="s">
        <v>13</v>
      </c>
      <c r="C59" t="s">
        <v>21</v>
      </c>
      <c r="D59" s="1">
        <v>130000</v>
      </c>
      <c r="E59">
        <v>4</v>
      </c>
      <c r="F59" t="s">
        <v>22</v>
      </c>
      <c r="G59" t="s">
        <v>24</v>
      </c>
      <c r="H59" t="s">
        <v>20</v>
      </c>
      <c r="I59">
        <v>4</v>
      </c>
      <c r="J59" t="s">
        <v>27</v>
      </c>
      <c r="K59" t="s">
        <v>19</v>
      </c>
      <c r="L59" t="str" cm="1">
        <f t="array" ref="L59">_xlfn.IFS(bike_buyers[[#This Row],[Age]]&gt;= 70, "senior citizen", bike_buyers[[#This Row],[Age]]&gt;=55, "middle age",  bike_buyers[[#This Row],[Age]]&gt;=40,"mature adult ", bike_buyers[[#This Row],[Age]]&gt;=30, "adults", bike_buyers[[#This Row],[Age]]&gt;= 20, "young adults")</f>
        <v>middle age</v>
      </c>
      <c r="M59">
        <v>61</v>
      </c>
      <c r="N59" t="s">
        <v>17</v>
      </c>
    </row>
    <row r="60" spans="1:14" x14ac:dyDescent="0.25">
      <c r="A60">
        <v>25502</v>
      </c>
      <c r="B60" t="s">
        <v>13</v>
      </c>
      <c r="C60" t="s">
        <v>14</v>
      </c>
      <c r="D60" s="1">
        <v>40000</v>
      </c>
      <c r="E60">
        <v>1</v>
      </c>
      <c r="F60" t="s">
        <v>15</v>
      </c>
      <c r="G60" t="s">
        <v>16</v>
      </c>
      <c r="H60" t="s">
        <v>17</v>
      </c>
      <c r="I60">
        <v>0</v>
      </c>
      <c r="J60" t="s">
        <v>18</v>
      </c>
      <c r="K60" t="s">
        <v>19</v>
      </c>
      <c r="L60" t="str" cm="1">
        <f t="array" ref="L60">_xlfn.IFS(bike_buyers[[#This Row],[Age]]&gt;= 70, "senior citizen", bike_buyers[[#This Row],[Age]]&gt;=55, "middle age",  bike_buyers[[#This Row],[Age]]&gt;=40,"mature adult ", bike_buyers[[#This Row],[Age]]&gt;=30, "adults", bike_buyers[[#This Row],[Age]]&gt;= 20, "young adults")</f>
        <v xml:space="preserve">mature adult </v>
      </c>
      <c r="M60">
        <v>43</v>
      </c>
      <c r="N60" t="s">
        <v>17</v>
      </c>
    </row>
    <row r="61" spans="1:14" x14ac:dyDescent="0.25">
      <c r="A61">
        <v>15580</v>
      </c>
      <c r="B61" t="s">
        <v>13</v>
      </c>
      <c r="C61" t="s">
        <v>21</v>
      </c>
      <c r="D61" s="1">
        <v>60000</v>
      </c>
      <c r="E61">
        <v>2</v>
      </c>
      <c r="F61" t="s">
        <v>15</v>
      </c>
      <c r="G61" t="s">
        <v>24</v>
      </c>
      <c r="H61" t="s">
        <v>17</v>
      </c>
      <c r="I61">
        <v>1</v>
      </c>
      <c r="J61" t="s">
        <v>25</v>
      </c>
      <c r="K61" t="s">
        <v>28</v>
      </c>
      <c r="L61" t="str" cm="1">
        <f t="array" ref="L61">_xlfn.IFS(bike_buyers[[#This Row],[Age]]&gt;= 70, "senior citizen", bike_buyers[[#This Row],[Age]]&gt;=55, "middle age",  bike_buyers[[#This Row],[Age]]&gt;=40,"mature adult ", bike_buyers[[#This Row],[Age]]&gt;=30, "adults", bike_buyers[[#This Row],[Age]]&gt;= 20, "young adults")</f>
        <v>adults</v>
      </c>
      <c r="M61">
        <v>38</v>
      </c>
      <c r="N61" t="s">
        <v>17</v>
      </c>
    </row>
    <row r="62" spans="1:14" x14ac:dyDescent="0.25">
      <c r="A62">
        <v>24185</v>
      </c>
      <c r="B62" t="s">
        <v>26</v>
      </c>
      <c r="C62" t="s">
        <v>14</v>
      </c>
      <c r="D62" s="1">
        <v>10000</v>
      </c>
      <c r="E62">
        <v>1</v>
      </c>
      <c r="F62" t="s">
        <v>31</v>
      </c>
      <c r="G62" t="s">
        <v>29</v>
      </c>
      <c r="H62" t="s">
        <v>20</v>
      </c>
      <c r="I62">
        <v>1</v>
      </c>
      <c r="J62" t="s">
        <v>30</v>
      </c>
      <c r="K62" t="s">
        <v>19</v>
      </c>
      <c r="L62" t="str" cm="1">
        <f t="array" ref="L62">_xlfn.IFS(bike_buyers[[#This Row],[Age]]&gt;= 70, "senior citizen", bike_buyers[[#This Row],[Age]]&gt;=55, "middle age",  bike_buyers[[#This Row],[Age]]&gt;=40,"mature adult ", bike_buyers[[#This Row],[Age]]&gt;=30, "adults", bike_buyers[[#This Row],[Age]]&gt;= 20, "young adults")</f>
        <v xml:space="preserve">mature adult </v>
      </c>
      <c r="M62">
        <v>45</v>
      </c>
      <c r="N62" t="s">
        <v>20</v>
      </c>
    </row>
    <row r="63" spans="1:14" x14ac:dyDescent="0.25">
      <c r="A63">
        <v>19291</v>
      </c>
      <c r="B63" t="s">
        <v>26</v>
      </c>
      <c r="C63" t="s">
        <v>14</v>
      </c>
      <c r="D63" s="1">
        <v>10000</v>
      </c>
      <c r="E63">
        <v>2</v>
      </c>
      <c r="F63" t="s">
        <v>31</v>
      </c>
      <c r="G63" t="s">
        <v>29</v>
      </c>
      <c r="H63" t="s">
        <v>17</v>
      </c>
      <c r="I63">
        <v>0</v>
      </c>
      <c r="J63" t="s">
        <v>18</v>
      </c>
      <c r="K63" t="s">
        <v>19</v>
      </c>
      <c r="L63" t="str" cm="1">
        <f t="array" ref="L63">_xlfn.IFS(bike_buyers[[#This Row],[Age]]&gt;= 70, "senior citizen", bike_buyers[[#This Row],[Age]]&gt;=55, "middle age",  bike_buyers[[#This Row],[Age]]&gt;=40,"mature adult ", bike_buyers[[#This Row],[Age]]&gt;=30, "adults", bike_buyers[[#This Row],[Age]]&gt;= 20, "young adults")</f>
        <v>adults</v>
      </c>
      <c r="M63">
        <v>35</v>
      </c>
      <c r="N63" t="s">
        <v>20</v>
      </c>
    </row>
    <row r="64" spans="1:14" x14ac:dyDescent="0.25">
      <c r="A64">
        <v>16713</v>
      </c>
      <c r="B64" t="s">
        <v>13</v>
      </c>
      <c r="C64" t="s">
        <v>21</v>
      </c>
      <c r="D64" s="1">
        <v>40000</v>
      </c>
      <c r="E64">
        <v>2</v>
      </c>
      <c r="F64" t="s">
        <v>15</v>
      </c>
      <c r="G64" t="s">
        <v>32</v>
      </c>
      <c r="H64" t="s">
        <v>17</v>
      </c>
      <c r="I64">
        <v>1</v>
      </c>
      <c r="J64" t="s">
        <v>18</v>
      </c>
      <c r="K64" t="s">
        <v>28</v>
      </c>
      <c r="L64" t="str" cm="1">
        <f t="array" ref="L64">_xlfn.IFS(bike_buyers[[#This Row],[Age]]&gt;= 70, "senior citizen", bike_buyers[[#This Row],[Age]]&gt;=55, "middle age",  bike_buyers[[#This Row],[Age]]&gt;=40,"mature adult ", bike_buyers[[#This Row],[Age]]&gt;=30, "adults", bike_buyers[[#This Row],[Age]]&gt;= 20, "young adults")</f>
        <v xml:space="preserve">mature adult </v>
      </c>
      <c r="M64">
        <v>52</v>
      </c>
      <c r="N64" t="s">
        <v>17</v>
      </c>
    </row>
    <row r="65" spans="1:14" x14ac:dyDescent="0.25">
      <c r="A65">
        <v>16185</v>
      </c>
      <c r="B65" t="s">
        <v>26</v>
      </c>
      <c r="C65" t="s">
        <v>21</v>
      </c>
      <c r="D65" s="1">
        <v>60000</v>
      </c>
      <c r="E65">
        <v>4</v>
      </c>
      <c r="F65" t="s">
        <v>15</v>
      </c>
      <c r="G65" t="s">
        <v>24</v>
      </c>
      <c r="H65" t="s">
        <v>17</v>
      </c>
      <c r="I65">
        <v>3</v>
      </c>
      <c r="J65" t="s">
        <v>41</v>
      </c>
      <c r="K65" t="s">
        <v>28</v>
      </c>
      <c r="L65" t="str" cm="1">
        <f t="array" ref="L65">_xlfn.IFS(bike_buyers[[#This Row],[Age]]&gt;= 70, "senior citizen", bike_buyers[[#This Row],[Age]]&gt;=55, "middle age",  bike_buyers[[#This Row],[Age]]&gt;=40,"mature adult ", bike_buyers[[#This Row],[Age]]&gt;=30, "adults", bike_buyers[[#This Row],[Age]]&gt;= 20, "young adults")</f>
        <v xml:space="preserve">mature adult </v>
      </c>
      <c r="M65">
        <v>41</v>
      </c>
      <c r="N65" t="s">
        <v>20</v>
      </c>
    </row>
    <row r="66" spans="1:14" x14ac:dyDescent="0.25">
      <c r="A66">
        <v>14927</v>
      </c>
      <c r="B66" t="s">
        <v>13</v>
      </c>
      <c r="C66" t="s">
        <v>14</v>
      </c>
      <c r="D66" s="1">
        <v>30000</v>
      </c>
      <c r="E66">
        <v>1</v>
      </c>
      <c r="F66" t="s">
        <v>15</v>
      </c>
      <c r="G66" t="s">
        <v>23</v>
      </c>
      <c r="H66" t="s">
        <v>17</v>
      </c>
      <c r="I66">
        <v>0</v>
      </c>
      <c r="J66" t="s">
        <v>18</v>
      </c>
      <c r="K66" t="s">
        <v>19</v>
      </c>
      <c r="L66" t="str" cm="1">
        <f t="array" ref="L66">_xlfn.IFS(bike_buyers[[#This Row],[Age]]&gt;= 70, "senior citizen", bike_buyers[[#This Row],[Age]]&gt;=55, "middle age",  bike_buyers[[#This Row],[Age]]&gt;=40,"mature adult ", bike_buyers[[#This Row],[Age]]&gt;=30, "adults", bike_buyers[[#This Row],[Age]]&gt;= 20, "young adults")</f>
        <v>adults</v>
      </c>
      <c r="M66">
        <v>37</v>
      </c>
      <c r="N66" t="s">
        <v>17</v>
      </c>
    </row>
    <row r="67" spans="1:14" x14ac:dyDescent="0.25">
      <c r="A67">
        <v>29337</v>
      </c>
      <c r="B67" t="s">
        <v>26</v>
      </c>
      <c r="C67" t="s">
        <v>21</v>
      </c>
      <c r="D67" s="1">
        <v>30000</v>
      </c>
      <c r="E67">
        <v>2</v>
      </c>
      <c r="F67" t="s">
        <v>22</v>
      </c>
      <c r="G67" t="s">
        <v>23</v>
      </c>
      <c r="H67" t="s">
        <v>17</v>
      </c>
      <c r="I67">
        <v>2</v>
      </c>
      <c r="J67" t="s">
        <v>27</v>
      </c>
      <c r="K67" t="s">
        <v>28</v>
      </c>
      <c r="L67" t="str" cm="1">
        <f t="array" ref="L67">_xlfn.IFS(bike_buyers[[#This Row],[Age]]&gt;= 70, "senior citizen", bike_buyers[[#This Row],[Age]]&gt;=55, "middle age",  bike_buyers[[#This Row],[Age]]&gt;=40,"mature adult ", bike_buyers[[#This Row],[Age]]&gt;=30, "adults", bike_buyers[[#This Row],[Age]]&gt;= 20, "young adults")</f>
        <v>middle age</v>
      </c>
      <c r="M67">
        <v>68</v>
      </c>
      <c r="N67" t="s">
        <v>20</v>
      </c>
    </row>
    <row r="68" spans="1:14" x14ac:dyDescent="0.25">
      <c r="A68">
        <v>29355</v>
      </c>
      <c r="B68" t="s">
        <v>13</v>
      </c>
      <c r="C68" t="s">
        <v>14</v>
      </c>
      <c r="D68" s="1">
        <v>40000</v>
      </c>
      <c r="E68">
        <v>0</v>
      </c>
      <c r="F68" t="s">
        <v>34</v>
      </c>
      <c r="G68" t="s">
        <v>23</v>
      </c>
      <c r="H68" t="s">
        <v>17</v>
      </c>
      <c r="I68">
        <v>0</v>
      </c>
      <c r="J68" t="s">
        <v>18</v>
      </c>
      <c r="K68" t="s">
        <v>19</v>
      </c>
      <c r="L68" t="str" cm="1">
        <f t="array" ref="L68">_xlfn.IFS(bike_buyers[[#This Row],[Age]]&gt;= 70, "senior citizen", bike_buyers[[#This Row],[Age]]&gt;=55, "middle age",  bike_buyers[[#This Row],[Age]]&gt;=40,"mature adult ", bike_buyers[[#This Row],[Age]]&gt;=30, "adults", bike_buyers[[#This Row],[Age]]&gt;= 20, "young adults")</f>
        <v>adults</v>
      </c>
      <c r="M68">
        <v>37</v>
      </c>
      <c r="N68" t="s">
        <v>17</v>
      </c>
    </row>
    <row r="69" spans="1:14" x14ac:dyDescent="0.25">
      <c r="A69">
        <v>25303</v>
      </c>
      <c r="B69" t="s">
        <v>26</v>
      </c>
      <c r="C69" t="s">
        <v>21</v>
      </c>
      <c r="D69" s="1">
        <v>30000</v>
      </c>
      <c r="E69">
        <v>0</v>
      </c>
      <c r="F69" t="s">
        <v>31</v>
      </c>
      <c r="G69" t="s">
        <v>29</v>
      </c>
      <c r="H69" t="s">
        <v>17</v>
      </c>
      <c r="I69">
        <v>1</v>
      </c>
      <c r="J69" t="s">
        <v>25</v>
      </c>
      <c r="K69" t="s">
        <v>19</v>
      </c>
      <c r="L69" t="str" cm="1">
        <f t="array" ref="L69">_xlfn.IFS(bike_buyers[[#This Row],[Age]]&gt;= 70, "senior citizen", bike_buyers[[#This Row],[Age]]&gt;=55, "middle age",  bike_buyers[[#This Row],[Age]]&gt;=40,"mature adult ", bike_buyers[[#This Row],[Age]]&gt;=30, "adults", bike_buyers[[#This Row],[Age]]&gt;= 20, "young adults")</f>
        <v>adults</v>
      </c>
      <c r="M69">
        <v>33</v>
      </c>
      <c r="N69" t="s">
        <v>17</v>
      </c>
    </row>
    <row r="70" spans="1:14" x14ac:dyDescent="0.25">
      <c r="A70">
        <v>14813</v>
      </c>
      <c r="B70" t="s">
        <v>26</v>
      </c>
      <c r="C70" t="s">
        <v>14</v>
      </c>
      <c r="D70" s="1">
        <v>20000</v>
      </c>
      <c r="E70">
        <v>4</v>
      </c>
      <c r="F70" t="s">
        <v>31</v>
      </c>
      <c r="G70" t="s">
        <v>29</v>
      </c>
      <c r="H70" t="s">
        <v>17</v>
      </c>
      <c r="I70">
        <v>1</v>
      </c>
      <c r="J70" t="s">
        <v>18</v>
      </c>
      <c r="K70" t="s">
        <v>19</v>
      </c>
      <c r="L70" t="str" cm="1">
        <f t="array" ref="L70">_xlfn.IFS(bike_buyers[[#This Row],[Age]]&gt;= 70, "senior citizen", bike_buyers[[#This Row],[Age]]&gt;=55, "middle age",  bike_buyers[[#This Row],[Age]]&gt;=40,"mature adult ", bike_buyers[[#This Row],[Age]]&gt;=30, "adults", bike_buyers[[#This Row],[Age]]&gt;= 20, "young adults")</f>
        <v xml:space="preserve">mature adult </v>
      </c>
      <c r="M70">
        <v>43</v>
      </c>
      <c r="N70" t="s">
        <v>17</v>
      </c>
    </row>
    <row r="71" spans="1:14" x14ac:dyDescent="0.25">
      <c r="A71">
        <v>16438</v>
      </c>
      <c r="B71" t="s">
        <v>13</v>
      </c>
      <c r="C71" t="s">
        <v>14</v>
      </c>
      <c r="D71" s="1">
        <v>10000</v>
      </c>
      <c r="E71">
        <v>0</v>
      </c>
      <c r="F71" t="s">
        <v>33</v>
      </c>
      <c r="G71" t="s">
        <v>29</v>
      </c>
      <c r="H71" t="s">
        <v>20</v>
      </c>
      <c r="I71">
        <v>2</v>
      </c>
      <c r="J71" t="s">
        <v>18</v>
      </c>
      <c r="K71" t="s">
        <v>19</v>
      </c>
      <c r="L71" t="str" cm="1">
        <f t="array" ref="L71">_xlfn.IFS(bike_buyers[[#This Row],[Age]]&gt;= 70, "senior citizen", bike_buyers[[#This Row],[Age]]&gt;=55, "middle age",  bike_buyers[[#This Row],[Age]]&gt;=40,"mature adult ", bike_buyers[[#This Row],[Age]]&gt;=30, "adults", bike_buyers[[#This Row],[Age]]&gt;= 20, "young adults")</f>
        <v>adults</v>
      </c>
      <c r="M71">
        <v>30</v>
      </c>
      <c r="N71" t="s">
        <v>20</v>
      </c>
    </row>
    <row r="72" spans="1:14" x14ac:dyDescent="0.25">
      <c r="A72">
        <v>14238</v>
      </c>
      <c r="B72" t="s">
        <v>13</v>
      </c>
      <c r="C72" t="s">
        <v>21</v>
      </c>
      <c r="D72" s="1">
        <v>120000</v>
      </c>
      <c r="E72">
        <v>0</v>
      </c>
      <c r="F72" t="s">
        <v>33</v>
      </c>
      <c r="G72" t="s">
        <v>24</v>
      </c>
      <c r="H72" t="s">
        <v>17</v>
      </c>
      <c r="I72">
        <v>4</v>
      </c>
      <c r="J72" t="s">
        <v>41</v>
      </c>
      <c r="K72" t="s">
        <v>28</v>
      </c>
      <c r="L72" t="str" cm="1">
        <f t="array" ref="L72">_xlfn.IFS(bike_buyers[[#This Row],[Age]]&gt;= 70, "senior citizen", bike_buyers[[#This Row],[Age]]&gt;=55, "middle age",  bike_buyers[[#This Row],[Age]]&gt;=40,"mature adult ", bike_buyers[[#This Row],[Age]]&gt;=30, "adults", bike_buyers[[#This Row],[Age]]&gt;= 20, "young adults")</f>
        <v>adults</v>
      </c>
      <c r="M72">
        <v>36</v>
      </c>
      <c r="N72" t="s">
        <v>17</v>
      </c>
    </row>
    <row r="73" spans="1:14" x14ac:dyDescent="0.25">
      <c r="A73">
        <v>16200</v>
      </c>
      <c r="B73" t="s">
        <v>26</v>
      </c>
      <c r="C73" t="s">
        <v>14</v>
      </c>
      <c r="D73" s="1">
        <v>10000</v>
      </c>
      <c r="E73">
        <v>0</v>
      </c>
      <c r="F73" t="s">
        <v>33</v>
      </c>
      <c r="G73" t="s">
        <v>29</v>
      </c>
      <c r="H73" t="s">
        <v>20</v>
      </c>
      <c r="I73">
        <v>2</v>
      </c>
      <c r="J73" t="s">
        <v>18</v>
      </c>
      <c r="K73" t="s">
        <v>19</v>
      </c>
      <c r="L73" t="str" cm="1">
        <f t="array" ref="L73">_xlfn.IFS(bike_buyers[[#This Row],[Age]]&gt;= 70, "senior citizen", bike_buyers[[#This Row],[Age]]&gt;=55, "middle age",  bike_buyers[[#This Row],[Age]]&gt;=40,"mature adult ", bike_buyers[[#This Row],[Age]]&gt;=30, "adults", bike_buyers[[#This Row],[Age]]&gt;= 20, "young adults")</f>
        <v>adults</v>
      </c>
      <c r="M73">
        <v>35</v>
      </c>
      <c r="N73" t="s">
        <v>20</v>
      </c>
    </row>
    <row r="74" spans="1:14" x14ac:dyDescent="0.25">
      <c r="A74">
        <v>24857</v>
      </c>
      <c r="B74" t="s">
        <v>13</v>
      </c>
      <c r="C74" t="s">
        <v>14</v>
      </c>
      <c r="D74" s="1">
        <v>130000</v>
      </c>
      <c r="E74">
        <v>3</v>
      </c>
      <c r="F74" t="s">
        <v>31</v>
      </c>
      <c r="G74" t="s">
        <v>24</v>
      </c>
      <c r="H74" t="s">
        <v>17</v>
      </c>
      <c r="I74">
        <v>4</v>
      </c>
      <c r="J74" t="s">
        <v>18</v>
      </c>
      <c r="K74" t="s">
        <v>19</v>
      </c>
      <c r="L74" t="str" cm="1">
        <f t="array" ref="L74">_xlfn.IFS(bike_buyers[[#This Row],[Age]]&gt;= 70, "senior citizen", bike_buyers[[#This Row],[Age]]&gt;=55, "middle age",  bike_buyers[[#This Row],[Age]]&gt;=40,"mature adult ", bike_buyers[[#This Row],[Age]]&gt;=30, "adults", bike_buyers[[#This Row],[Age]]&gt;= 20, "young adults")</f>
        <v xml:space="preserve">mature adult </v>
      </c>
      <c r="M74">
        <v>52</v>
      </c>
      <c r="N74" t="s">
        <v>20</v>
      </c>
    </row>
    <row r="75" spans="1:14" x14ac:dyDescent="0.25">
      <c r="A75">
        <v>26956</v>
      </c>
      <c r="B75" t="s">
        <v>26</v>
      </c>
      <c r="C75" t="s">
        <v>14</v>
      </c>
      <c r="D75" s="1">
        <v>20000</v>
      </c>
      <c r="E75">
        <v>0</v>
      </c>
      <c r="F75" t="s">
        <v>22</v>
      </c>
      <c r="G75" t="s">
        <v>29</v>
      </c>
      <c r="H75" t="s">
        <v>20</v>
      </c>
      <c r="I75">
        <v>1</v>
      </c>
      <c r="J75" t="s">
        <v>25</v>
      </c>
      <c r="K75" t="s">
        <v>19</v>
      </c>
      <c r="L75" t="str" cm="1">
        <f t="array" ref="L75">_xlfn.IFS(bike_buyers[[#This Row],[Age]]&gt;= 70, "senior citizen", bike_buyers[[#This Row],[Age]]&gt;=55, "middle age",  bike_buyers[[#This Row],[Age]]&gt;=40,"mature adult ", bike_buyers[[#This Row],[Age]]&gt;=30, "adults", bike_buyers[[#This Row],[Age]]&gt;= 20, "young adults")</f>
        <v>adults</v>
      </c>
      <c r="M75">
        <v>36</v>
      </c>
      <c r="N75" t="s">
        <v>17</v>
      </c>
    </row>
    <row r="76" spans="1:14" x14ac:dyDescent="0.25">
      <c r="A76">
        <v>14517</v>
      </c>
      <c r="B76" t="s">
        <v>13</v>
      </c>
      <c r="C76" t="s">
        <v>14</v>
      </c>
      <c r="D76" s="1">
        <v>20000</v>
      </c>
      <c r="E76">
        <v>3</v>
      </c>
      <c r="F76" t="s">
        <v>31</v>
      </c>
      <c r="G76" t="s">
        <v>16</v>
      </c>
      <c r="H76" t="s">
        <v>20</v>
      </c>
      <c r="I76">
        <v>2</v>
      </c>
      <c r="J76" t="s">
        <v>30</v>
      </c>
      <c r="K76" t="s">
        <v>28</v>
      </c>
      <c r="L76" t="str" cm="1">
        <f t="array" ref="L76">_xlfn.IFS(bike_buyers[[#This Row],[Age]]&gt;= 70, "senior citizen", bike_buyers[[#This Row],[Age]]&gt;=55, "middle age",  bike_buyers[[#This Row],[Age]]&gt;=40,"mature adult ", bike_buyers[[#This Row],[Age]]&gt;=30, "adults", bike_buyers[[#This Row],[Age]]&gt;= 20, "young adults")</f>
        <v>middle age</v>
      </c>
      <c r="M76">
        <v>62</v>
      </c>
      <c r="N76" t="s">
        <v>20</v>
      </c>
    </row>
    <row r="77" spans="1:14" x14ac:dyDescent="0.25">
      <c r="A77">
        <v>12678</v>
      </c>
      <c r="B77" t="s">
        <v>26</v>
      </c>
      <c r="C77" t="s">
        <v>14</v>
      </c>
      <c r="D77" s="1">
        <v>130000</v>
      </c>
      <c r="E77">
        <v>4</v>
      </c>
      <c r="F77" t="s">
        <v>31</v>
      </c>
      <c r="G77" t="s">
        <v>32</v>
      </c>
      <c r="H77" t="s">
        <v>17</v>
      </c>
      <c r="I77">
        <v>4</v>
      </c>
      <c r="J77" t="s">
        <v>18</v>
      </c>
      <c r="K77" t="s">
        <v>28</v>
      </c>
      <c r="L77" t="str" cm="1">
        <f t="array" ref="L77">_xlfn.IFS(bike_buyers[[#This Row],[Age]]&gt;= 70, "senior citizen", bike_buyers[[#This Row],[Age]]&gt;=55, "middle age",  bike_buyers[[#This Row],[Age]]&gt;=40,"mature adult ", bike_buyers[[#This Row],[Age]]&gt;=30, "adults", bike_buyers[[#This Row],[Age]]&gt;= 20, "young adults")</f>
        <v>adults</v>
      </c>
      <c r="M77">
        <v>31</v>
      </c>
      <c r="N77" t="s">
        <v>20</v>
      </c>
    </row>
    <row r="78" spans="1:14" x14ac:dyDescent="0.25">
      <c r="A78">
        <v>16188</v>
      </c>
      <c r="B78" t="s">
        <v>26</v>
      </c>
      <c r="C78" t="s">
        <v>14</v>
      </c>
      <c r="D78" s="1">
        <v>20000</v>
      </c>
      <c r="E78">
        <v>0</v>
      </c>
      <c r="F78" t="s">
        <v>33</v>
      </c>
      <c r="G78" t="s">
        <v>29</v>
      </c>
      <c r="H78" t="s">
        <v>20</v>
      </c>
      <c r="I78">
        <v>2</v>
      </c>
      <c r="J78" t="s">
        <v>30</v>
      </c>
      <c r="K78" t="s">
        <v>19</v>
      </c>
      <c r="L78" t="str" cm="1">
        <f t="array" ref="L78">_xlfn.IFS(bike_buyers[[#This Row],[Age]]&gt;= 70, "senior citizen", bike_buyers[[#This Row],[Age]]&gt;=55, "middle age",  bike_buyers[[#This Row],[Age]]&gt;=40,"mature adult ", bike_buyers[[#This Row],[Age]]&gt;=30, "adults", bike_buyers[[#This Row],[Age]]&gt;= 20, "young adults")</f>
        <v>young adults</v>
      </c>
      <c r="M78">
        <v>26</v>
      </c>
      <c r="N78" t="s">
        <v>20</v>
      </c>
    </row>
    <row r="79" spans="1:14" x14ac:dyDescent="0.25">
      <c r="A79">
        <v>27969</v>
      </c>
      <c r="B79" t="s">
        <v>13</v>
      </c>
      <c r="C79" t="s">
        <v>21</v>
      </c>
      <c r="D79" s="1">
        <v>80000</v>
      </c>
      <c r="E79">
        <v>0</v>
      </c>
      <c r="F79" t="s">
        <v>15</v>
      </c>
      <c r="G79" t="s">
        <v>24</v>
      </c>
      <c r="H79" t="s">
        <v>17</v>
      </c>
      <c r="I79">
        <v>2</v>
      </c>
      <c r="J79" t="s">
        <v>41</v>
      </c>
      <c r="K79" t="s">
        <v>28</v>
      </c>
      <c r="L79" t="str" cm="1">
        <f t="array" ref="L79">_xlfn.IFS(bike_buyers[[#This Row],[Age]]&gt;= 70, "senior citizen", bike_buyers[[#This Row],[Age]]&gt;=55, "middle age",  bike_buyers[[#This Row],[Age]]&gt;=40,"mature adult ", bike_buyers[[#This Row],[Age]]&gt;=30, "adults", bike_buyers[[#This Row],[Age]]&gt;= 20, "young adults")</f>
        <v>young adults</v>
      </c>
      <c r="M79">
        <v>29</v>
      </c>
      <c r="N79" t="s">
        <v>17</v>
      </c>
    </row>
    <row r="80" spans="1:14" x14ac:dyDescent="0.25">
      <c r="A80">
        <v>15752</v>
      </c>
      <c r="B80" t="s">
        <v>13</v>
      </c>
      <c r="C80" t="s">
        <v>21</v>
      </c>
      <c r="D80" s="1">
        <v>80000</v>
      </c>
      <c r="E80">
        <v>2</v>
      </c>
      <c r="F80" t="s">
        <v>31</v>
      </c>
      <c r="G80" t="s">
        <v>16</v>
      </c>
      <c r="H80" t="s">
        <v>20</v>
      </c>
      <c r="I80">
        <v>2</v>
      </c>
      <c r="J80" t="s">
        <v>30</v>
      </c>
      <c r="K80" t="s">
        <v>28</v>
      </c>
      <c r="L80" t="str" cm="1">
        <f t="array" ref="L80">_xlfn.IFS(bike_buyers[[#This Row],[Age]]&gt;= 70, "senior citizen", bike_buyers[[#This Row],[Age]]&gt;=55, "middle age",  bike_buyers[[#This Row],[Age]]&gt;=40,"mature adult ", bike_buyers[[#This Row],[Age]]&gt;=30, "adults", bike_buyers[[#This Row],[Age]]&gt;= 20, "young adults")</f>
        <v xml:space="preserve">mature adult </v>
      </c>
      <c r="M80">
        <v>50</v>
      </c>
      <c r="N80" t="s">
        <v>17</v>
      </c>
    </row>
    <row r="81" spans="1:14" x14ac:dyDescent="0.25">
      <c r="A81">
        <v>27745</v>
      </c>
      <c r="B81" t="s">
        <v>26</v>
      </c>
      <c r="C81" t="s">
        <v>21</v>
      </c>
      <c r="D81" s="1">
        <v>40000</v>
      </c>
      <c r="E81">
        <v>2</v>
      </c>
      <c r="F81" t="s">
        <v>15</v>
      </c>
      <c r="G81" t="s">
        <v>32</v>
      </c>
      <c r="H81" t="s">
        <v>17</v>
      </c>
      <c r="I81">
        <v>2</v>
      </c>
      <c r="J81" t="s">
        <v>27</v>
      </c>
      <c r="K81" t="s">
        <v>28</v>
      </c>
      <c r="L81" t="str" cm="1">
        <f t="array" ref="L81">_xlfn.IFS(bike_buyers[[#This Row],[Age]]&gt;= 70, "senior citizen", bike_buyers[[#This Row],[Age]]&gt;=55, "middle age",  bike_buyers[[#This Row],[Age]]&gt;=40,"mature adult ", bike_buyers[[#This Row],[Age]]&gt;=30, "adults", bike_buyers[[#This Row],[Age]]&gt;= 20, "young adults")</f>
        <v>middle age</v>
      </c>
      <c r="M81">
        <v>63</v>
      </c>
      <c r="N81" t="s">
        <v>17</v>
      </c>
    </row>
    <row r="82" spans="1:14" x14ac:dyDescent="0.25">
      <c r="A82">
        <v>20828</v>
      </c>
      <c r="B82" t="s">
        <v>13</v>
      </c>
      <c r="C82" t="s">
        <v>14</v>
      </c>
      <c r="D82" s="1">
        <v>30000</v>
      </c>
      <c r="E82">
        <v>4</v>
      </c>
      <c r="F82" t="s">
        <v>34</v>
      </c>
      <c r="G82" t="s">
        <v>23</v>
      </c>
      <c r="H82" t="s">
        <v>17</v>
      </c>
      <c r="I82">
        <v>0</v>
      </c>
      <c r="J82" t="s">
        <v>18</v>
      </c>
      <c r="K82" t="s">
        <v>19</v>
      </c>
      <c r="L82" t="str" cm="1">
        <f t="array" ref="L82">_xlfn.IFS(bike_buyers[[#This Row],[Age]]&gt;= 70, "senior citizen", bike_buyers[[#This Row],[Age]]&gt;=55, "middle age",  bike_buyers[[#This Row],[Age]]&gt;=40,"mature adult ", bike_buyers[[#This Row],[Age]]&gt;=30, "adults", bike_buyers[[#This Row],[Age]]&gt;= 20, "young adults")</f>
        <v xml:space="preserve">mature adult </v>
      </c>
      <c r="M82">
        <v>45</v>
      </c>
      <c r="N82" t="s">
        <v>17</v>
      </c>
    </row>
    <row r="83" spans="1:14" x14ac:dyDescent="0.25">
      <c r="A83">
        <v>19461</v>
      </c>
      <c r="B83" t="s">
        <v>26</v>
      </c>
      <c r="C83" t="s">
        <v>14</v>
      </c>
      <c r="D83" s="1">
        <v>10000</v>
      </c>
      <c r="E83">
        <v>4</v>
      </c>
      <c r="F83" t="s">
        <v>33</v>
      </c>
      <c r="G83" t="s">
        <v>29</v>
      </c>
      <c r="H83" t="s">
        <v>17</v>
      </c>
      <c r="I83">
        <v>2</v>
      </c>
      <c r="J83" t="s">
        <v>18</v>
      </c>
      <c r="K83" t="s">
        <v>19</v>
      </c>
      <c r="L83" t="str" cm="1">
        <f t="array" ref="L83">_xlfn.IFS(bike_buyers[[#This Row],[Age]]&gt;= 70, "senior citizen", bike_buyers[[#This Row],[Age]]&gt;=55, "middle age",  bike_buyers[[#This Row],[Age]]&gt;=40,"mature adult ", bike_buyers[[#This Row],[Age]]&gt;=30, "adults", bike_buyers[[#This Row],[Age]]&gt;= 20, "young adults")</f>
        <v xml:space="preserve">mature adult </v>
      </c>
      <c r="M83">
        <v>40</v>
      </c>
      <c r="N83" t="s">
        <v>20</v>
      </c>
    </row>
    <row r="84" spans="1:14" x14ac:dyDescent="0.25">
      <c r="A84">
        <v>26941</v>
      </c>
      <c r="B84" t="s">
        <v>13</v>
      </c>
      <c r="C84" t="s">
        <v>21</v>
      </c>
      <c r="D84" s="1">
        <v>30000</v>
      </c>
      <c r="E84">
        <v>0</v>
      </c>
      <c r="F84" t="s">
        <v>15</v>
      </c>
      <c r="G84" t="s">
        <v>23</v>
      </c>
      <c r="H84" t="s">
        <v>17</v>
      </c>
      <c r="I84">
        <v>0</v>
      </c>
      <c r="J84" t="s">
        <v>18</v>
      </c>
      <c r="K84" t="s">
        <v>19</v>
      </c>
      <c r="L84" t="str" cm="1">
        <f t="array" ref="L84">_xlfn.IFS(bike_buyers[[#This Row],[Age]]&gt;= 70, "senior citizen", bike_buyers[[#This Row],[Age]]&gt;=55, "middle age",  bike_buyers[[#This Row],[Age]]&gt;=40,"mature adult ", bike_buyers[[#This Row],[Age]]&gt;=30, "adults", bike_buyers[[#This Row],[Age]]&gt;= 20, "young adults")</f>
        <v xml:space="preserve">mature adult </v>
      </c>
      <c r="M84">
        <v>47</v>
      </c>
      <c r="N84" t="s">
        <v>17</v>
      </c>
    </row>
    <row r="85" spans="1:14" x14ac:dyDescent="0.25">
      <c r="A85">
        <v>28412</v>
      </c>
      <c r="B85" t="s">
        <v>26</v>
      </c>
      <c r="C85" t="s">
        <v>21</v>
      </c>
      <c r="D85" s="1">
        <v>20000</v>
      </c>
      <c r="E85">
        <v>0</v>
      </c>
      <c r="F85" t="s">
        <v>31</v>
      </c>
      <c r="G85" t="s">
        <v>29</v>
      </c>
      <c r="H85" t="s">
        <v>20</v>
      </c>
      <c r="I85">
        <v>1</v>
      </c>
      <c r="J85" t="s">
        <v>25</v>
      </c>
      <c r="K85" t="s">
        <v>19</v>
      </c>
      <c r="L85" t="str" cm="1">
        <f t="array" ref="L85">_xlfn.IFS(bike_buyers[[#This Row],[Age]]&gt;= 70, "senior citizen", bike_buyers[[#This Row],[Age]]&gt;=55, "middle age",  bike_buyers[[#This Row],[Age]]&gt;=40,"mature adult ", bike_buyers[[#This Row],[Age]]&gt;=30, "adults", bike_buyers[[#This Row],[Age]]&gt;= 20, "young adults")</f>
        <v>young adults</v>
      </c>
      <c r="M85">
        <v>29</v>
      </c>
      <c r="N85" t="s">
        <v>20</v>
      </c>
    </row>
    <row r="86" spans="1:14" x14ac:dyDescent="0.25">
      <c r="A86">
        <v>24485</v>
      </c>
      <c r="B86" t="s">
        <v>26</v>
      </c>
      <c r="C86" t="s">
        <v>21</v>
      </c>
      <c r="D86" s="1">
        <v>40000</v>
      </c>
      <c r="E86">
        <v>2</v>
      </c>
      <c r="F86" t="s">
        <v>15</v>
      </c>
      <c r="G86" t="s">
        <v>32</v>
      </c>
      <c r="H86" t="s">
        <v>20</v>
      </c>
      <c r="I86">
        <v>1</v>
      </c>
      <c r="J86" t="s">
        <v>27</v>
      </c>
      <c r="K86" t="s">
        <v>28</v>
      </c>
      <c r="L86" t="str" cm="1">
        <f t="array" ref="L86">_xlfn.IFS(bike_buyers[[#This Row],[Age]]&gt;= 70, "senior citizen", bike_buyers[[#This Row],[Age]]&gt;=55, "middle age",  bike_buyers[[#This Row],[Age]]&gt;=40,"mature adult ", bike_buyers[[#This Row],[Age]]&gt;=30, "adults", bike_buyers[[#This Row],[Age]]&gt;= 20, "young adults")</f>
        <v xml:space="preserve">mature adult </v>
      </c>
      <c r="M86">
        <v>52</v>
      </c>
      <c r="N86" t="s">
        <v>17</v>
      </c>
    </row>
    <row r="87" spans="1:14" x14ac:dyDescent="0.25">
      <c r="A87">
        <v>16514</v>
      </c>
      <c r="B87" t="s">
        <v>26</v>
      </c>
      <c r="C87" t="s">
        <v>21</v>
      </c>
      <c r="D87" s="1">
        <v>10000</v>
      </c>
      <c r="E87">
        <v>0</v>
      </c>
      <c r="F87" t="s">
        <v>22</v>
      </c>
      <c r="G87" t="s">
        <v>29</v>
      </c>
      <c r="H87" t="s">
        <v>17</v>
      </c>
      <c r="I87">
        <v>1</v>
      </c>
      <c r="J87" t="s">
        <v>30</v>
      </c>
      <c r="K87" t="s">
        <v>28</v>
      </c>
      <c r="L87" t="str" cm="1">
        <f t="array" ref="L87">_xlfn.IFS(bike_buyers[[#This Row],[Age]]&gt;= 70, "senior citizen", bike_buyers[[#This Row],[Age]]&gt;=55, "middle age",  bike_buyers[[#This Row],[Age]]&gt;=40,"mature adult ", bike_buyers[[#This Row],[Age]]&gt;=30, "adults", bike_buyers[[#This Row],[Age]]&gt;= 20, "young adults")</f>
        <v>young adults</v>
      </c>
      <c r="M87">
        <v>26</v>
      </c>
      <c r="N87" t="s">
        <v>17</v>
      </c>
    </row>
    <row r="88" spans="1:14" x14ac:dyDescent="0.25">
      <c r="A88">
        <v>17191</v>
      </c>
      <c r="B88" t="s">
        <v>26</v>
      </c>
      <c r="C88" t="s">
        <v>21</v>
      </c>
      <c r="D88" s="1">
        <v>130000</v>
      </c>
      <c r="E88">
        <v>3</v>
      </c>
      <c r="F88" t="s">
        <v>22</v>
      </c>
      <c r="G88" t="s">
        <v>24</v>
      </c>
      <c r="H88" t="s">
        <v>20</v>
      </c>
      <c r="I88">
        <v>3</v>
      </c>
      <c r="J88" t="s">
        <v>18</v>
      </c>
      <c r="K88" t="s">
        <v>19</v>
      </c>
      <c r="L88" t="str" cm="1">
        <f t="array" ref="L88">_xlfn.IFS(bike_buyers[[#This Row],[Age]]&gt;= 70, "senior citizen", bike_buyers[[#This Row],[Age]]&gt;=55, "middle age",  bike_buyers[[#This Row],[Age]]&gt;=40,"mature adult ", bike_buyers[[#This Row],[Age]]&gt;=30, "adults", bike_buyers[[#This Row],[Age]]&gt;= 20, "young adults")</f>
        <v xml:space="preserve">mature adult </v>
      </c>
      <c r="M88">
        <v>51</v>
      </c>
      <c r="N88" t="s">
        <v>17</v>
      </c>
    </row>
    <row r="89" spans="1:14" x14ac:dyDescent="0.25">
      <c r="A89">
        <v>19608</v>
      </c>
      <c r="B89" t="s">
        <v>13</v>
      </c>
      <c r="C89" t="s">
        <v>21</v>
      </c>
      <c r="D89" s="1">
        <v>80000</v>
      </c>
      <c r="E89">
        <v>5</v>
      </c>
      <c r="F89" t="s">
        <v>15</v>
      </c>
      <c r="G89" t="s">
        <v>24</v>
      </c>
      <c r="H89" t="s">
        <v>17</v>
      </c>
      <c r="I89">
        <v>4</v>
      </c>
      <c r="J89" t="s">
        <v>30</v>
      </c>
      <c r="K89" t="s">
        <v>28</v>
      </c>
      <c r="L89" t="str" cm="1">
        <f t="array" ref="L89">_xlfn.IFS(bike_buyers[[#This Row],[Age]]&gt;= 70, "senior citizen", bike_buyers[[#This Row],[Age]]&gt;=55, "middle age",  bike_buyers[[#This Row],[Age]]&gt;=40,"mature adult ", bike_buyers[[#This Row],[Age]]&gt;=30, "adults", bike_buyers[[#This Row],[Age]]&gt;= 20, "young adults")</f>
        <v xml:space="preserve">mature adult </v>
      </c>
      <c r="M89">
        <v>40</v>
      </c>
      <c r="N89" t="s">
        <v>20</v>
      </c>
    </row>
    <row r="90" spans="1:14" x14ac:dyDescent="0.25">
      <c r="A90">
        <v>24119</v>
      </c>
      <c r="B90" t="s">
        <v>26</v>
      </c>
      <c r="C90" t="s">
        <v>21</v>
      </c>
      <c r="D90" s="1">
        <v>30000</v>
      </c>
      <c r="E90">
        <v>0</v>
      </c>
      <c r="F90" t="s">
        <v>22</v>
      </c>
      <c r="G90" t="s">
        <v>23</v>
      </c>
      <c r="H90" t="s">
        <v>20</v>
      </c>
      <c r="I90">
        <v>1</v>
      </c>
      <c r="J90" t="s">
        <v>25</v>
      </c>
      <c r="K90" t="s">
        <v>19</v>
      </c>
      <c r="L90" t="str" cm="1">
        <f t="array" ref="L90">_xlfn.IFS(bike_buyers[[#This Row],[Age]]&gt;= 70, "senior citizen", bike_buyers[[#This Row],[Age]]&gt;=55, "middle age",  bike_buyers[[#This Row],[Age]]&gt;=40,"mature adult ", bike_buyers[[#This Row],[Age]]&gt;=30, "adults", bike_buyers[[#This Row],[Age]]&gt;= 20, "young adults")</f>
        <v>young adults</v>
      </c>
      <c r="M90">
        <v>29</v>
      </c>
      <c r="N90" t="s">
        <v>20</v>
      </c>
    </row>
    <row r="91" spans="1:14" x14ac:dyDescent="0.25">
      <c r="A91">
        <v>25458</v>
      </c>
      <c r="B91" t="s">
        <v>13</v>
      </c>
      <c r="C91" t="s">
        <v>21</v>
      </c>
      <c r="D91" s="1">
        <v>20000</v>
      </c>
      <c r="E91">
        <v>1</v>
      </c>
      <c r="F91" t="s">
        <v>31</v>
      </c>
      <c r="G91" t="s">
        <v>29</v>
      </c>
      <c r="H91" t="s">
        <v>20</v>
      </c>
      <c r="I91">
        <v>1</v>
      </c>
      <c r="J91" t="s">
        <v>30</v>
      </c>
      <c r="K91" t="s">
        <v>19</v>
      </c>
      <c r="L91" t="str" cm="1">
        <f t="array" ref="L91">_xlfn.IFS(bike_buyers[[#This Row],[Age]]&gt;= 70, "senior citizen", bike_buyers[[#This Row],[Age]]&gt;=55, "middle age",  bike_buyers[[#This Row],[Age]]&gt;=40,"mature adult ", bike_buyers[[#This Row],[Age]]&gt;=30, "adults", bike_buyers[[#This Row],[Age]]&gt;= 20, "young adults")</f>
        <v xml:space="preserve">mature adult </v>
      </c>
      <c r="M91">
        <v>40</v>
      </c>
      <c r="N91" t="s">
        <v>17</v>
      </c>
    </row>
    <row r="92" spans="1:14" x14ac:dyDescent="0.25">
      <c r="A92">
        <v>26886</v>
      </c>
      <c r="B92" t="s">
        <v>26</v>
      </c>
      <c r="C92" t="s">
        <v>14</v>
      </c>
      <c r="D92" s="1">
        <v>30000</v>
      </c>
      <c r="E92">
        <v>0</v>
      </c>
      <c r="F92" t="s">
        <v>22</v>
      </c>
      <c r="G92" t="s">
        <v>23</v>
      </c>
      <c r="H92" t="s">
        <v>20</v>
      </c>
      <c r="I92">
        <v>1</v>
      </c>
      <c r="J92" t="s">
        <v>18</v>
      </c>
      <c r="K92" t="s">
        <v>19</v>
      </c>
      <c r="L92" t="str" cm="1">
        <f t="array" ref="L92">_xlfn.IFS(bike_buyers[[#This Row],[Age]]&gt;= 70, "senior citizen", bike_buyers[[#This Row],[Age]]&gt;=55, "middle age",  bike_buyers[[#This Row],[Age]]&gt;=40,"mature adult ", bike_buyers[[#This Row],[Age]]&gt;=30, "adults", bike_buyers[[#This Row],[Age]]&gt;= 20, "young adults")</f>
        <v>young adults</v>
      </c>
      <c r="M92">
        <v>29</v>
      </c>
      <c r="N92" t="s">
        <v>17</v>
      </c>
    </row>
    <row r="93" spans="1:14" x14ac:dyDescent="0.25">
      <c r="A93">
        <v>28436</v>
      </c>
      <c r="B93" t="s">
        <v>26</v>
      </c>
      <c r="C93" t="s">
        <v>21</v>
      </c>
      <c r="D93" s="1">
        <v>30000</v>
      </c>
      <c r="E93">
        <v>0</v>
      </c>
      <c r="F93" t="s">
        <v>22</v>
      </c>
      <c r="G93" t="s">
        <v>23</v>
      </c>
      <c r="H93" t="s">
        <v>20</v>
      </c>
      <c r="I93">
        <v>1</v>
      </c>
      <c r="J93" t="s">
        <v>18</v>
      </c>
      <c r="K93" t="s">
        <v>19</v>
      </c>
      <c r="L93" t="str" cm="1">
        <f t="array" ref="L93">_xlfn.IFS(bike_buyers[[#This Row],[Age]]&gt;= 70, "senior citizen", bike_buyers[[#This Row],[Age]]&gt;=55, "middle age",  bike_buyers[[#This Row],[Age]]&gt;=40,"mature adult ", bike_buyers[[#This Row],[Age]]&gt;=30, "adults", bike_buyers[[#This Row],[Age]]&gt;= 20, "young adults")</f>
        <v>adults</v>
      </c>
      <c r="M93">
        <v>30</v>
      </c>
      <c r="N93" t="s">
        <v>17</v>
      </c>
    </row>
    <row r="94" spans="1:14" x14ac:dyDescent="0.25">
      <c r="A94">
        <v>19562</v>
      </c>
      <c r="B94" t="s">
        <v>26</v>
      </c>
      <c r="C94" t="s">
        <v>14</v>
      </c>
      <c r="D94" s="1">
        <v>60000</v>
      </c>
      <c r="E94">
        <v>2</v>
      </c>
      <c r="F94" t="s">
        <v>15</v>
      </c>
      <c r="G94" t="s">
        <v>24</v>
      </c>
      <c r="H94" t="s">
        <v>17</v>
      </c>
      <c r="I94">
        <v>1</v>
      </c>
      <c r="J94" t="s">
        <v>25</v>
      </c>
      <c r="K94" t="s">
        <v>28</v>
      </c>
      <c r="L94" t="str" cm="1">
        <f t="array" ref="L94">_xlfn.IFS(bike_buyers[[#This Row],[Age]]&gt;= 70, "senior citizen", bike_buyers[[#This Row],[Age]]&gt;=55, "middle age",  bike_buyers[[#This Row],[Age]]&gt;=40,"mature adult ", bike_buyers[[#This Row],[Age]]&gt;=30, "adults", bike_buyers[[#This Row],[Age]]&gt;= 20, "young adults")</f>
        <v>adults</v>
      </c>
      <c r="M94">
        <v>37</v>
      </c>
      <c r="N94" t="s">
        <v>17</v>
      </c>
    </row>
    <row r="95" spans="1:14" x14ac:dyDescent="0.25">
      <c r="A95">
        <v>15608</v>
      </c>
      <c r="B95" t="s">
        <v>26</v>
      </c>
      <c r="C95" t="s">
        <v>14</v>
      </c>
      <c r="D95" s="1">
        <v>30000</v>
      </c>
      <c r="E95">
        <v>0</v>
      </c>
      <c r="F95" t="s">
        <v>22</v>
      </c>
      <c r="G95" t="s">
        <v>23</v>
      </c>
      <c r="H95" t="s">
        <v>20</v>
      </c>
      <c r="I95">
        <v>1</v>
      </c>
      <c r="J95" t="s">
        <v>25</v>
      </c>
      <c r="K95" t="s">
        <v>19</v>
      </c>
      <c r="L95" t="str" cm="1">
        <f t="array" ref="L95">_xlfn.IFS(bike_buyers[[#This Row],[Age]]&gt;= 70, "senior citizen", bike_buyers[[#This Row],[Age]]&gt;=55, "middle age",  bike_buyers[[#This Row],[Age]]&gt;=40,"mature adult ", bike_buyers[[#This Row],[Age]]&gt;=30, "adults", bike_buyers[[#This Row],[Age]]&gt;= 20, "young adults")</f>
        <v>adults</v>
      </c>
      <c r="M95">
        <v>33</v>
      </c>
      <c r="N95" t="s">
        <v>20</v>
      </c>
    </row>
    <row r="96" spans="1:14" x14ac:dyDescent="0.25">
      <c r="A96">
        <v>16487</v>
      </c>
      <c r="B96" t="s">
        <v>26</v>
      </c>
      <c r="C96" t="s">
        <v>14</v>
      </c>
      <c r="D96" s="1">
        <v>30000</v>
      </c>
      <c r="E96">
        <v>3</v>
      </c>
      <c r="F96" t="s">
        <v>31</v>
      </c>
      <c r="G96" t="s">
        <v>16</v>
      </c>
      <c r="H96" t="s">
        <v>17</v>
      </c>
      <c r="I96">
        <v>2</v>
      </c>
      <c r="J96" t="s">
        <v>27</v>
      </c>
      <c r="K96" t="s">
        <v>28</v>
      </c>
      <c r="L96" t="str" cm="1">
        <f t="array" ref="L96">_xlfn.IFS(bike_buyers[[#This Row],[Age]]&gt;= 70, "senior citizen", bike_buyers[[#This Row],[Age]]&gt;=55, "middle age",  bike_buyers[[#This Row],[Age]]&gt;=40,"mature adult ", bike_buyers[[#This Row],[Age]]&gt;=30, "adults", bike_buyers[[#This Row],[Age]]&gt;= 20, "young adults")</f>
        <v>middle age</v>
      </c>
      <c r="M96">
        <v>55</v>
      </c>
      <c r="N96" t="s">
        <v>20</v>
      </c>
    </row>
    <row r="97" spans="1:14" x14ac:dyDescent="0.25">
      <c r="A97">
        <v>17197</v>
      </c>
      <c r="B97" t="s">
        <v>26</v>
      </c>
      <c r="C97" t="s">
        <v>14</v>
      </c>
      <c r="D97" s="1">
        <v>90000</v>
      </c>
      <c r="E97">
        <v>5</v>
      </c>
      <c r="F97" t="s">
        <v>22</v>
      </c>
      <c r="G97" t="s">
        <v>24</v>
      </c>
      <c r="H97" t="s">
        <v>17</v>
      </c>
      <c r="I97">
        <v>2</v>
      </c>
      <c r="J97" t="s">
        <v>41</v>
      </c>
      <c r="K97" t="s">
        <v>19</v>
      </c>
      <c r="L97" t="str" cm="1">
        <f t="array" ref="L97">_xlfn.IFS(bike_buyers[[#This Row],[Age]]&gt;= 70, "senior citizen", bike_buyers[[#This Row],[Age]]&gt;=55, "middle age",  bike_buyers[[#This Row],[Age]]&gt;=40,"mature adult ", bike_buyers[[#This Row],[Age]]&gt;=30, "adults", bike_buyers[[#This Row],[Age]]&gt;= 20, "young adults")</f>
        <v>middle age</v>
      </c>
      <c r="M97">
        <v>62</v>
      </c>
      <c r="N97" t="s">
        <v>20</v>
      </c>
    </row>
    <row r="98" spans="1:14" x14ac:dyDescent="0.25">
      <c r="A98">
        <v>12507</v>
      </c>
      <c r="B98" t="s">
        <v>13</v>
      </c>
      <c r="C98" t="s">
        <v>21</v>
      </c>
      <c r="D98" s="1">
        <v>30000</v>
      </c>
      <c r="E98">
        <v>1</v>
      </c>
      <c r="F98" t="s">
        <v>22</v>
      </c>
      <c r="G98" t="s">
        <v>23</v>
      </c>
      <c r="H98" t="s">
        <v>17</v>
      </c>
      <c r="I98">
        <v>1</v>
      </c>
      <c r="J98" t="s">
        <v>18</v>
      </c>
      <c r="K98" t="s">
        <v>19</v>
      </c>
      <c r="L98" t="str" cm="1">
        <f t="array" ref="L98">_xlfn.IFS(bike_buyers[[#This Row],[Age]]&gt;= 70, "senior citizen", bike_buyers[[#This Row],[Age]]&gt;=55, "middle age",  bike_buyers[[#This Row],[Age]]&gt;=40,"mature adult ", bike_buyers[[#This Row],[Age]]&gt;=30, "adults", bike_buyers[[#This Row],[Age]]&gt;= 20, "young adults")</f>
        <v xml:space="preserve">mature adult </v>
      </c>
      <c r="M98">
        <v>43</v>
      </c>
      <c r="N98" t="s">
        <v>20</v>
      </c>
    </row>
    <row r="99" spans="1:14" x14ac:dyDescent="0.25">
      <c r="A99">
        <v>23940</v>
      </c>
      <c r="B99" t="s">
        <v>13</v>
      </c>
      <c r="C99" t="s">
        <v>21</v>
      </c>
      <c r="D99" s="1">
        <v>40000</v>
      </c>
      <c r="E99">
        <v>1</v>
      </c>
      <c r="F99" t="s">
        <v>15</v>
      </c>
      <c r="G99" t="s">
        <v>16</v>
      </c>
      <c r="H99" t="s">
        <v>17</v>
      </c>
      <c r="I99">
        <v>1</v>
      </c>
      <c r="J99" t="s">
        <v>18</v>
      </c>
      <c r="K99" t="s">
        <v>19</v>
      </c>
      <c r="L99" t="str" cm="1">
        <f t="array" ref="L99">_xlfn.IFS(bike_buyers[[#This Row],[Age]]&gt;= 70, "senior citizen", bike_buyers[[#This Row],[Age]]&gt;=55, "middle age",  bike_buyers[[#This Row],[Age]]&gt;=40,"mature adult ", bike_buyers[[#This Row],[Age]]&gt;=30, "adults", bike_buyers[[#This Row],[Age]]&gt;= 20, "young adults")</f>
        <v xml:space="preserve">mature adult </v>
      </c>
      <c r="M99">
        <v>44</v>
      </c>
      <c r="N99" t="s">
        <v>17</v>
      </c>
    </row>
    <row r="100" spans="1:14" x14ac:dyDescent="0.25">
      <c r="A100">
        <v>19441</v>
      </c>
      <c r="B100" t="s">
        <v>13</v>
      </c>
      <c r="C100" t="s">
        <v>21</v>
      </c>
      <c r="D100" s="1">
        <v>40000</v>
      </c>
      <c r="E100">
        <v>0</v>
      </c>
      <c r="F100" t="s">
        <v>34</v>
      </c>
      <c r="G100" t="s">
        <v>23</v>
      </c>
      <c r="H100" t="s">
        <v>17</v>
      </c>
      <c r="I100">
        <v>0</v>
      </c>
      <c r="J100" t="s">
        <v>18</v>
      </c>
      <c r="K100" t="s">
        <v>19</v>
      </c>
      <c r="L100" t="str" cm="1">
        <f t="array" ref="L100">_xlfn.IFS(bike_buyers[[#This Row],[Age]]&gt;= 70, "senior citizen", bike_buyers[[#This Row],[Age]]&gt;=55, "middle age",  bike_buyers[[#This Row],[Age]]&gt;=40,"mature adult ", bike_buyers[[#This Row],[Age]]&gt;=30, "adults", bike_buyers[[#This Row],[Age]]&gt;= 20, "young adults")</f>
        <v>young adults</v>
      </c>
      <c r="M100">
        <v>25</v>
      </c>
      <c r="N100" t="s">
        <v>17</v>
      </c>
    </row>
    <row r="101" spans="1:14" x14ac:dyDescent="0.25">
      <c r="A101">
        <v>26852</v>
      </c>
      <c r="B101" t="s">
        <v>13</v>
      </c>
      <c r="C101" t="s">
        <v>14</v>
      </c>
      <c r="D101" s="1">
        <v>20000</v>
      </c>
      <c r="E101">
        <v>3</v>
      </c>
      <c r="F101" t="s">
        <v>31</v>
      </c>
      <c r="G101" t="s">
        <v>29</v>
      </c>
      <c r="H101" t="s">
        <v>17</v>
      </c>
      <c r="I101">
        <v>2</v>
      </c>
      <c r="J101" t="s">
        <v>18</v>
      </c>
      <c r="K101" t="s">
        <v>19</v>
      </c>
      <c r="L101" t="str" cm="1">
        <f t="array" ref="L101">_xlfn.IFS(bike_buyers[[#This Row],[Age]]&gt;= 70, "senior citizen", bike_buyers[[#This Row],[Age]]&gt;=55, "middle age",  bike_buyers[[#This Row],[Age]]&gt;=40,"mature adult ", bike_buyers[[#This Row],[Age]]&gt;=30, "adults", bike_buyers[[#This Row],[Age]]&gt;= 20, "young adults")</f>
        <v xml:space="preserve">mature adult </v>
      </c>
      <c r="M101">
        <v>43</v>
      </c>
      <c r="N101" t="s">
        <v>20</v>
      </c>
    </row>
    <row r="102" spans="1:14" x14ac:dyDescent="0.25">
      <c r="A102">
        <v>12274</v>
      </c>
      <c r="B102" t="s">
        <v>26</v>
      </c>
      <c r="C102" t="s">
        <v>21</v>
      </c>
      <c r="D102" s="1">
        <v>10000</v>
      </c>
      <c r="E102">
        <v>2</v>
      </c>
      <c r="F102" t="s">
        <v>31</v>
      </c>
      <c r="G102" t="s">
        <v>29</v>
      </c>
      <c r="H102" t="s">
        <v>17</v>
      </c>
      <c r="I102">
        <v>0</v>
      </c>
      <c r="J102" t="s">
        <v>18</v>
      </c>
      <c r="K102" t="s">
        <v>19</v>
      </c>
      <c r="L102" t="str" cm="1">
        <f t="array" ref="L102">_xlfn.IFS(bike_buyers[[#This Row],[Age]]&gt;= 70, "senior citizen", bike_buyers[[#This Row],[Age]]&gt;=55, "middle age",  bike_buyers[[#This Row],[Age]]&gt;=40,"mature adult ", bike_buyers[[#This Row],[Age]]&gt;=30, "adults", bike_buyers[[#This Row],[Age]]&gt;= 20, "young adults")</f>
        <v>adults</v>
      </c>
      <c r="M102">
        <v>35</v>
      </c>
      <c r="N102" t="s">
        <v>20</v>
      </c>
    </row>
    <row r="103" spans="1:14" x14ac:dyDescent="0.25">
      <c r="A103">
        <v>20236</v>
      </c>
      <c r="B103" t="s">
        <v>26</v>
      </c>
      <c r="C103" t="s">
        <v>21</v>
      </c>
      <c r="D103" s="1">
        <v>60000</v>
      </c>
      <c r="E103">
        <v>3</v>
      </c>
      <c r="F103" t="s">
        <v>15</v>
      </c>
      <c r="G103" t="s">
        <v>24</v>
      </c>
      <c r="H103" t="s">
        <v>20</v>
      </c>
      <c r="I103">
        <v>2</v>
      </c>
      <c r="J103" t="s">
        <v>18</v>
      </c>
      <c r="K103" t="s">
        <v>28</v>
      </c>
      <c r="L103" t="str" cm="1">
        <f t="array" ref="L103">_xlfn.IFS(bike_buyers[[#This Row],[Age]]&gt;= 70, "senior citizen", bike_buyers[[#This Row],[Age]]&gt;=55, "middle age",  bike_buyers[[#This Row],[Age]]&gt;=40,"mature adult ", bike_buyers[[#This Row],[Age]]&gt;=30, "adults", bike_buyers[[#This Row],[Age]]&gt;= 20, "young adults")</f>
        <v xml:space="preserve">mature adult </v>
      </c>
      <c r="M103">
        <v>43</v>
      </c>
      <c r="N103" t="s">
        <v>17</v>
      </c>
    </row>
    <row r="104" spans="1:14" x14ac:dyDescent="0.25">
      <c r="A104">
        <v>24149</v>
      </c>
      <c r="B104" t="s">
        <v>13</v>
      </c>
      <c r="C104" t="s">
        <v>21</v>
      </c>
      <c r="D104" s="1">
        <v>10000</v>
      </c>
      <c r="E104">
        <v>2</v>
      </c>
      <c r="F104" t="s">
        <v>22</v>
      </c>
      <c r="G104" t="s">
        <v>29</v>
      </c>
      <c r="H104" t="s">
        <v>17</v>
      </c>
      <c r="I104">
        <v>0</v>
      </c>
      <c r="J104" t="s">
        <v>30</v>
      </c>
      <c r="K104" t="s">
        <v>19</v>
      </c>
      <c r="L104" t="str" cm="1">
        <f t="array" ref="L104">_xlfn.IFS(bike_buyers[[#This Row],[Age]]&gt;= 70, "senior citizen", bike_buyers[[#This Row],[Age]]&gt;=55, "middle age",  bike_buyers[[#This Row],[Age]]&gt;=40,"mature adult ", bike_buyers[[#This Row],[Age]]&gt;=30, "adults", bike_buyers[[#This Row],[Age]]&gt;= 20, "young adults")</f>
        <v xml:space="preserve">mature adult </v>
      </c>
      <c r="M104">
        <v>49</v>
      </c>
      <c r="N104" t="s">
        <v>20</v>
      </c>
    </row>
    <row r="105" spans="1:14" x14ac:dyDescent="0.25">
      <c r="A105">
        <v>26139</v>
      </c>
      <c r="B105" t="s">
        <v>26</v>
      </c>
      <c r="C105" t="s">
        <v>21</v>
      </c>
      <c r="D105" s="1">
        <v>60000</v>
      </c>
      <c r="E105">
        <v>1</v>
      </c>
      <c r="F105" t="s">
        <v>22</v>
      </c>
      <c r="G105" t="s">
        <v>16</v>
      </c>
      <c r="H105" t="s">
        <v>17</v>
      </c>
      <c r="I105">
        <v>1</v>
      </c>
      <c r="J105" t="s">
        <v>27</v>
      </c>
      <c r="K105" t="s">
        <v>28</v>
      </c>
      <c r="L105" t="str" cm="1">
        <f t="array" ref="L105">_xlfn.IFS(bike_buyers[[#This Row],[Age]]&gt;= 70, "senior citizen", bike_buyers[[#This Row],[Age]]&gt;=55, "middle age",  bike_buyers[[#This Row],[Age]]&gt;=40,"mature adult ", bike_buyers[[#This Row],[Age]]&gt;=30, "adults", bike_buyers[[#This Row],[Age]]&gt;= 20, "young adults")</f>
        <v xml:space="preserve">mature adult </v>
      </c>
      <c r="M105">
        <v>45</v>
      </c>
      <c r="N105" t="s">
        <v>20</v>
      </c>
    </row>
    <row r="106" spans="1:14" x14ac:dyDescent="0.25">
      <c r="A106">
        <v>18491</v>
      </c>
      <c r="B106" t="s">
        <v>26</v>
      </c>
      <c r="C106" t="s">
        <v>14</v>
      </c>
      <c r="D106" s="1">
        <v>70000</v>
      </c>
      <c r="E106">
        <v>2</v>
      </c>
      <c r="F106" t="s">
        <v>31</v>
      </c>
      <c r="G106" t="s">
        <v>24</v>
      </c>
      <c r="H106" t="s">
        <v>17</v>
      </c>
      <c r="I106">
        <v>2</v>
      </c>
      <c r="J106" t="s">
        <v>27</v>
      </c>
      <c r="K106" t="s">
        <v>28</v>
      </c>
      <c r="L106" t="str" cm="1">
        <f t="array" ref="L106">_xlfn.IFS(bike_buyers[[#This Row],[Age]]&gt;= 70, "senior citizen", bike_buyers[[#This Row],[Age]]&gt;=55, "middle age",  bike_buyers[[#This Row],[Age]]&gt;=40,"mature adult ", bike_buyers[[#This Row],[Age]]&gt;=30, "adults", bike_buyers[[#This Row],[Age]]&gt;= 20, "young adults")</f>
        <v xml:space="preserve">mature adult </v>
      </c>
      <c r="M106">
        <v>49</v>
      </c>
      <c r="N106" t="s">
        <v>17</v>
      </c>
    </row>
    <row r="107" spans="1:14" x14ac:dyDescent="0.25">
      <c r="A107">
        <v>22707</v>
      </c>
      <c r="B107" t="s">
        <v>26</v>
      </c>
      <c r="C107" t="s">
        <v>14</v>
      </c>
      <c r="D107" s="1">
        <v>30000</v>
      </c>
      <c r="E107">
        <v>0</v>
      </c>
      <c r="F107" t="s">
        <v>22</v>
      </c>
      <c r="G107" t="s">
        <v>23</v>
      </c>
      <c r="H107" t="s">
        <v>20</v>
      </c>
      <c r="I107">
        <v>1</v>
      </c>
      <c r="J107" t="s">
        <v>25</v>
      </c>
      <c r="K107" t="s">
        <v>19</v>
      </c>
      <c r="L107" t="str" cm="1">
        <f t="array" ref="L107">_xlfn.IFS(bike_buyers[[#This Row],[Age]]&gt;= 70, "senior citizen", bike_buyers[[#This Row],[Age]]&gt;=55, "middle age",  bike_buyers[[#This Row],[Age]]&gt;=40,"mature adult ", bike_buyers[[#This Row],[Age]]&gt;=30, "adults", bike_buyers[[#This Row],[Age]]&gt;= 20, "young adults")</f>
        <v>adults</v>
      </c>
      <c r="M107">
        <v>30</v>
      </c>
      <c r="N107" t="s">
        <v>20</v>
      </c>
    </row>
    <row r="108" spans="1:14" x14ac:dyDescent="0.25">
      <c r="A108">
        <v>20430</v>
      </c>
      <c r="B108" t="s">
        <v>13</v>
      </c>
      <c r="C108" t="s">
        <v>21</v>
      </c>
      <c r="D108" s="1">
        <v>70000</v>
      </c>
      <c r="E108">
        <v>2</v>
      </c>
      <c r="F108" t="s">
        <v>22</v>
      </c>
      <c r="G108" t="s">
        <v>16</v>
      </c>
      <c r="H108" t="s">
        <v>17</v>
      </c>
      <c r="I108">
        <v>2</v>
      </c>
      <c r="J108" t="s">
        <v>27</v>
      </c>
      <c r="K108" t="s">
        <v>28</v>
      </c>
      <c r="L108" t="str" cm="1">
        <f t="array" ref="L108">_xlfn.IFS(bike_buyers[[#This Row],[Age]]&gt;= 70, "senior citizen", bike_buyers[[#This Row],[Age]]&gt;=55, "middle age",  bike_buyers[[#This Row],[Age]]&gt;=40,"mature adult ", bike_buyers[[#This Row],[Age]]&gt;=30, "adults", bike_buyers[[#This Row],[Age]]&gt;= 20, "young adults")</f>
        <v xml:space="preserve">mature adult </v>
      </c>
      <c r="M108">
        <v>52</v>
      </c>
      <c r="N108" t="s">
        <v>17</v>
      </c>
    </row>
    <row r="109" spans="1:14" x14ac:dyDescent="0.25">
      <c r="A109">
        <v>27494</v>
      </c>
      <c r="B109" t="s">
        <v>26</v>
      </c>
      <c r="C109" t="s">
        <v>14</v>
      </c>
      <c r="D109" s="1">
        <v>40000</v>
      </c>
      <c r="E109">
        <v>2</v>
      </c>
      <c r="F109" t="s">
        <v>22</v>
      </c>
      <c r="G109" t="s">
        <v>16</v>
      </c>
      <c r="H109" t="s">
        <v>20</v>
      </c>
      <c r="I109">
        <v>2</v>
      </c>
      <c r="J109" t="s">
        <v>30</v>
      </c>
      <c r="K109" t="s">
        <v>28</v>
      </c>
      <c r="L109" t="str" cm="1">
        <f t="array" ref="L109">_xlfn.IFS(bike_buyers[[#This Row],[Age]]&gt;= 70, "senior citizen", bike_buyers[[#This Row],[Age]]&gt;=55, "middle age",  bike_buyers[[#This Row],[Age]]&gt;=40,"mature adult ", bike_buyers[[#This Row],[Age]]&gt;=30, "adults", bike_buyers[[#This Row],[Age]]&gt;= 20, "young adults")</f>
        <v xml:space="preserve">mature adult </v>
      </c>
      <c r="M109">
        <v>53</v>
      </c>
      <c r="N109" t="s">
        <v>17</v>
      </c>
    </row>
    <row r="110" spans="1:14" x14ac:dyDescent="0.25">
      <c r="A110">
        <v>26829</v>
      </c>
      <c r="B110" t="s">
        <v>13</v>
      </c>
      <c r="C110" t="s">
        <v>14</v>
      </c>
      <c r="D110" s="1">
        <v>40000</v>
      </c>
      <c r="E110">
        <v>0</v>
      </c>
      <c r="F110" t="s">
        <v>15</v>
      </c>
      <c r="G110" t="s">
        <v>23</v>
      </c>
      <c r="H110" t="s">
        <v>17</v>
      </c>
      <c r="I110">
        <v>0</v>
      </c>
      <c r="J110" t="s">
        <v>18</v>
      </c>
      <c r="K110" t="s">
        <v>19</v>
      </c>
      <c r="L110" t="str" cm="1">
        <f t="array" ref="L110">_xlfn.IFS(bike_buyers[[#This Row],[Age]]&gt;= 70, "senior citizen", bike_buyers[[#This Row],[Age]]&gt;=55, "middle age",  bike_buyers[[#This Row],[Age]]&gt;=40,"mature adult ", bike_buyers[[#This Row],[Age]]&gt;=30, "adults", bike_buyers[[#This Row],[Age]]&gt;= 20, "young adults")</f>
        <v>adults</v>
      </c>
      <c r="M110">
        <v>38</v>
      </c>
      <c r="N110" t="s">
        <v>17</v>
      </c>
    </row>
    <row r="111" spans="1:14" x14ac:dyDescent="0.25">
      <c r="A111">
        <v>28395</v>
      </c>
      <c r="B111" t="s">
        <v>26</v>
      </c>
      <c r="C111" t="s">
        <v>21</v>
      </c>
      <c r="D111" s="1">
        <v>40000</v>
      </c>
      <c r="E111">
        <v>0</v>
      </c>
      <c r="F111" t="s">
        <v>15</v>
      </c>
      <c r="G111" t="s">
        <v>24</v>
      </c>
      <c r="H111" t="s">
        <v>20</v>
      </c>
      <c r="I111">
        <v>0</v>
      </c>
      <c r="J111" t="s">
        <v>18</v>
      </c>
      <c r="K111" t="s">
        <v>19</v>
      </c>
      <c r="L111" t="str" cm="1">
        <f t="array" ref="L111">_xlfn.IFS(bike_buyers[[#This Row],[Age]]&gt;= 70, "senior citizen", bike_buyers[[#This Row],[Age]]&gt;=55, "middle age",  bike_buyers[[#This Row],[Age]]&gt;=40,"mature adult ", bike_buyers[[#This Row],[Age]]&gt;=30, "adults", bike_buyers[[#This Row],[Age]]&gt;= 20, "young adults")</f>
        <v>adults</v>
      </c>
      <c r="M111">
        <v>39</v>
      </c>
      <c r="N111" t="s">
        <v>17</v>
      </c>
    </row>
    <row r="112" spans="1:14" x14ac:dyDescent="0.25">
      <c r="A112">
        <v>21006</v>
      </c>
      <c r="B112" t="s">
        <v>26</v>
      </c>
      <c r="C112" t="s">
        <v>14</v>
      </c>
      <c r="D112" s="1">
        <v>30000</v>
      </c>
      <c r="E112">
        <v>1</v>
      </c>
      <c r="F112" t="s">
        <v>22</v>
      </c>
      <c r="G112" t="s">
        <v>29</v>
      </c>
      <c r="H112" t="s">
        <v>20</v>
      </c>
      <c r="I112">
        <v>0</v>
      </c>
      <c r="J112" t="s">
        <v>18</v>
      </c>
      <c r="K112" t="s">
        <v>19</v>
      </c>
      <c r="L112" t="str" cm="1">
        <f t="array" ref="L112">_xlfn.IFS(bike_buyers[[#This Row],[Age]]&gt;= 70, "senior citizen", bike_buyers[[#This Row],[Age]]&gt;=55, "middle age",  bike_buyers[[#This Row],[Age]]&gt;=40,"mature adult ", bike_buyers[[#This Row],[Age]]&gt;=30, "adults", bike_buyers[[#This Row],[Age]]&gt;= 20, "young adults")</f>
        <v xml:space="preserve">mature adult </v>
      </c>
      <c r="M112">
        <v>46</v>
      </c>
      <c r="N112" t="s">
        <v>17</v>
      </c>
    </row>
    <row r="113" spans="1:14" x14ac:dyDescent="0.25">
      <c r="A113">
        <v>14682</v>
      </c>
      <c r="B113" t="s">
        <v>26</v>
      </c>
      <c r="C113" t="s">
        <v>14</v>
      </c>
      <c r="D113" s="1">
        <v>70000</v>
      </c>
      <c r="E113">
        <v>0</v>
      </c>
      <c r="F113" t="s">
        <v>15</v>
      </c>
      <c r="G113" t="s">
        <v>24</v>
      </c>
      <c r="H113" t="s">
        <v>20</v>
      </c>
      <c r="I113">
        <v>1</v>
      </c>
      <c r="J113" t="s">
        <v>27</v>
      </c>
      <c r="K113" t="s">
        <v>28</v>
      </c>
      <c r="L113" t="str" cm="1">
        <f t="array" ref="L113">_xlfn.IFS(bike_buyers[[#This Row],[Age]]&gt;= 70, "senior citizen", bike_buyers[[#This Row],[Age]]&gt;=55, "middle age",  bike_buyers[[#This Row],[Age]]&gt;=40,"mature adult ", bike_buyers[[#This Row],[Age]]&gt;=30, "adults", bike_buyers[[#This Row],[Age]]&gt;= 20, "young adults")</f>
        <v>adults</v>
      </c>
      <c r="M113">
        <v>38</v>
      </c>
      <c r="N113" t="s">
        <v>20</v>
      </c>
    </row>
    <row r="114" spans="1:14" x14ac:dyDescent="0.25">
      <c r="A114">
        <v>17650</v>
      </c>
      <c r="B114" t="s">
        <v>26</v>
      </c>
      <c r="C114" t="s">
        <v>14</v>
      </c>
      <c r="D114" s="1">
        <v>40000</v>
      </c>
      <c r="E114">
        <v>2</v>
      </c>
      <c r="F114" t="s">
        <v>22</v>
      </c>
      <c r="G114" t="s">
        <v>23</v>
      </c>
      <c r="H114" t="s">
        <v>17</v>
      </c>
      <c r="I114">
        <v>2</v>
      </c>
      <c r="J114" t="s">
        <v>30</v>
      </c>
      <c r="K114" t="s">
        <v>19</v>
      </c>
      <c r="L114" t="str" cm="1">
        <f t="array" ref="L114">_xlfn.IFS(bike_buyers[[#This Row],[Age]]&gt;= 70, "senior citizen", bike_buyers[[#This Row],[Age]]&gt;=55, "middle age",  bike_buyers[[#This Row],[Age]]&gt;=40,"mature adult ", bike_buyers[[#This Row],[Age]]&gt;=30, "adults", bike_buyers[[#This Row],[Age]]&gt;= 20, "young adults")</f>
        <v>adults</v>
      </c>
      <c r="M114">
        <v>35</v>
      </c>
      <c r="N114" t="s">
        <v>20</v>
      </c>
    </row>
    <row r="115" spans="1:14" x14ac:dyDescent="0.25">
      <c r="A115">
        <v>29191</v>
      </c>
      <c r="B115" t="s">
        <v>26</v>
      </c>
      <c r="C115" t="s">
        <v>14</v>
      </c>
      <c r="D115" s="1">
        <v>130000</v>
      </c>
      <c r="E115">
        <v>1</v>
      </c>
      <c r="F115" t="s">
        <v>34</v>
      </c>
      <c r="G115" t="s">
        <v>32</v>
      </c>
      <c r="H115" t="s">
        <v>20</v>
      </c>
      <c r="I115">
        <v>1</v>
      </c>
      <c r="J115" t="s">
        <v>18</v>
      </c>
      <c r="K115" t="s">
        <v>28</v>
      </c>
      <c r="L115" t="str" cm="1">
        <f t="array" ref="L115">_xlfn.IFS(bike_buyers[[#This Row],[Age]]&gt;= 70, "senior citizen", bike_buyers[[#This Row],[Age]]&gt;=55, "middle age",  bike_buyers[[#This Row],[Age]]&gt;=40,"mature adult ", bike_buyers[[#This Row],[Age]]&gt;=30, "adults", bike_buyers[[#This Row],[Age]]&gt;= 20, "young adults")</f>
        <v>adults</v>
      </c>
      <c r="M115">
        <v>36</v>
      </c>
      <c r="N115" t="s">
        <v>17</v>
      </c>
    </row>
    <row r="116" spans="1:14" x14ac:dyDescent="0.25">
      <c r="A116">
        <v>15030</v>
      </c>
      <c r="B116" t="s">
        <v>13</v>
      </c>
      <c r="C116" t="s">
        <v>21</v>
      </c>
      <c r="D116" s="1">
        <v>20000</v>
      </c>
      <c r="E116">
        <v>0</v>
      </c>
      <c r="F116" t="s">
        <v>15</v>
      </c>
      <c r="G116" t="s">
        <v>23</v>
      </c>
      <c r="H116" t="s">
        <v>17</v>
      </c>
      <c r="I116">
        <v>0</v>
      </c>
      <c r="J116" t="s">
        <v>18</v>
      </c>
      <c r="K116" t="s">
        <v>28</v>
      </c>
      <c r="L116" t="str" cm="1">
        <f t="array" ref="L116">_xlfn.IFS(bike_buyers[[#This Row],[Age]]&gt;= 70, "senior citizen", bike_buyers[[#This Row],[Age]]&gt;=55, "middle age",  bike_buyers[[#This Row],[Age]]&gt;=40,"mature adult ", bike_buyers[[#This Row],[Age]]&gt;=30, "adults", bike_buyers[[#This Row],[Age]]&gt;= 20, "young adults")</f>
        <v>young adults</v>
      </c>
      <c r="M116">
        <v>26</v>
      </c>
      <c r="N116" t="s">
        <v>17</v>
      </c>
    </row>
    <row r="117" spans="1:14" x14ac:dyDescent="0.25">
      <c r="A117">
        <v>24140</v>
      </c>
      <c r="B117" t="s">
        <v>26</v>
      </c>
      <c r="C117" t="s">
        <v>21</v>
      </c>
      <c r="D117" s="1">
        <v>10000</v>
      </c>
      <c r="E117">
        <v>0</v>
      </c>
      <c r="F117" t="s">
        <v>34</v>
      </c>
      <c r="G117" t="s">
        <v>29</v>
      </c>
      <c r="H117" t="s">
        <v>20</v>
      </c>
      <c r="I117">
        <v>0</v>
      </c>
      <c r="J117" t="s">
        <v>18</v>
      </c>
      <c r="K117" t="s">
        <v>19</v>
      </c>
      <c r="L117" t="str" cm="1">
        <f t="array" ref="L117">_xlfn.IFS(bike_buyers[[#This Row],[Age]]&gt;= 70, "senior citizen", bike_buyers[[#This Row],[Age]]&gt;=55, "middle age",  bike_buyers[[#This Row],[Age]]&gt;=40,"mature adult ", bike_buyers[[#This Row],[Age]]&gt;=30, "adults", bike_buyers[[#This Row],[Age]]&gt;= 20, "young adults")</f>
        <v>adults</v>
      </c>
      <c r="M117">
        <v>30</v>
      </c>
      <c r="N117" t="s">
        <v>17</v>
      </c>
    </row>
    <row r="118" spans="1:14" x14ac:dyDescent="0.25">
      <c r="A118">
        <v>22496</v>
      </c>
      <c r="B118" t="s">
        <v>13</v>
      </c>
      <c r="C118" t="s">
        <v>14</v>
      </c>
      <c r="D118" s="1">
        <v>30000</v>
      </c>
      <c r="E118">
        <v>1</v>
      </c>
      <c r="F118" t="s">
        <v>15</v>
      </c>
      <c r="G118" t="s">
        <v>16</v>
      </c>
      <c r="H118" t="s">
        <v>17</v>
      </c>
      <c r="I118">
        <v>2</v>
      </c>
      <c r="J118" t="s">
        <v>18</v>
      </c>
      <c r="K118" t="s">
        <v>19</v>
      </c>
      <c r="L118" t="str" cm="1">
        <f t="array" ref="L118">_xlfn.IFS(bike_buyers[[#This Row],[Age]]&gt;= 70, "senior citizen", bike_buyers[[#This Row],[Age]]&gt;=55, "middle age",  bike_buyers[[#This Row],[Age]]&gt;=40,"mature adult ", bike_buyers[[#This Row],[Age]]&gt;=30, "adults", bike_buyers[[#This Row],[Age]]&gt;= 20, "young adults")</f>
        <v xml:space="preserve">mature adult </v>
      </c>
      <c r="M118">
        <v>42</v>
      </c>
      <c r="N118" t="s">
        <v>20</v>
      </c>
    </row>
    <row r="119" spans="1:14" x14ac:dyDescent="0.25">
      <c r="A119">
        <v>24065</v>
      </c>
      <c r="B119" t="s">
        <v>26</v>
      </c>
      <c r="C119" t="s">
        <v>14</v>
      </c>
      <c r="D119" s="1">
        <v>20000</v>
      </c>
      <c r="E119">
        <v>0</v>
      </c>
      <c r="F119" t="s">
        <v>31</v>
      </c>
      <c r="G119" t="s">
        <v>29</v>
      </c>
      <c r="H119" t="s">
        <v>17</v>
      </c>
      <c r="I119">
        <v>0</v>
      </c>
      <c r="J119" t="s">
        <v>18</v>
      </c>
      <c r="K119" t="s">
        <v>19</v>
      </c>
      <c r="L119" t="str" cm="1">
        <f t="array" ref="L119">_xlfn.IFS(bike_buyers[[#This Row],[Age]]&gt;= 70, "senior citizen", bike_buyers[[#This Row],[Age]]&gt;=55, "middle age",  bike_buyers[[#This Row],[Age]]&gt;=40,"mature adult ", bike_buyers[[#This Row],[Age]]&gt;=30, "adults", bike_buyers[[#This Row],[Age]]&gt;= 20, "young adults")</f>
        <v xml:space="preserve">mature adult </v>
      </c>
      <c r="M119">
        <v>40</v>
      </c>
      <c r="N119" t="s">
        <v>17</v>
      </c>
    </row>
    <row r="120" spans="1:14" x14ac:dyDescent="0.25">
      <c r="A120">
        <v>19914</v>
      </c>
      <c r="B120" t="s">
        <v>13</v>
      </c>
      <c r="C120" t="s">
        <v>21</v>
      </c>
      <c r="D120" s="1">
        <v>80000</v>
      </c>
      <c r="E120">
        <v>5</v>
      </c>
      <c r="F120" t="s">
        <v>15</v>
      </c>
      <c r="G120" t="s">
        <v>32</v>
      </c>
      <c r="H120" t="s">
        <v>17</v>
      </c>
      <c r="I120">
        <v>2</v>
      </c>
      <c r="J120" t="s">
        <v>25</v>
      </c>
      <c r="K120" t="s">
        <v>19</v>
      </c>
      <c r="L120" t="str" cm="1">
        <f t="array" ref="L120">_xlfn.IFS(bike_buyers[[#This Row],[Age]]&gt;= 70, "senior citizen", bike_buyers[[#This Row],[Age]]&gt;=55, "middle age",  bike_buyers[[#This Row],[Age]]&gt;=40,"mature adult ", bike_buyers[[#This Row],[Age]]&gt;=30, "adults", bike_buyers[[#This Row],[Age]]&gt;= 20, "young adults")</f>
        <v>middle age</v>
      </c>
      <c r="M120">
        <v>62</v>
      </c>
      <c r="N120" t="s">
        <v>20</v>
      </c>
    </row>
    <row r="121" spans="1:14" x14ac:dyDescent="0.25">
      <c r="A121">
        <v>12871</v>
      </c>
      <c r="B121" t="s">
        <v>26</v>
      </c>
      <c r="C121" t="s">
        <v>14</v>
      </c>
      <c r="D121" s="1">
        <v>30000</v>
      </c>
      <c r="E121">
        <v>0</v>
      </c>
      <c r="F121" t="s">
        <v>22</v>
      </c>
      <c r="G121" t="s">
        <v>23</v>
      </c>
      <c r="H121" t="s">
        <v>20</v>
      </c>
      <c r="I121">
        <v>1</v>
      </c>
      <c r="J121" t="s">
        <v>25</v>
      </c>
      <c r="K121" t="s">
        <v>19</v>
      </c>
      <c r="L121" t="str" cm="1">
        <f t="array" ref="L121">_xlfn.IFS(bike_buyers[[#This Row],[Age]]&gt;= 70, "senior citizen", bike_buyers[[#This Row],[Age]]&gt;=55, "middle age",  bike_buyers[[#This Row],[Age]]&gt;=40,"mature adult ", bike_buyers[[#This Row],[Age]]&gt;=30, "adults", bike_buyers[[#This Row],[Age]]&gt;= 20, "young adults")</f>
        <v>young adults</v>
      </c>
      <c r="M121">
        <v>29</v>
      </c>
      <c r="N121" t="s">
        <v>20</v>
      </c>
    </row>
    <row r="122" spans="1:14" x14ac:dyDescent="0.25">
      <c r="A122">
        <v>22988</v>
      </c>
      <c r="B122" t="s">
        <v>13</v>
      </c>
      <c r="C122" t="s">
        <v>14</v>
      </c>
      <c r="D122" s="1">
        <v>40000</v>
      </c>
      <c r="E122">
        <v>2</v>
      </c>
      <c r="F122" t="s">
        <v>15</v>
      </c>
      <c r="G122" t="s">
        <v>32</v>
      </c>
      <c r="H122" t="s">
        <v>17</v>
      </c>
      <c r="I122">
        <v>2</v>
      </c>
      <c r="J122" t="s">
        <v>27</v>
      </c>
      <c r="K122" t="s">
        <v>28</v>
      </c>
      <c r="L122" t="str" cm="1">
        <f t="array" ref="L122">_xlfn.IFS(bike_buyers[[#This Row],[Age]]&gt;= 70, "senior citizen", bike_buyers[[#This Row],[Age]]&gt;=55, "middle age",  bike_buyers[[#This Row],[Age]]&gt;=40,"mature adult ", bike_buyers[[#This Row],[Age]]&gt;=30, "adults", bike_buyers[[#This Row],[Age]]&gt;= 20, "young adults")</f>
        <v>middle age</v>
      </c>
      <c r="M122">
        <v>66</v>
      </c>
      <c r="N122" t="s">
        <v>17</v>
      </c>
    </row>
    <row r="123" spans="1:14" x14ac:dyDescent="0.25">
      <c r="A123">
        <v>15922</v>
      </c>
      <c r="B123" t="s">
        <v>13</v>
      </c>
      <c r="C123" t="s">
        <v>21</v>
      </c>
      <c r="D123" s="1">
        <v>150000</v>
      </c>
      <c r="E123">
        <v>2</v>
      </c>
      <c r="F123" t="s">
        <v>31</v>
      </c>
      <c r="G123" t="s">
        <v>24</v>
      </c>
      <c r="H123" t="s">
        <v>17</v>
      </c>
      <c r="I123">
        <v>4</v>
      </c>
      <c r="J123" t="s">
        <v>18</v>
      </c>
      <c r="K123" t="s">
        <v>19</v>
      </c>
      <c r="L123" t="str" cm="1">
        <f t="array" ref="L123">_xlfn.IFS(bike_buyers[[#This Row],[Age]]&gt;= 70, "senior citizen", bike_buyers[[#This Row],[Age]]&gt;=55, "middle age",  bike_buyers[[#This Row],[Age]]&gt;=40,"mature adult ", bike_buyers[[#This Row],[Age]]&gt;=30, "adults", bike_buyers[[#This Row],[Age]]&gt;= 20, "young adults")</f>
        <v xml:space="preserve">mature adult </v>
      </c>
      <c r="M123">
        <v>48</v>
      </c>
      <c r="N123" t="s">
        <v>20</v>
      </c>
    </row>
    <row r="124" spans="1:14" x14ac:dyDescent="0.25">
      <c r="A124">
        <v>12344</v>
      </c>
      <c r="B124" t="s">
        <v>26</v>
      </c>
      <c r="C124" t="s">
        <v>14</v>
      </c>
      <c r="D124" s="1">
        <v>80000</v>
      </c>
      <c r="E124">
        <v>0</v>
      </c>
      <c r="F124" t="s">
        <v>15</v>
      </c>
      <c r="G124" t="s">
        <v>24</v>
      </c>
      <c r="H124" t="s">
        <v>20</v>
      </c>
      <c r="I124">
        <v>3</v>
      </c>
      <c r="J124" t="s">
        <v>41</v>
      </c>
      <c r="K124" t="s">
        <v>28</v>
      </c>
      <c r="L124" t="str" cm="1">
        <f t="array" ref="L124">_xlfn.IFS(bike_buyers[[#This Row],[Age]]&gt;= 70, "senior citizen", bike_buyers[[#This Row],[Age]]&gt;=55, "middle age",  bike_buyers[[#This Row],[Age]]&gt;=40,"mature adult ", bike_buyers[[#This Row],[Age]]&gt;=30, "adults", bike_buyers[[#This Row],[Age]]&gt;= 20, "young adults")</f>
        <v>adults</v>
      </c>
      <c r="M124">
        <v>31</v>
      </c>
      <c r="N124" t="s">
        <v>20</v>
      </c>
    </row>
    <row r="125" spans="1:14" x14ac:dyDescent="0.25">
      <c r="A125">
        <v>23627</v>
      </c>
      <c r="B125" t="s">
        <v>26</v>
      </c>
      <c r="C125" t="s">
        <v>14</v>
      </c>
      <c r="D125" s="1">
        <v>100000</v>
      </c>
      <c r="E125">
        <v>3</v>
      </c>
      <c r="F125" t="s">
        <v>22</v>
      </c>
      <c r="G125" t="s">
        <v>32</v>
      </c>
      <c r="H125" t="s">
        <v>20</v>
      </c>
      <c r="I125">
        <v>4</v>
      </c>
      <c r="J125" t="s">
        <v>27</v>
      </c>
      <c r="K125" t="s">
        <v>19</v>
      </c>
      <c r="L125" t="str" cm="1">
        <f t="array" ref="L125">_xlfn.IFS(bike_buyers[[#This Row],[Age]]&gt;= 70, "senior citizen", bike_buyers[[#This Row],[Age]]&gt;=55, "middle age",  bike_buyers[[#This Row],[Age]]&gt;=40,"mature adult ", bike_buyers[[#This Row],[Age]]&gt;=30, "adults", bike_buyers[[#This Row],[Age]]&gt;= 20, "young adults")</f>
        <v>middle age</v>
      </c>
      <c r="M125">
        <v>56</v>
      </c>
      <c r="N125" t="s">
        <v>20</v>
      </c>
    </row>
    <row r="126" spans="1:14" x14ac:dyDescent="0.25">
      <c r="A126">
        <v>27775</v>
      </c>
      <c r="B126" t="s">
        <v>26</v>
      </c>
      <c r="C126" t="s">
        <v>14</v>
      </c>
      <c r="D126" s="1">
        <v>40000</v>
      </c>
      <c r="E126">
        <v>0</v>
      </c>
      <c r="F126" t="s">
        <v>15</v>
      </c>
      <c r="G126" t="s">
        <v>23</v>
      </c>
      <c r="H126" t="s">
        <v>20</v>
      </c>
      <c r="I126">
        <v>0</v>
      </c>
      <c r="J126" t="s">
        <v>18</v>
      </c>
      <c r="K126" t="s">
        <v>19</v>
      </c>
      <c r="L126" t="str" cm="1">
        <f t="array" ref="L126">_xlfn.IFS(bike_buyers[[#This Row],[Age]]&gt;= 70, "senior citizen", bike_buyers[[#This Row],[Age]]&gt;=55, "middle age",  bike_buyers[[#This Row],[Age]]&gt;=40,"mature adult ", bike_buyers[[#This Row],[Age]]&gt;=30, "adults", bike_buyers[[#This Row],[Age]]&gt;= 20, "young adults")</f>
        <v>adults</v>
      </c>
      <c r="M126">
        <v>38</v>
      </c>
      <c r="N126" t="s">
        <v>17</v>
      </c>
    </row>
    <row r="127" spans="1:14" x14ac:dyDescent="0.25">
      <c r="A127">
        <v>29301</v>
      </c>
      <c r="B127" t="s">
        <v>13</v>
      </c>
      <c r="C127" t="s">
        <v>21</v>
      </c>
      <c r="D127" s="1">
        <v>80000</v>
      </c>
      <c r="E127">
        <v>5</v>
      </c>
      <c r="F127" t="s">
        <v>15</v>
      </c>
      <c r="G127" t="s">
        <v>24</v>
      </c>
      <c r="H127" t="s">
        <v>17</v>
      </c>
      <c r="I127">
        <v>4</v>
      </c>
      <c r="J127" t="s">
        <v>30</v>
      </c>
      <c r="K127" t="s">
        <v>28</v>
      </c>
      <c r="L127" t="str" cm="1">
        <f t="array" ref="L127">_xlfn.IFS(bike_buyers[[#This Row],[Age]]&gt;= 70, "senior citizen", bike_buyers[[#This Row],[Age]]&gt;=55, "middle age",  bike_buyers[[#This Row],[Age]]&gt;=40,"mature adult ", bike_buyers[[#This Row],[Age]]&gt;=30, "adults", bike_buyers[[#This Row],[Age]]&gt;= 20, "young adults")</f>
        <v xml:space="preserve">mature adult </v>
      </c>
      <c r="M127">
        <v>40</v>
      </c>
      <c r="N127" t="s">
        <v>20</v>
      </c>
    </row>
    <row r="128" spans="1:14" x14ac:dyDescent="0.25">
      <c r="A128">
        <v>12716</v>
      </c>
      <c r="B128" t="s">
        <v>26</v>
      </c>
      <c r="C128" t="s">
        <v>21</v>
      </c>
      <c r="D128" s="1">
        <v>30000</v>
      </c>
      <c r="E128">
        <v>0</v>
      </c>
      <c r="F128" t="s">
        <v>22</v>
      </c>
      <c r="G128" t="s">
        <v>23</v>
      </c>
      <c r="H128" t="s">
        <v>17</v>
      </c>
      <c r="I128">
        <v>1</v>
      </c>
      <c r="J128" t="s">
        <v>25</v>
      </c>
      <c r="K128" t="s">
        <v>19</v>
      </c>
      <c r="L128" t="str" cm="1">
        <f t="array" ref="L128">_xlfn.IFS(bike_buyers[[#This Row],[Age]]&gt;= 70, "senior citizen", bike_buyers[[#This Row],[Age]]&gt;=55, "middle age",  bike_buyers[[#This Row],[Age]]&gt;=40,"mature adult ", bike_buyers[[#This Row],[Age]]&gt;=30, "adults", bike_buyers[[#This Row],[Age]]&gt;= 20, "young adults")</f>
        <v>adults</v>
      </c>
      <c r="M128">
        <v>32</v>
      </c>
      <c r="N128" t="s">
        <v>20</v>
      </c>
    </row>
    <row r="129" spans="1:14" x14ac:dyDescent="0.25">
      <c r="A129">
        <v>12472</v>
      </c>
      <c r="B129" t="s">
        <v>13</v>
      </c>
      <c r="C129" t="s">
        <v>21</v>
      </c>
      <c r="D129" s="1">
        <v>30000</v>
      </c>
      <c r="E129">
        <v>1</v>
      </c>
      <c r="F129" t="s">
        <v>15</v>
      </c>
      <c r="G129" t="s">
        <v>23</v>
      </c>
      <c r="H129" t="s">
        <v>17</v>
      </c>
      <c r="I129">
        <v>1</v>
      </c>
      <c r="J129" t="s">
        <v>25</v>
      </c>
      <c r="K129" t="s">
        <v>19</v>
      </c>
      <c r="L129" t="str" cm="1">
        <f t="array" ref="L129">_xlfn.IFS(bike_buyers[[#This Row],[Age]]&gt;= 70, "senior citizen", bike_buyers[[#This Row],[Age]]&gt;=55, "middle age",  bike_buyers[[#This Row],[Age]]&gt;=40,"mature adult ", bike_buyers[[#This Row],[Age]]&gt;=30, "adults", bike_buyers[[#This Row],[Age]]&gt;= 20, "young adults")</f>
        <v>adults</v>
      </c>
      <c r="M129">
        <v>39</v>
      </c>
      <c r="N129" t="s">
        <v>20</v>
      </c>
    </row>
    <row r="130" spans="1:14" x14ac:dyDescent="0.25">
      <c r="A130">
        <v>20970</v>
      </c>
      <c r="B130" t="s">
        <v>26</v>
      </c>
      <c r="C130" t="s">
        <v>21</v>
      </c>
      <c r="D130" s="1">
        <v>10000</v>
      </c>
      <c r="E130">
        <v>2</v>
      </c>
      <c r="F130" t="s">
        <v>22</v>
      </c>
      <c r="G130" t="s">
        <v>29</v>
      </c>
      <c r="H130" t="s">
        <v>17</v>
      </c>
      <c r="I130">
        <v>1</v>
      </c>
      <c r="J130" t="s">
        <v>18</v>
      </c>
      <c r="K130" t="s">
        <v>19</v>
      </c>
      <c r="L130" t="str" cm="1">
        <f t="array" ref="L130">_xlfn.IFS(bike_buyers[[#This Row],[Age]]&gt;= 70, "senior citizen", bike_buyers[[#This Row],[Age]]&gt;=55, "middle age",  bike_buyers[[#This Row],[Age]]&gt;=40,"mature adult ", bike_buyers[[#This Row],[Age]]&gt;=30, "adults", bike_buyers[[#This Row],[Age]]&gt;= 20, "young adults")</f>
        <v xml:space="preserve">mature adult </v>
      </c>
      <c r="M130">
        <v>52</v>
      </c>
      <c r="N130" t="s">
        <v>17</v>
      </c>
    </row>
    <row r="131" spans="1:14" x14ac:dyDescent="0.25">
      <c r="A131">
        <v>26818</v>
      </c>
      <c r="B131" t="s">
        <v>26</v>
      </c>
      <c r="C131" t="s">
        <v>21</v>
      </c>
      <c r="D131" s="1">
        <v>10000</v>
      </c>
      <c r="E131">
        <v>3</v>
      </c>
      <c r="F131" t="s">
        <v>31</v>
      </c>
      <c r="G131" t="s">
        <v>29</v>
      </c>
      <c r="H131" t="s">
        <v>17</v>
      </c>
      <c r="I131">
        <v>1</v>
      </c>
      <c r="J131" t="s">
        <v>18</v>
      </c>
      <c r="K131" t="s">
        <v>19</v>
      </c>
      <c r="L131" t="str" cm="1">
        <f t="array" ref="L131">_xlfn.IFS(bike_buyers[[#This Row],[Age]]&gt;= 70, "senior citizen", bike_buyers[[#This Row],[Age]]&gt;=55, "middle age",  bike_buyers[[#This Row],[Age]]&gt;=40,"mature adult ", bike_buyers[[#This Row],[Age]]&gt;=30, "adults", bike_buyers[[#This Row],[Age]]&gt;= 20, "young adults")</f>
        <v>adults</v>
      </c>
      <c r="M131">
        <v>39</v>
      </c>
      <c r="N131" t="s">
        <v>17</v>
      </c>
    </row>
    <row r="132" spans="1:14" x14ac:dyDescent="0.25">
      <c r="A132">
        <v>12993</v>
      </c>
      <c r="B132" t="s">
        <v>13</v>
      </c>
      <c r="C132" t="s">
        <v>21</v>
      </c>
      <c r="D132" s="1">
        <v>60000</v>
      </c>
      <c r="E132">
        <v>2</v>
      </c>
      <c r="F132" t="s">
        <v>15</v>
      </c>
      <c r="G132" t="s">
        <v>24</v>
      </c>
      <c r="H132" t="s">
        <v>17</v>
      </c>
      <c r="I132">
        <v>1</v>
      </c>
      <c r="J132" t="s">
        <v>25</v>
      </c>
      <c r="K132" t="s">
        <v>28</v>
      </c>
      <c r="L132" t="str" cm="1">
        <f t="array" ref="L132">_xlfn.IFS(bike_buyers[[#This Row],[Age]]&gt;= 70, "senior citizen", bike_buyers[[#This Row],[Age]]&gt;=55, "middle age",  bike_buyers[[#This Row],[Age]]&gt;=40,"mature adult ", bike_buyers[[#This Row],[Age]]&gt;=30, "adults", bike_buyers[[#This Row],[Age]]&gt;= 20, "young adults")</f>
        <v>adults</v>
      </c>
      <c r="M132">
        <v>37</v>
      </c>
      <c r="N132" t="s">
        <v>20</v>
      </c>
    </row>
    <row r="133" spans="1:14" x14ac:dyDescent="0.25">
      <c r="A133">
        <v>14192</v>
      </c>
      <c r="B133" t="s">
        <v>13</v>
      </c>
      <c r="C133" t="s">
        <v>21</v>
      </c>
      <c r="D133" s="1">
        <v>90000</v>
      </c>
      <c r="E133">
        <v>4</v>
      </c>
      <c r="F133" t="s">
        <v>31</v>
      </c>
      <c r="G133" t="s">
        <v>32</v>
      </c>
      <c r="H133" t="s">
        <v>17</v>
      </c>
      <c r="I133">
        <v>3</v>
      </c>
      <c r="J133" t="s">
        <v>27</v>
      </c>
      <c r="K133" t="s">
        <v>19</v>
      </c>
      <c r="L133" t="str" cm="1">
        <f t="array" ref="L133">_xlfn.IFS(bike_buyers[[#This Row],[Age]]&gt;= 70, "senior citizen", bike_buyers[[#This Row],[Age]]&gt;=55, "middle age",  bike_buyers[[#This Row],[Age]]&gt;=40,"mature adult ", bike_buyers[[#This Row],[Age]]&gt;=30, "adults", bike_buyers[[#This Row],[Age]]&gt;= 20, "young adults")</f>
        <v>middle age</v>
      </c>
      <c r="M133">
        <v>56</v>
      </c>
      <c r="N133" t="s">
        <v>17</v>
      </c>
    </row>
    <row r="134" spans="1:14" x14ac:dyDescent="0.25">
      <c r="A134">
        <v>19477</v>
      </c>
      <c r="B134" t="s">
        <v>13</v>
      </c>
      <c r="C134" t="s">
        <v>21</v>
      </c>
      <c r="D134" s="1">
        <v>40000</v>
      </c>
      <c r="E134">
        <v>0</v>
      </c>
      <c r="F134" t="s">
        <v>15</v>
      </c>
      <c r="G134" t="s">
        <v>24</v>
      </c>
      <c r="H134" t="s">
        <v>17</v>
      </c>
      <c r="I134">
        <v>0</v>
      </c>
      <c r="J134" t="s">
        <v>18</v>
      </c>
      <c r="K134" t="s">
        <v>19</v>
      </c>
      <c r="L134" t="str" cm="1">
        <f t="array" ref="L134">_xlfn.IFS(bike_buyers[[#This Row],[Age]]&gt;= 70, "senior citizen", bike_buyers[[#This Row],[Age]]&gt;=55, "middle age",  bike_buyers[[#This Row],[Age]]&gt;=40,"mature adult ", bike_buyers[[#This Row],[Age]]&gt;=30, "adults", bike_buyers[[#This Row],[Age]]&gt;= 20, "young adults")</f>
        <v xml:space="preserve">mature adult </v>
      </c>
      <c r="M134">
        <v>40</v>
      </c>
      <c r="N134" t="s">
        <v>17</v>
      </c>
    </row>
    <row r="135" spans="1:14" x14ac:dyDescent="0.25">
      <c r="A135">
        <v>26796</v>
      </c>
      <c r="B135" t="s">
        <v>26</v>
      </c>
      <c r="C135" t="s">
        <v>21</v>
      </c>
      <c r="D135" s="1">
        <v>40000</v>
      </c>
      <c r="E135">
        <v>2</v>
      </c>
      <c r="F135" t="s">
        <v>15</v>
      </c>
      <c r="G135" t="s">
        <v>32</v>
      </c>
      <c r="H135" t="s">
        <v>17</v>
      </c>
      <c r="I135">
        <v>2</v>
      </c>
      <c r="J135" t="s">
        <v>27</v>
      </c>
      <c r="K135" t="s">
        <v>28</v>
      </c>
      <c r="L135" t="str" cm="1">
        <f t="array" ref="L135">_xlfn.IFS(bike_buyers[[#This Row],[Age]]&gt;= 70, "senior citizen", bike_buyers[[#This Row],[Age]]&gt;=55, "middle age",  bike_buyers[[#This Row],[Age]]&gt;=40,"mature adult ", bike_buyers[[#This Row],[Age]]&gt;=30, "adults", bike_buyers[[#This Row],[Age]]&gt;= 20, "young adults")</f>
        <v>middle age</v>
      </c>
      <c r="M135">
        <v>65</v>
      </c>
      <c r="N135" t="s">
        <v>17</v>
      </c>
    </row>
    <row r="136" spans="1:14" x14ac:dyDescent="0.25">
      <c r="A136">
        <v>21094</v>
      </c>
      <c r="B136" t="s">
        <v>26</v>
      </c>
      <c r="C136" t="s">
        <v>14</v>
      </c>
      <c r="D136" s="1">
        <v>30000</v>
      </c>
      <c r="E136">
        <v>2</v>
      </c>
      <c r="F136" t="s">
        <v>22</v>
      </c>
      <c r="G136" t="s">
        <v>23</v>
      </c>
      <c r="H136" t="s">
        <v>17</v>
      </c>
      <c r="I136">
        <v>2</v>
      </c>
      <c r="J136" t="s">
        <v>18</v>
      </c>
      <c r="K136" t="s">
        <v>19</v>
      </c>
      <c r="L136" t="str" cm="1">
        <f t="array" ref="L136">_xlfn.IFS(bike_buyers[[#This Row],[Age]]&gt;= 70, "senior citizen", bike_buyers[[#This Row],[Age]]&gt;=55, "middle age",  bike_buyers[[#This Row],[Age]]&gt;=40,"mature adult ", bike_buyers[[#This Row],[Age]]&gt;=30, "adults", bike_buyers[[#This Row],[Age]]&gt;= 20, "young adults")</f>
        <v xml:space="preserve">mature adult </v>
      </c>
      <c r="M136">
        <v>42</v>
      </c>
      <c r="N136" t="s">
        <v>20</v>
      </c>
    </row>
    <row r="137" spans="1:14" x14ac:dyDescent="0.25">
      <c r="A137">
        <v>12234</v>
      </c>
      <c r="B137" t="s">
        <v>13</v>
      </c>
      <c r="C137" t="s">
        <v>21</v>
      </c>
      <c r="D137" s="1">
        <v>10000</v>
      </c>
      <c r="E137">
        <v>2</v>
      </c>
      <c r="F137" t="s">
        <v>22</v>
      </c>
      <c r="G137" t="s">
        <v>29</v>
      </c>
      <c r="H137" t="s">
        <v>17</v>
      </c>
      <c r="I137">
        <v>1</v>
      </c>
      <c r="J137" t="s">
        <v>25</v>
      </c>
      <c r="K137" t="s">
        <v>19</v>
      </c>
      <c r="L137" t="str" cm="1">
        <f t="array" ref="L137">_xlfn.IFS(bike_buyers[[#This Row],[Age]]&gt;= 70, "senior citizen", bike_buyers[[#This Row],[Age]]&gt;=55, "middle age",  bike_buyers[[#This Row],[Age]]&gt;=40,"mature adult ", bike_buyers[[#This Row],[Age]]&gt;=30, "adults", bike_buyers[[#This Row],[Age]]&gt;= 20, "young adults")</f>
        <v xml:space="preserve">mature adult </v>
      </c>
      <c r="M137">
        <v>52</v>
      </c>
      <c r="N137" t="s">
        <v>20</v>
      </c>
    </row>
    <row r="138" spans="1:14" x14ac:dyDescent="0.25">
      <c r="A138">
        <v>28683</v>
      </c>
      <c r="B138" t="s">
        <v>26</v>
      </c>
      <c r="C138" t="s">
        <v>14</v>
      </c>
      <c r="D138" s="1">
        <v>10000</v>
      </c>
      <c r="E138">
        <v>1</v>
      </c>
      <c r="F138" t="s">
        <v>31</v>
      </c>
      <c r="G138" t="s">
        <v>29</v>
      </c>
      <c r="H138" t="s">
        <v>20</v>
      </c>
      <c r="I138">
        <v>1</v>
      </c>
      <c r="J138" t="s">
        <v>27</v>
      </c>
      <c r="K138" t="s">
        <v>19</v>
      </c>
      <c r="L138" t="str" cm="1">
        <f t="array" ref="L138">_xlfn.IFS(bike_buyers[[#This Row],[Age]]&gt;= 70, "senior citizen", bike_buyers[[#This Row],[Age]]&gt;=55, "middle age",  bike_buyers[[#This Row],[Age]]&gt;=40,"mature adult ", bike_buyers[[#This Row],[Age]]&gt;=30, "adults", bike_buyers[[#This Row],[Age]]&gt;= 20, "young adults")</f>
        <v>adults</v>
      </c>
      <c r="M138">
        <v>35</v>
      </c>
      <c r="N138" t="s">
        <v>17</v>
      </c>
    </row>
    <row r="139" spans="1:14" x14ac:dyDescent="0.25">
      <c r="A139">
        <v>17994</v>
      </c>
      <c r="B139" t="s">
        <v>26</v>
      </c>
      <c r="C139" t="s">
        <v>21</v>
      </c>
      <c r="D139" s="1">
        <v>20000</v>
      </c>
      <c r="E139">
        <v>2</v>
      </c>
      <c r="F139" t="s">
        <v>31</v>
      </c>
      <c r="G139" t="s">
        <v>29</v>
      </c>
      <c r="H139" t="s">
        <v>17</v>
      </c>
      <c r="I139">
        <v>2</v>
      </c>
      <c r="J139" t="s">
        <v>18</v>
      </c>
      <c r="K139" t="s">
        <v>19</v>
      </c>
      <c r="L139" t="str" cm="1">
        <f t="array" ref="L139">_xlfn.IFS(bike_buyers[[#This Row],[Age]]&gt;= 70, "senior citizen", bike_buyers[[#This Row],[Age]]&gt;=55, "middle age",  bike_buyers[[#This Row],[Age]]&gt;=40,"mature adult ", bike_buyers[[#This Row],[Age]]&gt;=30, "adults", bike_buyers[[#This Row],[Age]]&gt;= 20, "young adults")</f>
        <v xml:space="preserve">mature adult </v>
      </c>
      <c r="M139">
        <v>42</v>
      </c>
      <c r="N139" t="s">
        <v>20</v>
      </c>
    </row>
    <row r="140" spans="1:14" x14ac:dyDescent="0.25">
      <c r="A140">
        <v>24273</v>
      </c>
      <c r="B140" t="s">
        <v>13</v>
      </c>
      <c r="C140" t="s">
        <v>14</v>
      </c>
      <c r="D140" s="1">
        <v>20000</v>
      </c>
      <c r="E140">
        <v>2</v>
      </c>
      <c r="F140" t="s">
        <v>33</v>
      </c>
      <c r="G140" t="s">
        <v>23</v>
      </c>
      <c r="H140" t="s">
        <v>17</v>
      </c>
      <c r="I140">
        <v>2</v>
      </c>
      <c r="J140" t="s">
        <v>27</v>
      </c>
      <c r="K140" t="s">
        <v>28</v>
      </c>
      <c r="L140" t="str" cm="1">
        <f t="array" ref="L140">_xlfn.IFS(bike_buyers[[#This Row],[Age]]&gt;= 70, "senior citizen", bike_buyers[[#This Row],[Age]]&gt;=55, "middle age",  bike_buyers[[#This Row],[Age]]&gt;=40,"mature adult ", bike_buyers[[#This Row],[Age]]&gt;=30, "adults", bike_buyers[[#This Row],[Age]]&gt;= 20, "young adults")</f>
        <v>middle age</v>
      </c>
      <c r="M140">
        <v>55</v>
      </c>
      <c r="N140" t="s">
        <v>17</v>
      </c>
    </row>
    <row r="141" spans="1:14" x14ac:dyDescent="0.25">
      <c r="A141">
        <v>26547</v>
      </c>
      <c r="B141" t="s">
        <v>26</v>
      </c>
      <c r="C141" t="s">
        <v>14</v>
      </c>
      <c r="D141" s="1">
        <v>30000</v>
      </c>
      <c r="E141">
        <v>2</v>
      </c>
      <c r="F141" t="s">
        <v>22</v>
      </c>
      <c r="G141" t="s">
        <v>23</v>
      </c>
      <c r="H141" t="s">
        <v>20</v>
      </c>
      <c r="I141">
        <v>2</v>
      </c>
      <c r="J141" t="s">
        <v>27</v>
      </c>
      <c r="K141" t="s">
        <v>28</v>
      </c>
      <c r="L141" t="str" cm="1">
        <f t="array" ref="L141">_xlfn.IFS(bike_buyers[[#This Row],[Age]]&gt;= 70, "senior citizen", bike_buyers[[#This Row],[Age]]&gt;=55, "middle age",  bike_buyers[[#This Row],[Age]]&gt;=40,"mature adult ", bike_buyers[[#This Row],[Age]]&gt;=30, "adults", bike_buyers[[#This Row],[Age]]&gt;= 20, "young adults")</f>
        <v>middle age</v>
      </c>
      <c r="M141">
        <v>60</v>
      </c>
      <c r="N141" t="s">
        <v>17</v>
      </c>
    </row>
    <row r="142" spans="1:14" x14ac:dyDescent="0.25">
      <c r="A142">
        <v>22500</v>
      </c>
      <c r="B142" t="s">
        <v>26</v>
      </c>
      <c r="C142" t="s">
        <v>21</v>
      </c>
      <c r="D142" s="1">
        <v>40000</v>
      </c>
      <c r="E142">
        <v>0</v>
      </c>
      <c r="F142" t="s">
        <v>15</v>
      </c>
      <c r="G142" t="s">
        <v>24</v>
      </c>
      <c r="H142" t="s">
        <v>20</v>
      </c>
      <c r="I142">
        <v>0</v>
      </c>
      <c r="J142" t="s">
        <v>18</v>
      </c>
      <c r="K142" t="s">
        <v>19</v>
      </c>
      <c r="L142" t="str" cm="1">
        <f t="array" ref="L142">_xlfn.IFS(bike_buyers[[#This Row],[Age]]&gt;= 70, "senior citizen", bike_buyers[[#This Row],[Age]]&gt;=55, "middle age",  bike_buyers[[#This Row],[Age]]&gt;=40,"mature adult ", bike_buyers[[#This Row],[Age]]&gt;=30, "adults", bike_buyers[[#This Row],[Age]]&gt;= 20, "young adults")</f>
        <v xml:space="preserve">mature adult </v>
      </c>
      <c r="M142">
        <v>40</v>
      </c>
      <c r="N142" t="s">
        <v>17</v>
      </c>
    </row>
    <row r="143" spans="1:14" x14ac:dyDescent="0.25">
      <c r="A143">
        <v>23993</v>
      </c>
      <c r="B143" t="s">
        <v>26</v>
      </c>
      <c r="C143" t="s">
        <v>14</v>
      </c>
      <c r="D143" s="1">
        <v>10000</v>
      </c>
      <c r="E143">
        <v>0</v>
      </c>
      <c r="F143" t="s">
        <v>22</v>
      </c>
      <c r="G143" t="s">
        <v>29</v>
      </c>
      <c r="H143" t="s">
        <v>20</v>
      </c>
      <c r="I143">
        <v>1</v>
      </c>
      <c r="J143" t="s">
        <v>18</v>
      </c>
      <c r="K143" t="s">
        <v>28</v>
      </c>
      <c r="L143" t="str" cm="1">
        <f t="array" ref="L143">_xlfn.IFS(bike_buyers[[#This Row],[Age]]&gt;= 70, "senior citizen", bike_buyers[[#This Row],[Age]]&gt;=55, "middle age",  bike_buyers[[#This Row],[Age]]&gt;=40,"mature adult ", bike_buyers[[#This Row],[Age]]&gt;=30, "adults", bike_buyers[[#This Row],[Age]]&gt;= 20, "young adults")</f>
        <v>young adults</v>
      </c>
      <c r="M143">
        <v>26</v>
      </c>
      <c r="N143" t="s">
        <v>17</v>
      </c>
    </row>
    <row r="144" spans="1:14" x14ac:dyDescent="0.25">
      <c r="A144">
        <v>14832</v>
      </c>
      <c r="B144" t="s">
        <v>13</v>
      </c>
      <c r="C144" t="s">
        <v>21</v>
      </c>
      <c r="D144" s="1">
        <v>40000</v>
      </c>
      <c r="E144">
        <v>1</v>
      </c>
      <c r="F144" t="s">
        <v>15</v>
      </c>
      <c r="G144" t="s">
        <v>16</v>
      </c>
      <c r="H144" t="s">
        <v>17</v>
      </c>
      <c r="I144">
        <v>0</v>
      </c>
      <c r="J144" t="s">
        <v>18</v>
      </c>
      <c r="K144" t="s">
        <v>19</v>
      </c>
      <c r="L144" t="str" cm="1">
        <f t="array" ref="L144">_xlfn.IFS(bike_buyers[[#This Row],[Age]]&gt;= 70, "senior citizen", bike_buyers[[#This Row],[Age]]&gt;=55, "middle age",  bike_buyers[[#This Row],[Age]]&gt;=40,"mature adult ", bike_buyers[[#This Row],[Age]]&gt;=30, "adults", bike_buyers[[#This Row],[Age]]&gt;= 20, "young adults")</f>
        <v xml:space="preserve">mature adult </v>
      </c>
      <c r="M144">
        <v>42</v>
      </c>
      <c r="N144" t="s">
        <v>17</v>
      </c>
    </row>
    <row r="145" spans="1:14" x14ac:dyDescent="0.25">
      <c r="A145">
        <v>16614</v>
      </c>
      <c r="B145" t="s">
        <v>13</v>
      </c>
      <c r="C145" t="s">
        <v>14</v>
      </c>
      <c r="D145" s="1">
        <v>80000</v>
      </c>
      <c r="E145">
        <v>0</v>
      </c>
      <c r="F145" t="s">
        <v>15</v>
      </c>
      <c r="G145" t="s">
        <v>24</v>
      </c>
      <c r="H145" t="s">
        <v>17</v>
      </c>
      <c r="I145">
        <v>3</v>
      </c>
      <c r="J145" t="s">
        <v>41</v>
      </c>
      <c r="K145" t="s">
        <v>28</v>
      </c>
      <c r="L145" t="str" cm="1">
        <f t="array" ref="L145">_xlfn.IFS(bike_buyers[[#This Row],[Age]]&gt;= 70, "senior citizen", bike_buyers[[#This Row],[Age]]&gt;=55, "middle age",  bike_buyers[[#This Row],[Age]]&gt;=40,"mature adult ", bike_buyers[[#This Row],[Age]]&gt;=30, "adults", bike_buyers[[#This Row],[Age]]&gt;= 20, "young adults")</f>
        <v>adults</v>
      </c>
      <c r="M145">
        <v>32</v>
      </c>
      <c r="N145" t="s">
        <v>20</v>
      </c>
    </row>
    <row r="146" spans="1:14" x14ac:dyDescent="0.25">
      <c r="A146">
        <v>20877</v>
      </c>
      <c r="B146" t="s">
        <v>26</v>
      </c>
      <c r="C146" t="s">
        <v>21</v>
      </c>
      <c r="D146" s="1">
        <v>30000</v>
      </c>
      <c r="E146">
        <v>1</v>
      </c>
      <c r="F146" t="s">
        <v>15</v>
      </c>
      <c r="G146" t="s">
        <v>23</v>
      </c>
      <c r="H146" t="s">
        <v>17</v>
      </c>
      <c r="I146">
        <v>0</v>
      </c>
      <c r="J146" t="s">
        <v>30</v>
      </c>
      <c r="K146" t="s">
        <v>19</v>
      </c>
      <c r="L146" t="str" cm="1">
        <f t="array" ref="L146">_xlfn.IFS(bike_buyers[[#This Row],[Age]]&gt;= 70, "senior citizen", bike_buyers[[#This Row],[Age]]&gt;=55, "middle age",  bike_buyers[[#This Row],[Age]]&gt;=40,"mature adult ", bike_buyers[[#This Row],[Age]]&gt;=30, "adults", bike_buyers[[#This Row],[Age]]&gt;= 20, "young adults")</f>
        <v>adults</v>
      </c>
      <c r="M146">
        <v>37</v>
      </c>
      <c r="N146" t="s">
        <v>17</v>
      </c>
    </row>
    <row r="147" spans="1:14" x14ac:dyDescent="0.25">
      <c r="A147">
        <v>20729</v>
      </c>
      <c r="B147" t="s">
        <v>13</v>
      </c>
      <c r="C147" t="s">
        <v>14</v>
      </c>
      <c r="D147" s="1">
        <v>40000</v>
      </c>
      <c r="E147">
        <v>2</v>
      </c>
      <c r="F147" t="s">
        <v>22</v>
      </c>
      <c r="G147" t="s">
        <v>23</v>
      </c>
      <c r="H147" t="s">
        <v>20</v>
      </c>
      <c r="I147">
        <v>1</v>
      </c>
      <c r="J147" t="s">
        <v>18</v>
      </c>
      <c r="K147" t="s">
        <v>19</v>
      </c>
      <c r="L147" t="str" cm="1">
        <f t="array" ref="L147">_xlfn.IFS(bike_buyers[[#This Row],[Age]]&gt;= 70, "senior citizen", bike_buyers[[#This Row],[Age]]&gt;=55, "middle age",  bike_buyers[[#This Row],[Age]]&gt;=40,"mature adult ", bike_buyers[[#This Row],[Age]]&gt;=30, "adults", bike_buyers[[#This Row],[Age]]&gt;= 20, "young adults")</f>
        <v>adults</v>
      </c>
      <c r="M147">
        <v>34</v>
      </c>
      <c r="N147" t="s">
        <v>20</v>
      </c>
    </row>
    <row r="148" spans="1:14" x14ac:dyDescent="0.25">
      <c r="A148">
        <v>22464</v>
      </c>
      <c r="B148" t="s">
        <v>13</v>
      </c>
      <c r="C148" t="s">
        <v>21</v>
      </c>
      <c r="D148" s="1">
        <v>40000</v>
      </c>
      <c r="E148">
        <v>0</v>
      </c>
      <c r="F148" t="s">
        <v>34</v>
      </c>
      <c r="G148" t="s">
        <v>23</v>
      </c>
      <c r="H148" t="s">
        <v>17</v>
      </c>
      <c r="I148">
        <v>0</v>
      </c>
      <c r="J148" t="s">
        <v>18</v>
      </c>
      <c r="K148" t="s">
        <v>19</v>
      </c>
      <c r="L148" t="str" cm="1">
        <f t="array" ref="L148">_xlfn.IFS(bike_buyers[[#This Row],[Age]]&gt;= 70, "senior citizen", bike_buyers[[#This Row],[Age]]&gt;=55, "middle age",  bike_buyers[[#This Row],[Age]]&gt;=40,"mature adult ", bike_buyers[[#This Row],[Age]]&gt;=30, "adults", bike_buyers[[#This Row],[Age]]&gt;= 20, "young adults")</f>
        <v>adults</v>
      </c>
      <c r="M148">
        <v>37</v>
      </c>
      <c r="N148" t="s">
        <v>17</v>
      </c>
    </row>
    <row r="149" spans="1:14" x14ac:dyDescent="0.25">
      <c r="A149">
        <v>19475</v>
      </c>
      <c r="B149" t="s">
        <v>13</v>
      </c>
      <c r="C149" t="s">
        <v>14</v>
      </c>
      <c r="D149" s="1">
        <v>40000</v>
      </c>
      <c r="E149">
        <v>0</v>
      </c>
      <c r="F149" t="s">
        <v>15</v>
      </c>
      <c r="G149" t="s">
        <v>24</v>
      </c>
      <c r="H149" t="s">
        <v>20</v>
      </c>
      <c r="I149">
        <v>0</v>
      </c>
      <c r="J149" t="s">
        <v>18</v>
      </c>
      <c r="K149" t="s">
        <v>19</v>
      </c>
      <c r="L149" t="str" cm="1">
        <f t="array" ref="L149">_xlfn.IFS(bike_buyers[[#This Row],[Age]]&gt;= 70, "senior citizen", bike_buyers[[#This Row],[Age]]&gt;=55, "middle age",  bike_buyers[[#This Row],[Age]]&gt;=40,"mature adult ", bike_buyers[[#This Row],[Age]]&gt;=30, "adults", bike_buyers[[#This Row],[Age]]&gt;= 20, "young adults")</f>
        <v xml:space="preserve">mature adult </v>
      </c>
      <c r="M149">
        <v>40</v>
      </c>
      <c r="N149" t="s">
        <v>17</v>
      </c>
    </row>
    <row r="150" spans="1:14" x14ac:dyDescent="0.25">
      <c r="A150">
        <v>19675</v>
      </c>
      <c r="B150" t="s">
        <v>13</v>
      </c>
      <c r="C150" t="s">
        <v>21</v>
      </c>
      <c r="D150" s="1">
        <v>20000</v>
      </c>
      <c r="E150">
        <v>4</v>
      </c>
      <c r="F150" t="s">
        <v>31</v>
      </c>
      <c r="G150" t="s">
        <v>16</v>
      </c>
      <c r="H150" t="s">
        <v>17</v>
      </c>
      <c r="I150">
        <v>2</v>
      </c>
      <c r="J150" t="s">
        <v>27</v>
      </c>
      <c r="K150" t="s">
        <v>28</v>
      </c>
      <c r="L150" t="str" cm="1">
        <f t="array" ref="L150">_xlfn.IFS(bike_buyers[[#This Row],[Age]]&gt;= 70, "senior citizen", bike_buyers[[#This Row],[Age]]&gt;=55, "middle age",  bike_buyers[[#This Row],[Age]]&gt;=40,"mature adult ", bike_buyers[[#This Row],[Age]]&gt;=30, "adults", bike_buyers[[#This Row],[Age]]&gt;= 20, "young adults")</f>
        <v>middle age</v>
      </c>
      <c r="M150">
        <v>60</v>
      </c>
      <c r="N150" t="s">
        <v>20</v>
      </c>
    </row>
    <row r="151" spans="1:14" x14ac:dyDescent="0.25">
      <c r="A151">
        <v>12728</v>
      </c>
      <c r="B151" t="s">
        <v>26</v>
      </c>
      <c r="C151" t="s">
        <v>21</v>
      </c>
      <c r="D151" s="1">
        <v>30000</v>
      </c>
      <c r="E151">
        <v>0</v>
      </c>
      <c r="F151" t="s">
        <v>22</v>
      </c>
      <c r="G151" t="s">
        <v>23</v>
      </c>
      <c r="H151" t="s">
        <v>20</v>
      </c>
      <c r="I151">
        <v>1</v>
      </c>
      <c r="J151" t="s">
        <v>30</v>
      </c>
      <c r="K151" t="s">
        <v>19</v>
      </c>
      <c r="L151" t="str" cm="1">
        <f t="array" ref="L151">_xlfn.IFS(bike_buyers[[#This Row],[Age]]&gt;= 70, "senior citizen", bike_buyers[[#This Row],[Age]]&gt;=55, "middle age",  bike_buyers[[#This Row],[Age]]&gt;=40,"mature adult ", bike_buyers[[#This Row],[Age]]&gt;=30, "adults", bike_buyers[[#This Row],[Age]]&gt;= 20, "young adults")</f>
        <v>young adults</v>
      </c>
      <c r="M151">
        <v>27</v>
      </c>
      <c r="N151" t="s">
        <v>20</v>
      </c>
    </row>
    <row r="152" spans="1:14" x14ac:dyDescent="0.25">
      <c r="A152">
        <v>26154</v>
      </c>
      <c r="B152" t="s">
        <v>13</v>
      </c>
      <c r="C152" t="s">
        <v>21</v>
      </c>
      <c r="D152" s="1">
        <v>60000</v>
      </c>
      <c r="E152">
        <v>1</v>
      </c>
      <c r="F152" t="s">
        <v>22</v>
      </c>
      <c r="G152" t="s">
        <v>16</v>
      </c>
      <c r="H152" t="s">
        <v>17</v>
      </c>
      <c r="I152">
        <v>1</v>
      </c>
      <c r="J152" t="s">
        <v>27</v>
      </c>
      <c r="K152" t="s">
        <v>28</v>
      </c>
      <c r="L152" t="str" cm="1">
        <f t="array" ref="L152">_xlfn.IFS(bike_buyers[[#This Row],[Age]]&gt;= 70, "senior citizen", bike_buyers[[#This Row],[Age]]&gt;=55, "middle age",  bike_buyers[[#This Row],[Age]]&gt;=40,"mature adult ", bike_buyers[[#This Row],[Age]]&gt;=30, "adults", bike_buyers[[#This Row],[Age]]&gt;= 20, "young adults")</f>
        <v xml:space="preserve">mature adult </v>
      </c>
      <c r="M152">
        <v>43</v>
      </c>
      <c r="N152" t="s">
        <v>17</v>
      </c>
    </row>
    <row r="153" spans="1:14" x14ac:dyDescent="0.25">
      <c r="A153">
        <v>29117</v>
      </c>
      <c r="B153" t="s">
        <v>26</v>
      </c>
      <c r="C153" t="s">
        <v>21</v>
      </c>
      <c r="D153" s="1">
        <v>100000</v>
      </c>
      <c r="E153">
        <v>1</v>
      </c>
      <c r="F153" t="s">
        <v>15</v>
      </c>
      <c r="G153" t="s">
        <v>32</v>
      </c>
      <c r="H153" t="s">
        <v>20</v>
      </c>
      <c r="I153">
        <v>3</v>
      </c>
      <c r="J153" t="s">
        <v>18</v>
      </c>
      <c r="K153" t="s">
        <v>28</v>
      </c>
      <c r="L153" t="str" cm="1">
        <f t="array" ref="L153">_xlfn.IFS(bike_buyers[[#This Row],[Age]]&gt;= 70, "senior citizen", bike_buyers[[#This Row],[Age]]&gt;=55, "middle age",  bike_buyers[[#This Row],[Age]]&gt;=40,"mature adult ", bike_buyers[[#This Row],[Age]]&gt;=30, "adults", bike_buyers[[#This Row],[Age]]&gt;= 20, "young adults")</f>
        <v xml:space="preserve">mature adult </v>
      </c>
      <c r="M153">
        <v>48</v>
      </c>
      <c r="N153" t="s">
        <v>20</v>
      </c>
    </row>
    <row r="154" spans="1:14" x14ac:dyDescent="0.25">
      <c r="A154">
        <v>17845</v>
      </c>
      <c r="B154" t="s">
        <v>26</v>
      </c>
      <c r="C154" t="s">
        <v>14</v>
      </c>
      <c r="D154" s="1">
        <v>20000</v>
      </c>
      <c r="E154">
        <v>0</v>
      </c>
      <c r="F154" t="s">
        <v>33</v>
      </c>
      <c r="G154" t="s">
        <v>29</v>
      </c>
      <c r="H154" t="s">
        <v>20</v>
      </c>
      <c r="I154">
        <v>2</v>
      </c>
      <c r="J154" t="s">
        <v>30</v>
      </c>
      <c r="K154" t="s">
        <v>19</v>
      </c>
      <c r="L154" t="str" cm="1">
        <f t="array" ref="L154">_xlfn.IFS(bike_buyers[[#This Row],[Age]]&gt;= 70, "senior citizen", bike_buyers[[#This Row],[Age]]&gt;=55, "middle age",  bike_buyers[[#This Row],[Age]]&gt;=40,"mature adult ", bike_buyers[[#This Row],[Age]]&gt;=30, "adults", bike_buyers[[#This Row],[Age]]&gt;= 20, "young adults")</f>
        <v>adults</v>
      </c>
      <c r="M154">
        <v>32</v>
      </c>
      <c r="N154" t="s">
        <v>20</v>
      </c>
    </row>
    <row r="155" spans="1:14" x14ac:dyDescent="0.25">
      <c r="A155">
        <v>25058</v>
      </c>
      <c r="B155" t="s">
        <v>13</v>
      </c>
      <c r="C155" t="s">
        <v>21</v>
      </c>
      <c r="D155" s="1">
        <v>100000</v>
      </c>
      <c r="E155">
        <v>1</v>
      </c>
      <c r="F155" t="s">
        <v>15</v>
      </c>
      <c r="G155" t="s">
        <v>32</v>
      </c>
      <c r="H155" t="s">
        <v>17</v>
      </c>
      <c r="I155">
        <v>3</v>
      </c>
      <c r="J155" t="s">
        <v>25</v>
      </c>
      <c r="K155" t="s">
        <v>28</v>
      </c>
      <c r="L155" t="str" cm="1">
        <f t="array" ref="L155">_xlfn.IFS(bike_buyers[[#This Row],[Age]]&gt;= 70, "senior citizen", bike_buyers[[#This Row],[Age]]&gt;=55, "middle age",  bike_buyers[[#This Row],[Age]]&gt;=40,"mature adult ", bike_buyers[[#This Row],[Age]]&gt;=30, "adults", bike_buyers[[#This Row],[Age]]&gt;= 20, "young adults")</f>
        <v xml:space="preserve">mature adult </v>
      </c>
      <c r="M155">
        <v>47</v>
      </c>
      <c r="N155" t="s">
        <v>20</v>
      </c>
    </row>
    <row r="156" spans="1:14" x14ac:dyDescent="0.25">
      <c r="A156">
        <v>23426</v>
      </c>
      <c r="B156" t="s">
        <v>26</v>
      </c>
      <c r="C156" t="s">
        <v>21</v>
      </c>
      <c r="D156" s="1">
        <v>80000</v>
      </c>
      <c r="E156">
        <v>5</v>
      </c>
      <c r="F156" t="s">
        <v>34</v>
      </c>
      <c r="G156" t="s">
        <v>32</v>
      </c>
      <c r="H156" t="s">
        <v>17</v>
      </c>
      <c r="I156">
        <v>3</v>
      </c>
      <c r="J156" t="s">
        <v>18</v>
      </c>
      <c r="K156" t="s">
        <v>28</v>
      </c>
      <c r="L156" t="str" cm="1">
        <f t="array" ref="L156">_xlfn.IFS(bike_buyers[[#This Row],[Age]]&gt;= 70, "senior citizen", bike_buyers[[#This Row],[Age]]&gt;=55, "middle age",  bike_buyers[[#This Row],[Age]]&gt;=40,"mature adult ", bike_buyers[[#This Row],[Age]]&gt;=30, "adults", bike_buyers[[#This Row],[Age]]&gt;= 20, "young adults")</f>
        <v xml:space="preserve">mature adult </v>
      </c>
      <c r="M156">
        <v>40</v>
      </c>
      <c r="N156" t="s">
        <v>20</v>
      </c>
    </row>
    <row r="157" spans="1:14" x14ac:dyDescent="0.25">
      <c r="A157">
        <v>14798</v>
      </c>
      <c r="B157" t="s">
        <v>26</v>
      </c>
      <c r="C157" t="s">
        <v>14</v>
      </c>
      <c r="D157" s="1">
        <v>10000</v>
      </c>
      <c r="E157">
        <v>4</v>
      </c>
      <c r="F157" t="s">
        <v>33</v>
      </c>
      <c r="G157" t="s">
        <v>29</v>
      </c>
      <c r="H157" t="s">
        <v>17</v>
      </c>
      <c r="I157">
        <v>2</v>
      </c>
      <c r="J157" t="s">
        <v>18</v>
      </c>
      <c r="K157" t="s">
        <v>19</v>
      </c>
      <c r="L157" t="str" cm="1">
        <f t="array" ref="L157">_xlfn.IFS(bike_buyers[[#This Row],[Age]]&gt;= 70, "senior citizen", bike_buyers[[#This Row],[Age]]&gt;=55, "middle age",  bike_buyers[[#This Row],[Age]]&gt;=40,"mature adult ", bike_buyers[[#This Row],[Age]]&gt;=30, "adults", bike_buyers[[#This Row],[Age]]&gt;= 20, "young adults")</f>
        <v xml:space="preserve">mature adult </v>
      </c>
      <c r="M157">
        <v>41</v>
      </c>
      <c r="N157" t="s">
        <v>17</v>
      </c>
    </row>
    <row r="158" spans="1:14" x14ac:dyDescent="0.25">
      <c r="A158">
        <v>12664</v>
      </c>
      <c r="B158" t="s">
        <v>13</v>
      </c>
      <c r="C158" t="s">
        <v>14</v>
      </c>
      <c r="D158" s="1">
        <v>130000</v>
      </c>
      <c r="E158">
        <v>5</v>
      </c>
      <c r="F158" t="s">
        <v>22</v>
      </c>
      <c r="G158" t="s">
        <v>24</v>
      </c>
      <c r="H158" t="s">
        <v>17</v>
      </c>
      <c r="I158">
        <v>4</v>
      </c>
      <c r="J158" t="s">
        <v>18</v>
      </c>
      <c r="K158" t="s">
        <v>19</v>
      </c>
      <c r="L158" t="str" cm="1">
        <f t="array" ref="L158">_xlfn.IFS(bike_buyers[[#This Row],[Age]]&gt;= 70, "senior citizen", bike_buyers[[#This Row],[Age]]&gt;=55, "middle age",  bike_buyers[[#This Row],[Age]]&gt;=40,"mature adult ", bike_buyers[[#This Row],[Age]]&gt;=30, "adults", bike_buyers[[#This Row],[Age]]&gt;= 20, "young adults")</f>
        <v>middle age</v>
      </c>
      <c r="M158">
        <v>59</v>
      </c>
      <c r="N158" t="s">
        <v>20</v>
      </c>
    </row>
    <row r="159" spans="1:14" x14ac:dyDescent="0.25">
      <c r="A159">
        <v>23979</v>
      </c>
      <c r="B159" t="s">
        <v>26</v>
      </c>
      <c r="C159" t="s">
        <v>21</v>
      </c>
      <c r="D159" s="1">
        <v>10000</v>
      </c>
      <c r="E159">
        <v>2</v>
      </c>
      <c r="F159" t="s">
        <v>22</v>
      </c>
      <c r="G159" t="s">
        <v>29</v>
      </c>
      <c r="H159" t="s">
        <v>20</v>
      </c>
      <c r="I159">
        <v>0</v>
      </c>
      <c r="J159" t="s">
        <v>18</v>
      </c>
      <c r="K159" t="s">
        <v>19</v>
      </c>
      <c r="L159" t="str" cm="1">
        <f t="array" ref="L159">_xlfn.IFS(bike_buyers[[#This Row],[Age]]&gt;= 70, "senior citizen", bike_buyers[[#This Row],[Age]]&gt;=55, "middle age",  bike_buyers[[#This Row],[Age]]&gt;=40,"mature adult ", bike_buyers[[#This Row],[Age]]&gt;=30, "adults", bike_buyers[[#This Row],[Age]]&gt;= 20, "young adults")</f>
        <v xml:space="preserve">mature adult </v>
      </c>
      <c r="M159">
        <v>50</v>
      </c>
      <c r="N159" t="s">
        <v>20</v>
      </c>
    </row>
    <row r="160" spans="1:14" x14ac:dyDescent="0.25">
      <c r="A160">
        <v>25605</v>
      </c>
      <c r="B160" t="s">
        <v>26</v>
      </c>
      <c r="C160" t="s">
        <v>14</v>
      </c>
      <c r="D160" s="1">
        <v>20000</v>
      </c>
      <c r="E160">
        <v>2</v>
      </c>
      <c r="F160" t="s">
        <v>22</v>
      </c>
      <c r="G160" t="s">
        <v>29</v>
      </c>
      <c r="H160" t="s">
        <v>20</v>
      </c>
      <c r="I160">
        <v>1</v>
      </c>
      <c r="J160" t="s">
        <v>18</v>
      </c>
      <c r="K160" t="s">
        <v>19</v>
      </c>
      <c r="L160" t="str" cm="1">
        <f t="array" ref="L160">_xlfn.IFS(bike_buyers[[#This Row],[Age]]&gt;= 70, "senior citizen", bike_buyers[[#This Row],[Age]]&gt;=55, "middle age",  bike_buyers[[#This Row],[Age]]&gt;=40,"mature adult ", bike_buyers[[#This Row],[Age]]&gt;=30, "adults", bike_buyers[[#This Row],[Age]]&gt;= 20, "young adults")</f>
        <v xml:space="preserve">mature adult </v>
      </c>
      <c r="M160">
        <v>54</v>
      </c>
      <c r="N160" t="s">
        <v>17</v>
      </c>
    </row>
    <row r="161" spans="1:14" x14ac:dyDescent="0.25">
      <c r="A161">
        <v>20797</v>
      </c>
      <c r="B161" t="s">
        <v>13</v>
      </c>
      <c r="C161" t="s">
        <v>14</v>
      </c>
      <c r="D161" s="1">
        <v>10000</v>
      </c>
      <c r="E161">
        <v>1</v>
      </c>
      <c r="F161" t="s">
        <v>15</v>
      </c>
      <c r="G161" t="s">
        <v>29</v>
      </c>
      <c r="H161" t="s">
        <v>17</v>
      </c>
      <c r="I161">
        <v>0</v>
      </c>
      <c r="J161" t="s">
        <v>18</v>
      </c>
      <c r="K161" t="s">
        <v>19</v>
      </c>
      <c r="L161" t="str" cm="1">
        <f t="array" ref="L161">_xlfn.IFS(bike_buyers[[#This Row],[Age]]&gt;= 70, "senior citizen", bike_buyers[[#This Row],[Age]]&gt;=55, "middle age",  bike_buyers[[#This Row],[Age]]&gt;=40,"mature adult ", bike_buyers[[#This Row],[Age]]&gt;=30, "adults", bike_buyers[[#This Row],[Age]]&gt;= 20, "young adults")</f>
        <v xml:space="preserve">mature adult </v>
      </c>
      <c r="M161">
        <v>48</v>
      </c>
      <c r="N161" t="s">
        <v>20</v>
      </c>
    </row>
    <row r="162" spans="1:14" x14ac:dyDescent="0.25">
      <c r="A162">
        <v>21980</v>
      </c>
      <c r="B162" t="s">
        <v>26</v>
      </c>
      <c r="C162" t="s">
        <v>14</v>
      </c>
      <c r="D162" s="1">
        <v>60000</v>
      </c>
      <c r="E162">
        <v>1</v>
      </c>
      <c r="F162" t="s">
        <v>15</v>
      </c>
      <c r="G162" t="s">
        <v>24</v>
      </c>
      <c r="H162" t="s">
        <v>17</v>
      </c>
      <c r="I162">
        <v>1</v>
      </c>
      <c r="J162" t="s">
        <v>27</v>
      </c>
      <c r="K162" t="s">
        <v>28</v>
      </c>
      <c r="L162" t="str" cm="1">
        <f t="array" ref="L162">_xlfn.IFS(bike_buyers[[#This Row],[Age]]&gt;= 70, "senior citizen", bike_buyers[[#This Row],[Age]]&gt;=55, "middle age",  bike_buyers[[#This Row],[Age]]&gt;=40,"mature adult ", bike_buyers[[#This Row],[Age]]&gt;=30, "adults", bike_buyers[[#This Row],[Age]]&gt;= 20, "young adults")</f>
        <v xml:space="preserve">mature adult </v>
      </c>
      <c r="M162">
        <v>44</v>
      </c>
      <c r="N162" t="s">
        <v>17</v>
      </c>
    </row>
    <row r="163" spans="1:14" x14ac:dyDescent="0.25">
      <c r="A163">
        <v>25460</v>
      </c>
      <c r="B163" t="s">
        <v>13</v>
      </c>
      <c r="C163" t="s">
        <v>14</v>
      </c>
      <c r="D163" s="1">
        <v>20000</v>
      </c>
      <c r="E163">
        <v>2</v>
      </c>
      <c r="F163" t="s">
        <v>31</v>
      </c>
      <c r="G163" t="s">
        <v>29</v>
      </c>
      <c r="H163" t="s">
        <v>17</v>
      </c>
      <c r="I163">
        <v>0</v>
      </c>
      <c r="J163" t="s">
        <v>18</v>
      </c>
      <c r="K163" t="s">
        <v>19</v>
      </c>
      <c r="L163" t="str" cm="1">
        <f t="array" ref="L163">_xlfn.IFS(bike_buyers[[#This Row],[Age]]&gt;= 70, "senior citizen", bike_buyers[[#This Row],[Age]]&gt;=55, "middle age",  bike_buyers[[#This Row],[Age]]&gt;=40,"mature adult ", bike_buyers[[#This Row],[Age]]&gt;=30, "adults", bike_buyers[[#This Row],[Age]]&gt;= 20, "young adults")</f>
        <v xml:space="preserve">mature adult </v>
      </c>
      <c r="M163">
        <v>40</v>
      </c>
      <c r="N163" t="s">
        <v>17</v>
      </c>
    </row>
    <row r="164" spans="1:14" x14ac:dyDescent="0.25">
      <c r="A164">
        <v>29181</v>
      </c>
      <c r="B164" t="s">
        <v>26</v>
      </c>
      <c r="C164" t="s">
        <v>14</v>
      </c>
      <c r="D164" s="1">
        <v>60000</v>
      </c>
      <c r="E164">
        <v>2</v>
      </c>
      <c r="F164" t="s">
        <v>15</v>
      </c>
      <c r="G164" t="s">
        <v>24</v>
      </c>
      <c r="H164" t="s">
        <v>20</v>
      </c>
      <c r="I164">
        <v>1</v>
      </c>
      <c r="J164" t="s">
        <v>18</v>
      </c>
      <c r="K164" t="s">
        <v>28</v>
      </c>
      <c r="L164" t="str" cm="1">
        <f t="array" ref="L164">_xlfn.IFS(bike_buyers[[#This Row],[Age]]&gt;= 70, "senior citizen", bike_buyers[[#This Row],[Age]]&gt;=55, "middle age",  bike_buyers[[#This Row],[Age]]&gt;=40,"mature adult ", bike_buyers[[#This Row],[Age]]&gt;=30, "adults", bike_buyers[[#This Row],[Age]]&gt;= 20, "young adults")</f>
        <v>adults</v>
      </c>
      <c r="M164">
        <v>38</v>
      </c>
      <c r="N164" t="s">
        <v>17</v>
      </c>
    </row>
    <row r="165" spans="1:14" x14ac:dyDescent="0.25">
      <c r="A165">
        <v>24279</v>
      </c>
      <c r="B165" t="s">
        <v>26</v>
      </c>
      <c r="C165" t="s">
        <v>21</v>
      </c>
      <c r="D165" s="1">
        <v>40000</v>
      </c>
      <c r="E165">
        <v>2</v>
      </c>
      <c r="F165" t="s">
        <v>22</v>
      </c>
      <c r="G165" t="s">
        <v>16</v>
      </c>
      <c r="H165" t="s">
        <v>20</v>
      </c>
      <c r="I165">
        <v>2</v>
      </c>
      <c r="J165" t="s">
        <v>30</v>
      </c>
      <c r="K165" t="s">
        <v>28</v>
      </c>
      <c r="L165" t="str" cm="1">
        <f t="array" ref="L165">_xlfn.IFS(bike_buyers[[#This Row],[Age]]&gt;= 70, "senior citizen", bike_buyers[[#This Row],[Age]]&gt;=55, "middle age",  bike_buyers[[#This Row],[Age]]&gt;=40,"mature adult ", bike_buyers[[#This Row],[Age]]&gt;=30, "adults", bike_buyers[[#This Row],[Age]]&gt;= 20, "young adults")</f>
        <v xml:space="preserve">mature adult </v>
      </c>
      <c r="M165">
        <v>52</v>
      </c>
      <c r="N165" t="s">
        <v>20</v>
      </c>
    </row>
    <row r="166" spans="1:14" x14ac:dyDescent="0.25">
      <c r="A166">
        <v>22402</v>
      </c>
      <c r="B166" t="s">
        <v>13</v>
      </c>
      <c r="C166" t="s">
        <v>21</v>
      </c>
      <c r="D166" s="1">
        <v>10000</v>
      </c>
      <c r="E166">
        <v>0</v>
      </c>
      <c r="F166" t="s">
        <v>22</v>
      </c>
      <c r="G166" t="s">
        <v>29</v>
      </c>
      <c r="H166" t="s">
        <v>17</v>
      </c>
      <c r="I166">
        <v>1</v>
      </c>
      <c r="J166" t="s">
        <v>25</v>
      </c>
      <c r="K166" t="s">
        <v>28</v>
      </c>
      <c r="L166" t="str" cm="1">
        <f t="array" ref="L166">_xlfn.IFS(bike_buyers[[#This Row],[Age]]&gt;= 70, "senior citizen", bike_buyers[[#This Row],[Age]]&gt;=55, "middle age",  bike_buyers[[#This Row],[Age]]&gt;=40,"mature adult ", bike_buyers[[#This Row],[Age]]&gt;=30, "adults", bike_buyers[[#This Row],[Age]]&gt;= 20, "young adults")</f>
        <v>young adults</v>
      </c>
      <c r="M166">
        <v>25</v>
      </c>
      <c r="N166" t="s">
        <v>17</v>
      </c>
    </row>
    <row r="167" spans="1:14" x14ac:dyDescent="0.25">
      <c r="A167">
        <v>15465</v>
      </c>
      <c r="B167" t="s">
        <v>13</v>
      </c>
      <c r="C167" t="s">
        <v>14</v>
      </c>
      <c r="D167" s="1">
        <v>10000</v>
      </c>
      <c r="E167">
        <v>0</v>
      </c>
      <c r="F167" t="s">
        <v>22</v>
      </c>
      <c r="G167" t="s">
        <v>29</v>
      </c>
      <c r="H167" t="s">
        <v>20</v>
      </c>
      <c r="I167">
        <v>1</v>
      </c>
      <c r="J167" t="s">
        <v>18</v>
      </c>
      <c r="K167" t="s">
        <v>28</v>
      </c>
      <c r="L167" t="str" cm="1">
        <f t="array" ref="L167">_xlfn.IFS(bike_buyers[[#This Row],[Age]]&gt;= 70, "senior citizen", bike_buyers[[#This Row],[Age]]&gt;=55, "middle age",  bike_buyers[[#This Row],[Age]]&gt;=40,"mature adult ", bike_buyers[[#This Row],[Age]]&gt;=30, "adults", bike_buyers[[#This Row],[Age]]&gt;= 20, "young adults")</f>
        <v>young adults</v>
      </c>
      <c r="M167">
        <v>25</v>
      </c>
      <c r="N167" t="s">
        <v>20</v>
      </c>
    </row>
    <row r="168" spans="1:14" x14ac:dyDescent="0.25">
      <c r="A168">
        <v>26757</v>
      </c>
      <c r="B168" t="s">
        <v>26</v>
      </c>
      <c r="C168" t="s">
        <v>21</v>
      </c>
      <c r="D168" s="1">
        <v>90000</v>
      </c>
      <c r="E168">
        <v>1</v>
      </c>
      <c r="F168" t="s">
        <v>15</v>
      </c>
      <c r="G168" t="s">
        <v>24</v>
      </c>
      <c r="H168" t="s">
        <v>17</v>
      </c>
      <c r="I168">
        <v>1</v>
      </c>
      <c r="J168" t="s">
        <v>25</v>
      </c>
      <c r="K168" t="s">
        <v>28</v>
      </c>
      <c r="L168" t="str" cm="1">
        <f t="array" ref="L168">_xlfn.IFS(bike_buyers[[#This Row],[Age]]&gt;= 70, "senior citizen", bike_buyers[[#This Row],[Age]]&gt;=55, "middle age",  bike_buyers[[#This Row],[Age]]&gt;=40,"mature adult ", bike_buyers[[#This Row],[Age]]&gt;=30, "adults", bike_buyers[[#This Row],[Age]]&gt;= 20, "young adults")</f>
        <v xml:space="preserve">mature adult </v>
      </c>
      <c r="M168">
        <v>47</v>
      </c>
      <c r="N168" t="s">
        <v>17</v>
      </c>
    </row>
    <row r="169" spans="1:14" x14ac:dyDescent="0.25">
      <c r="A169">
        <v>14233</v>
      </c>
      <c r="B169" t="s">
        <v>26</v>
      </c>
      <c r="C169" t="s">
        <v>21</v>
      </c>
      <c r="D169" s="1">
        <v>100000</v>
      </c>
      <c r="E169">
        <v>0</v>
      </c>
      <c r="F169" t="s">
        <v>31</v>
      </c>
      <c r="G169" t="s">
        <v>32</v>
      </c>
      <c r="H169" t="s">
        <v>17</v>
      </c>
      <c r="I169">
        <v>3</v>
      </c>
      <c r="J169" t="s">
        <v>41</v>
      </c>
      <c r="K169" t="s">
        <v>28</v>
      </c>
      <c r="L169" t="str" cm="1">
        <f t="array" ref="L169">_xlfn.IFS(bike_buyers[[#This Row],[Age]]&gt;= 70, "senior citizen", bike_buyers[[#This Row],[Age]]&gt;=55, "middle age",  bike_buyers[[#This Row],[Age]]&gt;=40,"mature adult ", bike_buyers[[#This Row],[Age]]&gt;=30, "adults", bike_buyers[[#This Row],[Age]]&gt;= 20, "young adults")</f>
        <v>adults</v>
      </c>
      <c r="M169">
        <v>35</v>
      </c>
      <c r="N169" t="s">
        <v>20</v>
      </c>
    </row>
    <row r="170" spans="1:14" x14ac:dyDescent="0.25">
      <c r="A170">
        <v>14058</v>
      </c>
      <c r="B170" t="s">
        <v>26</v>
      </c>
      <c r="C170" t="s">
        <v>21</v>
      </c>
      <c r="D170" s="1">
        <v>70000</v>
      </c>
      <c r="E170">
        <v>0</v>
      </c>
      <c r="F170" t="s">
        <v>15</v>
      </c>
      <c r="G170" t="s">
        <v>24</v>
      </c>
      <c r="H170" t="s">
        <v>20</v>
      </c>
      <c r="I170">
        <v>1</v>
      </c>
      <c r="J170" t="s">
        <v>27</v>
      </c>
      <c r="K170" t="s">
        <v>28</v>
      </c>
      <c r="L170" t="str" cm="1">
        <f t="array" ref="L170">_xlfn.IFS(bike_buyers[[#This Row],[Age]]&gt;= 70, "senior citizen", bike_buyers[[#This Row],[Age]]&gt;=55, "middle age",  bike_buyers[[#This Row],[Age]]&gt;=40,"mature adult ", bike_buyers[[#This Row],[Age]]&gt;=30, "adults", bike_buyers[[#This Row],[Age]]&gt;= 20, "young adults")</f>
        <v xml:space="preserve">mature adult </v>
      </c>
      <c r="M170">
        <v>41</v>
      </c>
      <c r="N170" t="s">
        <v>17</v>
      </c>
    </row>
    <row r="171" spans="1:14" x14ac:dyDescent="0.25">
      <c r="A171">
        <v>12273</v>
      </c>
      <c r="B171" t="s">
        <v>13</v>
      </c>
      <c r="C171" t="s">
        <v>21</v>
      </c>
      <c r="D171" s="1">
        <v>30000</v>
      </c>
      <c r="E171">
        <v>1</v>
      </c>
      <c r="F171" t="s">
        <v>15</v>
      </c>
      <c r="G171" t="s">
        <v>23</v>
      </c>
      <c r="H171" t="s">
        <v>17</v>
      </c>
      <c r="I171">
        <v>0</v>
      </c>
      <c r="J171" t="s">
        <v>18</v>
      </c>
      <c r="K171" t="s">
        <v>19</v>
      </c>
      <c r="L171" t="str" cm="1">
        <f t="array" ref="L171">_xlfn.IFS(bike_buyers[[#This Row],[Age]]&gt;= 70, "senior citizen", bike_buyers[[#This Row],[Age]]&gt;=55, "middle age",  bike_buyers[[#This Row],[Age]]&gt;=40,"mature adult ", bike_buyers[[#This Row],[Age]]&gt;=30, "adults", bike_buyers[[#This Row],[Age]]&gt;= 20, "young adults")</f>
        <v xml:space="preserve">mature adult </v>
      </c>
      <c r="M171">
        <v>47</v>
      </c>
      <c r="N171" t="s">
        <v>20</v>
      </c>
    </row>
    <row r="172" spans="1:14" x14ac:dyDescent="0.25">
      <c r="A172">
        <v>17203</v>
      </c>
      <c r="B172" t="s">
        <v>13</v>
      </c>
      <c r="C172" t="s">
        <v>14</v>
      </c>
      <c r="D172" s="1">
        <v>130000</v>
      </c>
      <c r="E172">
        <v>4</v>
      </c>
      <c r="F172" t="s">
        <v>22</v>
      </c>
      <c r="G172" t="s">
        <v>24</v>
      </c>
      <c r="H172" t="s">
        <v>17</v>
      </c>
      <c r="I172">
        <v>4</v>
      </c>
      <c r="J172" t="s">
        <v>27</v>
      </c>
      <c r="K172" t="s">
        <v>19</v>
      </c>
      <c r="L172" t="str" cm="1">
        <f t="array" ref="L172">_xlfn.IFS(bike_buyers[[#This Row],[Age]]&gt;= 70, "senior citizen", bike_buyers[[#This Row],[Age]]&gt;=55, "middle age",  bike_buyers[[#This Row],[Age]]&gt;=40,"mature adult ", bike_buyers[[#This Row],[Age]]&gt;=30, "adults", bike_buyers[[#This Row],[Age]]&gt;= 20, "young adults")</f>
        <v>middle age</v>
      </c>
      <c r="M172">
        <v>61</v>
      </c>
      <c r="N172" t="s">
        <v>17</v>
      </c>
    </row>
    <row r="173" spans="1:14" x14ac:dyDescent="0.25">
      <c r="A173">
        <v>18144</v>
      </c>
      <c r="B173" t="s">
        <v>13</v>
      </c>
      <c r="C173" t="s">
        <v>14</v>
      </c>
      <c r="D173" s="1">
        <v>80000</v>
      </c>
      <c r="E173">
        <v>5</v>
      </c>
      <c r="F173" t="s">
        <v>15</v>
      </c>
      <c r="G173" t="s">
        <v>32</v>
      </c>
      <c r="H173" t="s">
        <v>17</v>
      </c>
      <c r="I173">
        <v>2</v>
      </c>
      <c r="J173" t="s">
        <v>25</v>
      </c>
      <c r="K173" t="s">
        <v>19</v>
      </c>
      <c r="L173" t="str" cm="1">
        <f t="array" ref="L173">_xlfn.IFS(bike_buyers[[#This Row],[Age]]&gt;= 70, "senior citizen", bike_buyers[[#This Row],[Age]]&gt;=55, "middle age",  bike_buyers[[#This Row],[Age]]&gt;=40,"mature adult ", bike_buyers[[#This Row],[Age]]&gt;=30, "adults", bike_buyers[[#This Row],[Age]]&gt;= 20, "young adults")</f>
        <v>middle age</v>
      </c>
      <c r="M173">
        <v>61</v>
      </c>
      <c r="N173" t="s">
        <v>20</v>
      </c>
    </row>
    <row r="174" spans="1:14" x14ac:dyDescent="0.25">
      <c r="A174">
        <v>23963</v>
      </c>
      <c r="B174" t="s">
        <v>13</v>
      </c>
      <c r="C174" t="s">
        <v>21</v>
      </c>
      <c r="D174" s="1">
        <v>10000</v>
      </c>
      <c r="E174">
        <v>0</v>
      </c>
      <c r="F174" t="s">
        <v>33</v>
      </c>
      <c r="G174" t="s">
        <v>29</v>
      </c>
      <c r="H174" t="s">
        <v>20</v>
      </c>
      <c r="I174">
        <v>2</v>
      </c>
      <c r="J174" t="s">
        <v>18</v>
      </c>
      <c r="K174" t="s">
        <v>19</v>
      </c>
      <c r="L174" t="str" cm="1">
        <f t="array" ref="L174">_xlfn.IFS(bike_buyers[[#This Row],[Age]]&gt;= 70, "senior citizen", bike_buyers[[#This Row],[Age]]&gt;=55, "middle age",  bike_buyers[[#This Row],[Age]]&gt;=40,"mature adult ", bike_buyers[[#This Row],[Age]]&gt;=30, "adults", bike_buyers[[#This Row],[Age]]&gt;= 20, "young adults")</f>
        <v>adults</v>
      </c>
      <c r="M174">
        <v>33</v>
      </c>
      <c r="N174" t="s">
        <v>20</v>
      </c>
    </row>
    <row r="175" spans="1:14" x14ac:dyDescent="0.25">
      <c r="A175">
        <v>17907</v>
      </c>
      <c r="B175" t="s">
        <v>13</v>
      </c>
      <c r="C175" t="s">
        <v>14</v>
      </c>
      <c r="D175" s="1">
        <v>10000</v>
      </c>
      <c r="E175">
        <v>0</v>
      </c>
      <c r="F175" t="s">
        <v>22</v>
      </c>
      <c r="G175" t="s">
        <v>29</v>
      </c>
      <c r="H175" t="s">
        <v>17</v>
      </c>
      <c r="I175">
        <v>1</v>
      </c>
      <c r="J175" t="s">
        <v>25</v>
      </c>
      <c r="K175" t="s">
        <v>28</v>
      </c>
      <c r="L175" t="str" cm="1">
        <f t="array" ref="L175">_xlfn.IFS(bike_buyers[[#This Row],[Age]]&gt;= 70, "senior citizen", bike_buyers[[#This Row],[Age]]&gt;=55, "middle age",  bike_buyers[[#This Row],[Age]]&gt;=40,"mature adult ", bike_buyers[[#This Row],[Age]]&gt;=30, "adults", bike_buyers[[#This Row],[Age]]&gt;= 20, "young adults")</f>
        <v>young adults</v>
      </c>
      <c r="M175">
        <v>27</v>
      </c>
      <c r="N175" t="s">
        <v>20</v>
      </c>
    </row>
    <row r="176" spans="1:14" x14ac:dyDescent="0.25">
      <c r="A176">
        <v>19442</v>
      </c>
      <c r="B176" t="s">
        <v>26</v>
      </c>
      <c r="C176" t="s">
        <v>21</v>
      </c>
      <c r="D176" s="1">
        <v>50000</v>
      </c>
      <c r="E176">
        <v>0</v>
      </c>
      <c r="F176" t="s">
        <v>34</v>
      </c>
      <c r="G176" t="s">
        <v>16</v>
      </c>
      <c r="H176" t="s">
        <v>17</v>
      </c>
      <c r="I176">
        <v>0</v>
      </c>
      <c r="J176" t="s">
        <v>18</v>
      </c>
      <c r="K176" t="s">
        <v>19</v>
      </c>
      <c r="L176" t="str" cm="1">
        <f t="array" ref="L176">_xlfn.IFS(bike_buyers[[#This Row],[Age]]&gt;= 70, "senior citizen", bike_buyers[[#This Row],[Age]]&gt;=55, "middle age",  bike_buyers[[#This Row],[Age]]&gt;=40,"mature adult ", bike_buyers[[#This Row],[Age]]&gt;=30, "adults", bike_buyers[[#This Row],[Age]]&gt;= 20, "young adults")</f>
        <v>adults</v>
      </c>
      <c r="M176">
        <v>37</v>
      </c>
      <c r="N176" t="s">
        <v>17</v>
      </c>
    </row>
    <row r="177" spans="1:14" x14ac:dyDescent="0.25">
      <c r="A177">
        <v>17504</v>
      </c>
      <c r="B177" t="s">
        <v>26</v>
      </c>
      <c r="C177" t="s">
        <v>14</v>
      </c>
      <c r="D177" s="1">
        <v>80000</v>
      </c>
      <c r="E177">
        <v>2</v>
      </c>
      <c r="F177" t="s">
        <v>22</v>
      </c>
      <c r="G177" t="s">
        <v>16</v>
      </c>
      <c r="H177" t="s">
        <v>17</v>
      </c>
      <c r="I177">
        <v>2</v>
      </c>
      <c r="J177" t="s">
        <v>27</v>
      </c>
      <c r="K177" t="s">
        <v>28</v>
      </c>
      <c r="L177" t="str" cm="1">
        <f t="array" ref="L177">_xlfn.IFS(bike_buyers[[#This Row],[Age]]&gt;= 70, "senior citizen", bike_buyers[[#This Row],[Age]]&gt;=55, "middle age",  bike_buyers[[#This Row],[Age]]&gt;=40,"mature adult ", bike_buyers[[#This Row],[Age]]&gt;=30, "adults", bike_buyers[[#This Row],[Age]]&gt;= 20, "young adults")</f>
        <v xml:space="preserve">mature adult </v>
      </c>
      <c r="M177">
        <v>52</v>
      </c>
      <c r="N177" t="s">
        <v>17</v>
      </c>
    </row>
    <row r="178" spans="1:14" x14ac:dyDescent="0.25">
      <c r="A178">
        <v>12253</v>
      </c>
      <c r="B178" t="s">
        <v>26</v>
      </c>
      <c r="C178" t="s">
        <v>14</v>
      </c>
      <c r="D178" s="1">
        <v>20000</v>
      </c>
      <c r="E178">
        <v>0</v>
      </c>
      <c r="F178" t="s">
        <v>22</v>
      </c>
      <c r="G178" t="s">
        <v>29</v>
      </c>
      <c r="H178" t="s">
        <v>17</v>
      </c>
      <c r="I178">
        <v>0</v>
      </c>
      <c r="J178" t="s">
        <v>18</v>
      </c>
      <c r="K178" t="s">
        <v>28</v>
      </c>
      <c r="L178" t="str" cm="1">
        <f t="array" ref="L178">_xlfn.IFS(bike_buyers[[#This Row],[Age]]&gt;= 70, "senior citizen", bike_buyers[[#This Row],[Age]]&gt;=55, "middle age",  bike_buyers[[#This Row],[Age]]&gt;=40,"mature adult ", bike_buyers[[#This Row],[Age]]&gt;=30, "adults", bike_buyers[[#This Row],[Age]]&gt;= 20, "young adults")</f>
        <v>young adults</v>
      </c>
      <c r="M178">
        <v>29</v>
      </c>
      <c r="N178" t="s">
        <v>17</v>
      </c>
    </row>
    <row r="179" spans="1:14" x14ac:dyDescent="0.25">
      <c r="A179">
        <v>27304</v>
      </c>
      <c r="B179" t="s">
        <v>26</v>
      </c>
      <c r="C179" t="s">
        <v>14</v>
      </c>
      <c r="D179" s="1">
        <v>110000</v>
      </c>
      <c r="E179">
        <v>2</v>
      </c>
      <c r="F179" t="s">
        <v>22</v>
      </c>
      <c r="G179" t="s">
        <v>24</v>
      </c>
      <c r="H179" t="s">
        <v>20</v>
      </c>
      <c r="I179">
        <v>3</v>
      </c>
      <c r="J179" t="s">
        <v>27</v>
      </c>
      <c r="K179" t="s">
        <v>19</v>
      </c>
      <c r="L179" t="str" cm="1">
        <f t="array" ref="L179">_xlfn.IFS(bike_buyers[[#This Row],[Age]]&gt;= 70, "senior citizen", bike_buyers[[#This Row],[Age]]&gt;=55, "middle age",  bike_buyers[[#This Row],[Age]]&gt;=40,"mature adult ", bike_buyers[[#This Row],[Age]]&gt;=30, "adults", bike_buyers[[#This Row],[Age]]&gt;= 20, "young adults")</f>
        <v xml:space="preserve">mature adult </v>
      </c>
      <c r="M179">
        <v>48</v>
      </c>
      <c r="N179" t="s">
        <v>20</v>
      </c>
    </row>
    <row r="180" spans="1:14" x14ac:dyDescent="0.25">
      <c r="A180">
        <v>14191</v>
      </c>
      <c r="B180" t="s">
        <v>13</v>
      </c>
      <c r="C180" t="s">
        <v>21</v>
      </c>
      <c r="D180" s="1">
        <v>160000</v>
      </c>
      <c r="E180">
        <v>4</v>
      </c>
      <c r="F180" t="s">
        <v>22</v>
      </c>
      <c r="G180" t="s">
        <v>24</v>
      </c>
      <c r="H180" t="s">
        <v>20</v>
      </c>
      <c r="I180">
        <v>2</v>
      </c>
      <c r="J180" t="s">
        <v>41</v>
      </c>
      <c r="K180" t="s">
        <v>19</v>
      </c>
      <c r="L180" t="str" cm="1">
        <f t="array" ref="L180">_xlfn.IFS(bike_buyers[[#This Row],[Age]]&gt;= 70, "senior citizen", bike_buyers[[#This Row],[Age]]&gt;=55, "middle age",  bike_buyers[[#This Row],[Age]]&gt;=40,"mature adult ", bike_buyers[[#This Row],[Age]]&gt;=30, "adults", bike_buyers[[#This Row],[Age]]&gt;= 20, "young adults")</f>
        <v>middle age</v>
      </c>
      <c r="M180">
        <v>55</v>
      </c>
      <c r="N180" t="s">
        <v>17</v>
      </c>
    </row>
    <row r="181" spans="1:14" x14ac:dyDescent="0.25">
      <c r="A181">
        <v>12212</v>
      </c>
      <c r="B181" t="s">
        <v>13</v>
      </c>
      <c r="C181" t="s">
        <v>14</v>
      </c>
      <c r="D181" s="1">
        <v>10000</v>
      </c>
      <c r="E181">
        <v>0</v>
      </c>
      <c r="F181" t="s">
        <v>34</v>
      </c>
      <c r="G181" t="s">
        <v>29</v>
      </c>
      <c r="H181" t="s">
        <v>17</v>
      </c>
      <c r="I181">
        <v>0</v>
      </c>
      <c r="J181" t="s">
        <v>18</v>
      </c>
      <c r="K181" t="s">
        <v>19</v>
      </c>
      <c r="L181" t="str" cm="1">
        <f t="array" ref="L181">_xlfn.IFS(bike_buyers[[#This Row],[Age]]&gt;= 70, "senior citizen", bike_buyers[[#This Row],[Age]]&gt;=55, "middle age",  bike_buyers[[#This Row],[Age]]&gt;=40,"mature adult ", bike_buyers[[#This Row],[Age]]&gt;=30, "adults", bike_buyers[[#This Row],[Age]]&gt;= 20, "young adults")</f>
        <v>adults</v>
      </c>
      <c r="M181">
        <v>37</v>
      </c>
      <c r="N181" t="s">
        <v>17</v>
      </c>
    </row>
    <row r="182" spans="1:14" x14ac:dyDescent="0.25">
      <c r="A182">
        <v>25529</v>
      </c>
      <c r="B182" t="s">
        <v>26</v>
      </c>
      <c r="C182" t="s">
        <v>21</v>
      </c>
      <c r="D182" s="1">
        <v>10000</v>
      </c>
      <c r="E182">
        <v>1</v>
      </c>
      <c r="F182" t="s">
        <v>34</v>
      </c>
      <c r="G182" t="s">
        <v>29</v>
      </c>
      <c r="H182" t="s">
        <v>17</v>
      </c>
      <c r="I182">
        <v>0</v>
      </c>
      <c r="J182" t="s">
        <v>18</v>
      </c>
      <c r="K182" t="s">
        <v>19</v>
      </c>
      <c r="L182" t="str" cm="1">
        <f t="array" ref="L182">_xlfn.IFS(bike_buyers[[#This Row],[Age]]&gt;= 70, "senior citizen", bike_buyers[[#This Row],[Age]]&gt;=55, "middle age",  bike_buyers[[#This Row],[Age]]&gt;=40,"mature adult ", bike_buyers[[#This Row],[Age]]&gt;=30, "adults", bike_buyers[[#This Row],[Age]]&gt;= 20, "young adults")</f>
        <v xml:space="preserve">mature adult </v>
      </c>
      <c r="M182">
        <v>44</v>
      </c>
      <c r="N182" t="s">
        <v>20</v>
      </c>
    </row>
    <row r="183" spans="1:14" x14ac:dyDescent="0.25">
      <c r="A183">
        <v>22170</v>
      </c>
      <c r="B183" t="s">
        <v>13</v>
      </c>
      <c r="C183" t="s">
        <v>14</v>
      </c>
      <c r="D183" s="1">
        <v>30000</v>
      </c>
      <c r="E183">
        <v>3</v>
      </c>
      <c r="F183" t="s">
        <v>22</v>
      </c>
      <c r="G183" t="s">
        <v>23</v>
      </c>
      <c r="H183" t="s">
        <v>20</v>
      </c>
      <c r="I183">
        <v>2</v>
      </c>
      <c r="J183" t="s">
        <v>30</v>
      </c>
      <c r="K183" t="s">
        <v>28</v>
      </c>
      <c r="L183" t="str" cm="1">
        <f t="array" ref="L183">_xlfn.IFS(bike_buyers[[#This Row],[Age]]&gt;= 70, "senior citizen", bike_buyers[[#This Row],[Age]]&gt;=55, "middle age",  bike_buyers[[#This Row],[Age]]&gt;=40,"mature adult ", bike_buyers[[#This Row],[Age]]&gt;=30, "adults", bike_buyers[[#This Row],[Age]]&gt;= 20, "young adults")</f>
        <v>middle age</v>
      </c>
      <c r="M183">
        <v>55</v>
      </c>
      <c r="N183" t="s">
        <v>17</v>
      </c>
    </row>
    <row r="184" spans="1:14" x14ac:dyDescent="0.25">
      <c r="A184">
        <v>19445</v>
      </c>
      <c r="B184" t="s">
        <v>13</v>
      </c>
      <c r="C184" t="s">
        <v>14</v>
      </c>
      <c r="D184" s="1">
        <v>10000</v>
      </c>
      <c r="E184">
        <v>2</v>
      </c>
      <c r="F184" t="s">
        <v>31</v>
      </c>
      <c r="G184" t="s">
        <v>29</v>
      </c>
      <c r="H184" t="s">
        <v>20</v>
      </c>
      <c r="I184">
        <v>1</v>
      </c>
      <c r="J184" t="s">
        <v>18</v>
      </c>
      <c r="K184" t="s">
        <v>19</v>
      </c>
      <c r="L184" t="str" cm="1">
        <f t="array" ref="L184">_xlfn.IFS(bike_buyers[[#This Row],[Age]]&gt;= 70, "senior citizen", bike_buyers[[#This Row],[Age]]&gt;=55, "middle age",  bike_buyers[[#This Row],[Age]]&gt;=40,"mature adult ", bike_buyers[[#This Row],[Age]]&gt;=30, "adults", bike_buyers[[#This Row],[Age]]&gt;= 20, "young adults")</f>
        <v>adults</v>
      </c>
      <c r="M184">
        <v>38</v>
      </c>
      <c r="N184" t="s">
        <v>20</v>
      </c>
    </row>
    <row r="185" spans="1:14" x14ac:dyDescent="0.25">
      <c r="A185">
        <v>15265</v>
      </c>
      <c r="B185" t="s">
        <v>26</v>
      </c>
      <c r="C185" t="s">
        <v>21</v>
      </c>
      <c r="D185" s="1">
        <v>40000</v>
      </c>
      <c r="E185">
        <v>2</v>
      </c>
      <c r="F185" t="s">
        <v>15</v>
      </c>
      <c r="G185" t="s">
        <v>32</v>
      </c>
      <c r="H185" t="s">
        <v>17</v>
      </c>
      <c r="I185">
        <v>2</v>
      </c>
      <c r="J185" t="s">
        <v>27</v>
      </c>
      <c r="K185" t="s">
        <v>28</v>
      </c>
      <c r="L185" t="str" cm="1">
        <f t="array" ref="L185">_xlfn.IFS(bike_buyers[[#This Row],[Age]]&gt;= 70, "senior citizen", bike_buyers[[#This Row],[Age]]&gt;=55, "middle age",  bike_buyers[[#This Row],[Age]]&gt;=40,"mature adult ", bike_buyers[[#This Row],[Age]]&gt;=30, "adults", bike_buyers[[#This Row],[Age]]&gt;= 20, "young adults")</f>
        <v>middle age</v>
      </c>
      <c r="M185">
        <v>66</v>
      </c>
      <c r="N185" t="s">
        <v>17</v>
      </c>
    </row>
    <row r="186" spans="1:14" x14ac:dyDescent="0.25">
      <c r="A186">
        <v>28918</v>
      </c>
      <c r="B186" t="s">
        <v>13</v>
      </c>
      <c r="C186" t="s">
        <v>14</v>
      </c>
      <c r="D186" s="1">
        <v>130000</v>
      </c>
      <c r="E186">
        <v>4</v>
      </c>
      <c r="F186" t="s">
        <v>31</v>
      </c>
      <c r="G186" t="s">
        <v>32</v>
      </c>
      <c r="H186" t="s">
        <v>20</v>
      </c>
      <c r="I186">
        <v>4</v>
      </c>
      <c r="J186" t="s">
        <v>41</v>
      </c>
      <c r="K186" t="s">
        <v>19</v>
      </c>
      <c r="L186" t="str" cm="1">
        <f t="array" ref="L186">_xlfn.IFS(bike_buyers[[#This Row],[Age]]&gt;= 70, "senior citizen", bike_buyers[[#This Row],[Age]]&gt;=55, "middle age",  bike_buyers[[#This Row],[Age]]&gt;=40,"mature adult ", bike_buyers[[#This Row],[Age]]&gt;=30, "adults", bike_buyers[[#This Row],[Age]]&gt;= 20, "young adults")</f>
        <v>middle age</v>
      </c>
      <c r="M186">
        <v>58</v>
      </c>
      <c r="N186" t="s">
        <v>20</v>
      </c>
    </row>
    <row r="187" spans="1:14" x14ac:dyDescent="0.25">
      <c r="A187">
        <v>15799</v>
      </c>
      <c r="B187" t="s">
        <v>13</v>
      </c>
      <c r="C187" t="s">
        <v>14</v>
      </c>
      <c r="D187" s="1">
        <v>90000</v>
      </c>
      <c r="E187">
        <v>1</v>
      </c>
      <c r="F187" t="s">
        <v>15</v>
      </c>
      <c r="G187" t="s">
        <v>24</v>
      </c>
      <c r="H187" t="s">
        <v>17</v>
      </c>
      <c r="I187">
        <v>1</v>
      </c>
      <c r="J187" t="s">
        <v>25</v>
      </c>
      <c r="K187" t="s">
        <v>28</v>
      </c>
      <c r="L187" t="str" cm="1">
        <f t="array" ref="L187">_xlfn.IFS(bike_buyers[[#This Row],[Age]]&gt;= 70, "senior citizen", bike_buyers[[#This Row],[Age]]&gt;=55, "middle age",  bike_buyers[[#This Row],[Age]]&gt;=40,"mature adult ", bike_buyers[[#This Row],[Age]]&gt;=30, "adults", bike_buyers[[#This Row],[Age]]&gt;= 20, "young adults")</f>
        <v xml:space="preserve">mature adult </v>
      </c>
      <c r="M187">
        <v>47</v>
      </c>
      <c r="N187" t="s">
        <v>17</v>
      </c>
    </row>
    <row r="188" spans="1:14" x14ac:dyDescent="0.25">
      <c r="A188">
        <v>11047</v>
      </c>
      <c r="B188" t="s">
        <v>13</v>
      </c>
      <c r="C188" t="s">
        <v>14</v>
      </c>
      <c r="D188" s="1">
        <v>30000</v>
      </c>
      <c r="E188">
        <v>3</v>
      </c>
      <c r="F188" t="s">
        <v>31</v>
      </c>
      <c r="G188" t="s">
        <v>16</v>
      </c>
      <c r="H188" t="s">
        <v>20</v>
      </c>
      <c r="I188">
        <v>2</v>
      </c>
      <c r="J188" t="s">
        <v>30</v>
      </c>
      <c r="K188" t="s">
        <v>28</v>
      </c>
      <c r="L188" t="str" cm="1">
        <f t="array" ref="L188">_xlfn.IFS(bike_buyers[[#This Row],[Age]]&gt;= 70, "senior citizen", bike_buyers[[#This Row],[Age]]&gt;=55, "middle age",  bike_buyers[[#This Row],[Age]]&gt;=40,"mature adult ", bike_buyers[[#This Row],[Age]]&gt;=30, "adults", bike_buyers[[#This Row],[Age]]&gt;= 20, "young adults")</f>
        <v>middle age</v>
      </c>
      <c r="M188">
        <v>56</v>
      </c>
      <c r="N188" t="s">
        <v>17</v>
      </c>
    </row>
    <row r="189" spans="1:14" x14ac:dyDescent="0.25">
      <c r="A189">
        <v>18151</v>
      </c>
      <c r="B189" t="s">
        <v>26</v>
      </c>
      <c r="C189" t="s">
        <v>21</v>
      </c>
      <c r="D189" s="1">
        <v>80000</v>
      </c>
      <c r="E189">
        <v>5</v>
      </c>
      <c r="F189" t="s">
        <v>22</v>
      </c>
      <c r="G189" t="s">
        <v>24</v>
      </c>
      <c r="H189" t="s">
        <v>20</v>
      </c>
      <c r="I189">
        <v>2</v>
      </c>
      <c r="J189" t="s">
        <v>41</v>
      </c>
      <c r="K189" t="s">
        <v>19</v>
      </c>
      <c r="L189" t="str" cm="1">
        <f t="array" ref="L189">_xlfn.IFS(bike_buyers[[#This Row],[Age]]&gt;= 70, "senior citizen", bike_buyers[[#This Row],[Age]]&gt;=55, "middle age",  bike_buyers[[#This Row],[Age]]&gt;=40,"mature adult ", bike_buyers[[#This Row],[Age]]&gt;=30, "adults", bike_buyers[[#This Row],[Age]]&gt;= 20, "young adults")</f>
        <v>middle age</v>
      </c>
      <c r="M189">
        <v>59</v>
      </c>
      <c r="N189" t="s">
        <v>20</v>
      </c>
    </row>
    <row r="190" spans="1:14" x14ac:dyDescent="0.25">
      <c r="A190">
        <v>20606</v>
      </c>
      <c r="B190" t="s">
        <v>13</v>
      </c>
      <c r="C190" t="s">
        <v>14</v>
      </c>
      <c r="D190" s="1">
        <v>70000</v>
      </c>
      <c r="E190">
        <v>0</v>
      </c>
      <c r="F190" t="s">
        <v>15</v>
      </c>
      <c r="G190" t="s">
        <v>24</v>
      </c>
      <c r="H190" t="s">
        <v>17</v>
      </c>
      <c r="I190">
        <v>4</v>
      </c>
      <c r="J190" t="s">
        <v>41</v>
      </c>
      <c r="K190" t="s">
        <v>28</v>
      </c>
      <c r="L190" t="str" cm="1">
        <f t="array" ref="L190">_xlfn.IFS(bike_buyers[[#This Row],[Age]]&gt;= 70, "senior citizen", bike_buyers[[#This Row],[Age]]&gt;=55, "middle age",  bike_buyers[[#This Row],[Age]]&gt;=40,"mature adult ", bike_buyers[[#This Row],[Age]]&gt;=30, "adults", bike_buyers[[#This Row],[Age]]&gt;= 20, "young adults")</f>
        <v>adults</v>
      </c>
      <c r="M190">
        <v>32</v>
      </c>
      <c r="N190" t="s">
        <v>17</v>
      </c>
    </row>
    <row r="191" spans="1:14" x14ac:dyDescent="0.25">
      <c r="A191">
        <v>19482</v>
      </c>
      <c r="B191" t="s">
        <v>13</v>
      </c>
      <c r="C191" t="s">
        <v>21</v>
      </c>
      <c r="D191" s="1">
        <v>30000</v>
      </c>
      <c r="E191">
        <v>1</v>
      </c>
      <c r="F191" t="s">
        <v>22</v>
      </c>
      <c r="G191" t="s">
        <v>23</v>
      </c>
      <c r="H191" t="s">
        <v>17</v>
      </c>
      <c r="I191">
        <v>1</v>
      </c>
      <c r="J191" t="s">
        <v>18</v>
      </c>
      <c r="K191" t="s">
        <v>19</v>
      </c>
      <c r="L191" t="str" cm="1">
        <f t="array" ref="L191">_xlfn.IFS(bike_buyers[[#This Row],[Age]]&gt;= 70, "senior citizen", bike_buyers[[#This Row],[Age]]&gt;=55, "middle age",  bike_buyers[[#This Row],[Age]]&gt;=40,"mature adult ", bike_buyers[[#This Row],[Age]]&gt;=30, "adults", bike_buyers[[#This Row],[Age]]&gt;= 20, "young adults")</f>
        <v xml:space="preserve">mature adult </v>
      </c>
      <c r="M191">
        <v>44</v>
      </c>
      <c r="N191" t="s">
        <v>17</v>
      </c>
    </row>
    <row r="192" spans="1:14" x14ac:dyDescent="0.25">
      <c r="A192">
        <v>16489</v>
      </c>
      <c r="B192" t="s">
        <v>13</v>
      </c>
      <c r="C192" t="s">
        <v>21</v>
      </c>
      <c r="D192" s="1">
        <v>30000</v>
      </c>
      <c r="E192">
        <v>3</v>
      </c>
      <c r="F192" t="s">
        <v>31</v>
      </c>
      <c r="G192" t="s">
        <v>16</v>
      </c>
      <c r="H192" t="s">
        <v>17</v>
      </c>
      <c r="I192">
        <v>2</v>
      </c>
      <c r="J192" t="s">
        <v>27</v>
      </c>
      <c r="K192" t="s">
        <v>28</v>
      </c>
      <c r="L192" t="str" cm="1">
        <f t="array" ref="L192">_xlfn.IFS(bike_buyers[[#This Row],[Age]]&gt;= 70, "senior citizen", bike_buyers[[#This Row],[Age]]&gt;=55, "middle age",  bike_buyers[[#This Row],[Age]]&gt;=40,"mature adult ", bike_buyers[[#This Row],[Age]]&gt;=30, "adults", bike_buyers[[#This Row],[Age]]&gt;= 20, "young adults")</f>
        <v>middle age</v>
      </c>
      <c r="M192">
        <v>55</v>
      </c>
      <c r="N192" t="s">
        <v>20</v>
      </c>
    </row>
    <row r="193" spans="1:14" x14ac:dyDescent="0.25">
      <c r="A193">
        <v>26944</v>
      </c>
      <c r="B193" t="s">
        <v>26</v>
      </c>
      <c r="C193" t="s">
        <v>21</v>
      </c>
      <c r="D193" s="1">
        <v>90000</v>
      </c>
      <c r="E193">
        <v>2</v>
      </c>
      <c r="F193" t="s">
        <v>31</v>
      </c>
      <c r="G193" t="s">
        <v>29</v>
      </c>
      <c r="H193" t="s">
        <v>17</v>
      </c>
      <c r="I193">
        <v>0</v>
      </c>
      <c r="J193" t="s">
        <v>18</v>
      </c>
      <c r="K193" t="s">
        <v>19</v>
      </c>
      <c r="L193" t="str" cm="1">
        <f t="array" ref="L193">_xlfn.IFS(bike_buyers[[#This Row],[Age]]&gt;= 70, "senior citizen", bike_buyers[[#This Row],[Age]]&gt;=55, "middle age",  bike_buyers[[#This Row],[Age]]&gt;=40,"mature adult ", bike_buyers[[#This Row],[Age]]&gt;=30, "adults", bike_buyers[[#This Row],[Age]]&gt;= 20, "young adults")</f>
        <v>adults</v>
      </c>
      <c r="M193">
        <v>36</v>
      </c>
      <c r="N193" t="s">
        <v>17</v>
      </c>
    </row>
    <row r="194" spans="1:14" x14ac:dyDescent="0.25">
      <c r="A194">
        <v>15682</v>
      </c>
      <c r="B194" t="s">
        <v>26</v>
      </c>
      <c r="C194" t="s">
        <v>14</v>
      </c>
      <c r="D194" s="1">
        <v>80000</v>
      </c>
      <c r="E194">
        <v>5</v>
      </c>
      <c r="F194" t="s">
        <v>15</v>
      </c>
      <c r="G194" t="s">
        <v>32</v>
      </c>
      <c r="H194" t="s">
        <v>17</v>
      </c>
      <c r="I194">
        <v>2</v>
      </c>
      <c r="J194" t="s">
        <v>41</v>
      </c>
      <c r="K194" t="s">
        <v>19</v>
      </c>
      <c r="L194" t="str" cm="1">
        <f t="array" ref="L194">_xlfn.IFS(bike_buyers[[#This Row],[Age]]&gt;= 70, "senior citizen", bike_buyers[[#This Row],[Age]]&gt;=55, "middle age",  bike_buyers[[#This Row],[Age]]&gt;=40,"mature adult ", bike_buyers[[#This Row],[Age]]&gt;=30, "adults", bike_buyers[[#This Row],[Age]]&gt;= 20, "young adults")</f>
        <v>middle age</v>
      </c>
      <c r="M194">
        <v>62</v>
      </c>
      <c r="N194" t="s">
        <v>20</v>
      </c>
    </row>
    <row r="195" spans="1:14" x14ac:dyDescent="0.25">
      <c r="A195">
        <v>26032</v>
      </c>
      <c r="B195" t="s">
        <v>13</v>
      </c>
      <c r="C195" t="s">
        <v>14</v>
      </c>
      <c r="D195" s="1">
        <v>70000</v>
      </c>
      <c r="E195">
        <v>5</v>
      </c>
      <c r="F195" t="s">
        <v>15</v>
      </c>
      <c r="G195" t="s">
        <v>24</v>
      </c>
      <c r="H195" t="s">
        <v>17</v>
      </c>
      <c r="I195">
        <v>4</v>
      </c>
      <c r="J195" t="s">
        <v>41</v>
      </c>
      <c r="K195" t="s">
        <v>28</v>
      </c>
      <c r="L195" t="str" cm="1">
        <f t="array" ref="L195">_xlfn.IFS(bike_buyers[[#This Row],[Age]]&gt;= 70, "senior citizen", bike_buyers[[#This Row],[Age]]&gt;=55, "middle age",  bike_buyers[[#This Row],[Age]]&gt;=40,"mature adult ", bike_buyers[[#This Row],[Age]]&gt;=30, "adults", bike_buyers[[#This Row],[Age]]&gt;= 20, "young adults")</f>
        <v xml:space="preserve">mature adult </v>
      </c>
      <c r="M195">
        <v>41</v>
      </c>
      <c r="N195" t="s">
        <v>20</v>
      </c>
    </row>
    <row r="196" spans="1:14" x14ac:dyDescent="0.25">
      <c r="A196">
        <v>17843</v>
      </c>
      <c r="B196" t="s">
        <v>26</v>
      </c>
      <c r="C196" t="s">
        <v>14</v>
      </c>
      <c r="D196" s="1">
        <v>10000</v>
      </c>
      <c r="E196">
        <v>0</v>
      </c>
      <c r="F196" t="s">
        <v>33</v>
      </c>
      <c r="G196" t="s">
        <v>29</v>
      </c>
      <c r="H196" t="s">
        <v>20</v>
      </c>
      <c r="I196">
        <v>2</v>
      </c>
      <c r="J196" t="s">
        <v>18</v>
      </c>
      <c r="K196" t="s">
        <v>19</v>
      </c>
      <c r="L196" t="str" cm="1">
        <f t="array" ref="L196">_xlfn.IFS(bike_buyers[[#This Row],[Age]]&gt;= 70, "senior citizen", bike_buyers[[#This Row],[Age]]&gt;=55, "middle age",  bike_buyers[[#This Row],[Age]]&gt;=40,"mature adult ", bike_buyers[[#This Row],[Age]]&gt;=30, "adults", bike_buyers[[#This Row],[Age]]&gt;= 20, "young adults")</f>
        <v>adults</v>
      </c>
      <c r="M196">
        <v>32</v>
      </c>
      <c r="N196" t="s">
        <v>20</v>
      </c>
    </row>
    <row r="197" spans="1:14" x14ac:dyDescent="0.25">
      <c r="A197">
        <v>25559</v>
      </c>
      <c r="B197" t="s">
        <v>26</v>
      </c>
      <c r="C197" t="s">
        <v>21</v>
      </c>
      <c r="D197" s="1">
        <v>20000</v>
      </c>
      <c r="E197">
        <v>0</v>
      </c>
      <c r="F197" t="s">
        <v>15</v>
      </c>
      <c r="G197" t="s">
        <v>23</v>
      </c>
      <c r="H197" t="s">
        <v>17</v>
      </c>
      <c r="I197">
        <v>0</v>
      </c>
      <c r="J197" t="s">
        <v>18</v>
      </c>
      <c r="K197" t="s">
        <v>28</v>
      </c>
      <c r="L197" t="str" cm="1">
        <f t="array" ref="L197">_xlfn.IFS(bike_buyers[[#This Row],[Age]]&gt;= 70, "senior citizen", bike_buyers[[#This Row],[Age]]&gt;=55, "middle age",  bike_buyers[[#This Row],[Age]]&gt;=40,"mature adult ", bike_buyers[[#This Row],[Age]]&gt;=30, "adults", bike_buyers[[#This Row],[Age]]&gt;= 20, "young adults")</f>
        <v>young adults</v>
      </c>
      <c r="M197">
        <v>25</v>
      </c>
      <c r="N197" t="s">
        <v>17</v>
      </c>
    </row>
    <row r="198" spans="1:14" x14ac:dyDescent="0.25">
      <c r="A198">
        <v>16209</v>
      </c>
      <c r="B198" t="s">
        <v>26</v>
      </c>
      <c r="C198" t="s">
        <v>14</v>
      </c>
      <c r="D198" s="1">
        <v>50000</v>
      </c>
      <c r="E198">
        <v>0</v>
      </c>
      <c r="F198" t="s">
        <v>34</v>
      </c>
      <c r="G198" t="s">
        <v>16</v>
      </c>
      <c r="H198" t="s">
        <v>17</v>
      </c>
      <c r="I198">
        <v>0</v>
      </c>
      <c r="J198" t="s">
        <v>30</v>
      </c>
      <c r="K198" t="s">
        <v>19</v>
      </c>
      <c r="L198" t="str" cm="1">
        <f t="array" ref="L198">_xlfn.IFS(bike_buyers[[#This Row],[Age]]&gt;= 70, "senior citizen", bike_buyers[[#This Row],[Age]]&gt;=55, "middle age",  bike_buyers[[#This Row],[Age]]&gt;=40,"mature adult ", bike_buyers[[#This Row],[Age]]&gt;=30, "adults", bike_buyers[[#This Row],[Age]]&gt;= 20, "young adults")</f>
        <v>adults</v>
      </c>
      <c r="M198">
        <v>36</v>
      </c>
      <c r="N198" t="s">
        <v>20</v>
      </c>
    </row>
    <row r="199" spans="1:14" x14ac:dyDescent="0.25">
      <c r="A199">
        <v>11147</v>
      </c>
      <c r="B199" t="s">
        <v>13</v>
      </c>
      <c r="C199" t="s">
        <v>21</v>
      </c>
      <c r="D199" s="1">
        <v>60000</v>
      </c>
      <c r="E199">
        <v>2</v>
      </c>
      <c r="F199" t="s">
        <v>34</v>
      </c>
      <c r="G199" t="s">
        <v>32</v>
      </c>
      <c r="H199" t="s">
        <v>17</v>
      </c>
      <c r="I199">
        <v>1</v>
      </c>
      <c r="J199" t="s">
        <v>18</v>
      </c>
      <c r="K199" t="s">
        <v>28</v>
      </c>
      <c r="L199" t="str" cm="1">
        <f t="array" ref="L199">_xlfn.IFS(bike_buyers[[#This Row],[Age]]&gt;= 70, "senior citizen", bike_buyers[[#This Row],[Age]]&gt;=55, "middle age",  bike_buyers[[#This Row],[Age]]&gt;=40,"mature adult ", bike_buyers[[#This Row],[Age]]&gt;=30, "adults", bike_buyers[[#This Row],[Age]]&gt;= 20, "young adults")</f>
        <v>middle age</v>
      </c>
      <c r="M199">
        <v>67</v>
      </c>
      <c r="N199" t="s">
        <v>17</v>
      </c>
    </row>
    <row r="200" spans="1:14" x14ac:dyDescent="0.25">
      <c r="A200">
        <v>15214</v>
      </c>
      <c r="B200" t="s">
        <v>26</v>
      </c>
      <c r="C200" t="s">
        <v>14</v>
      </c>
      <c r="D200" s="1">
        <v>100000</v>
      </c>
      <c r="E200">
        <v>0</v>
      </c>
      <c r="F200" t="s">
        <v>34</v>
      </c>
      <c r="G200" t="s">
        <v>32</v>
      </c>
      <c r="H200" t="s">
        <v>20</v>
      </c>
      <c r="I200">
        <v>1</v>
      </c>
      <c r="J200" t="s">
        <v>30</v>
      </c>
      <c r="K200" t="s">
        <v>28</v>
      </c>
      <c r="L200" t="str" cm="1">
        <f t="array" ref="L200">_xlfn.IFS(bike_buyers[[#This Row],[Age]]&gt;= 70, "senior citizen", bike_buyers[[#This Row],[Age]]&gt;=55, "middle age",  bike_buyers[[#This Row],[Age]]&gt;=40,"mature adult ", bike_buyers[[#This Row],[Age]]&gt;=30, "adults", bike_buyers[[#This Row],[Age]]&gt;= 20, "young adults")</f>
        <v>adults</v>
      </c>
      <c r="M200">
        <v>39</v>
      </c>
      <c r="N200" t="s">
        <v>17</v>
      </c>
    </row>
    <row r="201" spans="1:14" x14ac:dyDescent="0.25">
      <c r="A201">
        <v>11453</v>
      </c>
      <c r="B201" t="s">
        <v>26</v>
      </c>
      <c r="C201" t="s">
        <v>21</v>
      </c>
      <c r="D201" s="1">
        <v>80000</v>
      </c>
      <c r="E201">
        <v>0</v>
      </c>
      <c r="F201" t="s">
        <v>15</v>
      </c>
      <c r="G201" t="s">
        <v>24</v>
      </c>
      <c r="H201" t="s">
        <v>20</v>
      </c>
      <c r="I201">
        <v>3</v>
      </c>
      <c r="J201" t="s">
        <v>41</v>
      </c>
      <c r="K201" t="s">
        <v>28</v>
      </c>
      <c r="L201" t="str" cm="1">
        <f t="array" ref="L201">_xlfn.IFS(bike_buyers[[#This Row],[Age]]&gt;= 70, "senior citizen", bike_buyers[[#This Row],[Age]]&gt;=55, "middle age",  bike_buyers[[#This Row],[Age]]&gt;=40,"mature adult ", bike_buyers[[#This Row],[Age]]&gt;=30, "adults", bike_buyers[[#This Row],[Age]]&gt;= 20, "young adults")</f>
        <v>adults</v>
      </c>
      <c r="M201">
        <v>33</v>
      </c>
      <c r="N201" t="s">
        <v>17</v>
      </c>
    </row>
    <row r="202" spans="1:14" x14ac:dyDescent="0.25">
      <c r="A202">
        <v>24584</v>
      </c>
      <c r="B202" t="s">
        <v>26</v>
      </c>
      <c r="C202" t="s">
        <v>21</v>
      </c>
      <c r="D202" s="1">
        <v>60000</v>
      </c>
      <c r="E202">
        <v>0</v>
      </c>
      <c r="F202" t="s">
        <v>15</v>
      </c>
      <c r="G202" t="s">
        <v>24</v>
      </c>
      <c r="H202" t="s">
        <v>20</v>
      </c>
      <c r="I202">
        <v>3</v>
      </c>
      <c r="J202" t="s">
        <v>25</v>
      </c>
      <c r="K202" t="s">
        <v>28</v>
      </c>
      <c r="L202" t="str" cm="1">
        <f t="array" ref="L202">_xlfn.IFS(bike_buyers[[#This Row],[Age]]&gt;= 70, "senior citizen", bike_buyers[[#This Row],[Age]]&gt;=55, "middle age",  bike_buyers[[#This Row],[Age]]&gt;=40,"mature adult ", bike_buyers[[#This Row],[Age]]&gt;=30, "adults", bike_buyers[[#This Row],[Age]]&gt;= 20, "young adults")</f>
        <v>adults</v>
      </c>
      <c r="M202">
        <v>31</v>
      </c>
      <c r="N202" t="s">
        <v>20</v>
      </c>
    </row>
    <row r="203" spans="1:14" x14ac:dyDescent="0.25">
      <c r="A203">
        <v>12585</v>
      </c>
      <c r="B203" t="s">
        <v>13</v>
      </c>
      <c r="C203" t="s">
        <v>21</v>
      </c>
      <c r="D203" s="1">
        <v>10000</v>
      </c>
      <c r="E203">
        <v>1</v>
      </c>
      <c r="F203" t="s">
        <v>31</v>
      </c>
      <c r="G203" t="s">
        <v>29</v>
      </c>
      <c r="H203" t="s">
        <v>17</v>
      </c>
      <c r="I203">
        <v>0</v>
      </c>
      <c r="J203" t="s">
        <v>25</v>
      </c>
      <c r="K203" t="s">
        <v>28</v>
      </c>
      <c r="L203" t="str" cm="1">
        <f t="array" ref="L203">_xlfn.IFS(bike_buyers[[#This Row],[Age]]&gt;= 70, "senior citizen", bike_buyers[[#This Row],[Age]]&gt;=55, "middle age",  bike_buyers[[#This Row],[Age]]&gt;=40,"mature adult ", bike_buyers[[#This Row],[Age]]&gt;=30, "adults", bike_buyers[[#This Row],[Age]]&gt;= 20, "young adults")</f>
        <v>young adults</v>
      </c>
      <c r="M203">
        <v>27</v>
      </c>
      <c r="N203" t="s">
        <v>17</v>
      </c>
    </row>
    <row r="204" spans="1:14" x14ac:dyDescent="0.25">
      <c r="A204">
        <v>18626</v>
      </c>
      <c r="B204" t="s">
        <v>26</v>
      </c>
      <c r="C204" t="s">
        <v>21</v>
      </c>
      <c r="D204" s="1">
        <v>40000</v>
      </c>
      <c r="E204">
        <v>2</v>
      </c>
      <c r="F204" t="s">
        <v>22</v>
      </c>
      <c r="G204" t="s">
        <v>23</v>
      </c>
      <c r="H204" t="s">
        <v>17</v>
      </c>
      <c r="I204">
        <v>0</v>
      </c>
      <c r="J204" t="s">
        <v>30</v>
      </c>
      <c r="K204" t="s">
        <v>19</v>
      </c>
      <c r="L204" t="str" cm="1">
        <f t="array" ref="L204">_xlfn.IFS(bike_buyers[[#This Row],[Age]]&gt;= 70, "senior citizen", bike_buyers[[#This Row],[Age]]&gt;=55, "middle age",  bike_buyers[[#This Row],[Age]]&gt;=40,"mature adult ", bike_buyers[[#This Row],[Age]]&gt;=30, "adults", bike_buyers[[#This Row],[Age]]&gt;= 20, "young adults")</f>
        <v>adults</v>
      </c>
      <c r="M204">
        <v>33</v>
      </c>
      <c r="N204" t="s">
        <v>17</v>
      </c>
    </row>
    <row r="205" spans="1:14" x14ac:dyDescent="0.25">
      <c r="A205">
        <v>29298</v>
      </c>
      <c r="B205" t="s">
        <v>26</v>
      </c>
      <c r="C205" t="s">
        <v>14</v>
      </c>
      <c r="D205" s="1">
        <v>60000</v>
      </c>
      <c r="E205">
        <v>1</v>
      </c>
      <c r="F205" t="s">
        <v>22</v>
      </c>
      <c r="G205" t="s">
        <v>16</v>
      </c>
      <c r="H205" t="s">
        <v>17</v>
      </c>
      <c r="I205">
        <v>1</v>
      </c>
      <c r="J205" t="s">
        <v>27</v>
      </c>
      <c r="K205" t="s">
        <v>28</v>
      </c>
      <c r="L205" t="str" cm="1">
        <f t="array" ref="L205">_xlfn.IFS(bike_buyers[[#This Row],[Age]]&gt;= 70, "senior citizen", bike_buyers[[#This Row],[Age]]&gt;=55, "middle age",  bike_buyers[[#This Row],[Age]]&gt;=40,"mature adult ", bike_buyers[[#This Row],[Age]]&gt;=30, "adults", bike_buyers[[#This Row],[Age]]&gt;= 20, "young adults")</f>
        <v xml:space="preserve">mature adult </v>
      </c>
      <c r="M205">
        <v>46</v>
      </c>
      <c r="N205" t="s">
        <v>17</v>
      </c>
    </row>
    <row r="206" spans="1:14" x14ac:dyDescent="0.25">
      <c r="A206">
        <v>24842</v>
      </c>
      <c r="B206" t="s">
        <v>26</v>
      </c>
      <c r="C206" t="s">
        <v>14</v>
      </c>
      <c r="D206" s="1">
        <v>90000</v>
      </c>
      <c r="E206">
        <v>3</v>
      </c>
      <c r="F206" t="s">
        <v>31</v>
      </c>
      <c r="G206" t="s">
        <v>24</v>
      </c>
      <c r="H206" t="s">
        <v>20</v>
      </c>
      <c r="I206">
        <v>1</v>
      </c>
      <c r="J206" t="s">
        <v>25</v>
      </c>
      <c r="K206" t="s">
        <v>19</v>
      </c>
      <c r="L206" t="str" cm="1">
        <f t="array" ref="L206">_xlfn.IFS(bike_buyers[[#This Row],[Age]]&gt;= 70, "senior citizen", bike_buyers[[#This Row],[Age]]&gt;=55, "middle age",  bike_buyers[[#This Row],[Age]]&gt;=40,"mature adult ", bike_buyers[[#This Row],[Age]]&gt;=30, "adults", bike_buyers[[#This Row],[Age]]&gt;= 20, "young adults")</f>
        <v xml:space="preserve">mature adult </v>
      </c>
      <c r="M206">
        <v>51</v>
      </c>
      <c r="N206" t="s">
        <v>20</v>
      </c>
    </row>
    <row r="207" spans="1:14" x14ac:dyDescent="0.25">
      <c r="A207">
        <v>15657</v>
      </c>
      <c r="B207" t="s">
        <v>13</v>
      </c>
      <c r="C207" t="s">
        <v>21</v>
      </c>
      <c r="D207" s="1">
        <v>30000</v>
      </c>
      <c r="E207">
        <v>3</v>
      </c>
      <c r="F207" t="s">
        <v>34</v>
      </c>
      <c r="G207" t="s">
        <v>23</v>
      </c>
      <c r="H207" t="s">
        <v>17</v>
      </c>
      <c r="I207">
        <v>0</v>
      </c>
      <c r="J207" t="s">
        <v>18</v>
      </c>
      <c r="K207" t="s">
        <v>19</v>
      </c>
      <c r="L207" t="str" cm="1">
        <f t="array" ref="L207">_xlfn.IFS(bike_buyers[[#This Row],[Age]]&gt;= 70, "senior citizen", bike_buyers[[#This Row],[Age]]&gt;=55, "middle age",  bike_buyers[[#This Row],[Age]]&gt;=40,"mature adult ", bike_buyers[[#This Row],[Age]]&gt;=30, "adults", bike_buyers[[#This Row],[Age]]&gt;= 20, "young adults")</f>
        <v xml:space="preserve">mature adult </v>
      </c>
      <c r="M207">
        <v>46</v>
      </c>
      <c r="N207" t="s">
        <v>17</v>
      </c>
    </row>
    <row r="208" spans="1:14" x14ac:dyDescent="0.25">
      <c r="A208">
        <v>11415</v>
      </c>
      <c r="B208" t="s">
        <v>26</v>
      </c>
      <c r="C208" t="s">
        <v>21</v>
      </c>
      <c r="D208" s="1">
        <v>90000</v>
      </c>
      <c r="E208">
        <v>5</v>
      </c>
      <c r="F208" t="s">
        <v>22</v>
      </c>
      <c r="G208" t="s">
        <v>24</v>
      </c>
      <c r="H208" t="s">
        <v>20</v>
      </c>
      <c r="I208">
        <v>2</v>
      </c>
      <c r="J208" t="s">
        <v>41</v>
      </c>
      <c r="K208" t="s">
        <v>19</v>
      </c>
      <c r="L208" t="str" cm="1">
        <f t="array" ref="L208">_xlfn.IFS(bike_buyers[[#This Row],[Age]]&gt;= 70, "senior citizen", bike_buyers[[#This Row],[Age]]&gt;=55, "middle age",  bike_buyers[[#This Row],[Age]]&gt;=40,"mature adult ", bike_buyers[[#This Row],[Age]]&gt;=30, "adults", bike_buyers[[#This Row],[Age]]&gt;= 20, "young adults")</f>
        <v>middle age</v>
      </c>
      <c r="M208">
        <v>62</v>
      </c>
      <c r="N208" t="s">
        <v>20</v>
      </c>
    </row>
    <row r="209" spans="1:14" x14ac:dyDescent="0.25">
      <c r="A209">
        <v>28729</v>
      </c>
      <c r="B209" t="s">
        <v>26</v>
      </c>
      <c r="C209" t="s">
        <v>14</v>
      </c>
      <c r="D209" s="1">
        <v>20000</v>
      </c>
      <c r="E209">
        <v>0</v>
      </c>
      <c r="F209" t="s">
        <v>33</v>
      </c>
      <c r="G209" t="s">
        <v>29</v>
      </c>
      <c r="H209" t="s">
        <v>17</v>
      </c>
      <c r="I209">
        <v>2</v>
      </c>
      <c r="J209" t="s">
        <v>30</v>
      </c>
      <c r="K209" t="s">
        <v>19</v>
      </c>
      <c r="L209" t="str" cm="1">
        <f t="array" ref="L209">_xlfn.IFS(bike_buyers[[#This Row],[Age]]&gt;= 70, "senior citizen", bike_buyers[[#This Row],[Age]]&gt;=55, "middle age",  bike_buyers[[#This Row],[Age]]&gt;=40,"mature adult ", bike_buyers[[#This Row],[Age]]&gt;=30, "adults", bike_buyers[[#This Row],[Age]]&gt;= 20, "young adults")</f>
        <v>young adults</v>
      </c>
      <c r="M209">
        <v>26</v>
      </c>
      <c r="N209" t="s">
        <v>17</v>
      </c>
    </row>
    <row r="210" spans="1:14" x14ac:dyDescent="0.25">
      <c r="A210">
        <v>22633</v>
      </c>
      <c r="B210" t="s">
        <v>26</v>
      </c>
      <c r="C210" t="s">
        <v>14</v>
      </c>
      <c r="D210" s="1">
        <v>40000</v>
      </c>
      <c r="E210">
        <v>0</v>
      </c>
      <c r="F210" t="s">
        <v>34</v>
      </c>
      <c r="G210" t="s">
        <v>23</v>
      </c>
      <c r="H210" t="s">
        <v>17</v>
      </c>
      <c r="I210">
        <v>0</v>
      </c>
      <c r="J210" t="s">
        <v>18</v>
      </c>
      <c r="K210" t="s">
        <v>19</v>
      </c>
      <c r="L210" t="str" cm="1">
        <f t="array" ref="L210">_xlfn.IFS(bike_buyers[[#This Row],[Age]]&gt;= 70, "senior citizen", bike_buyers[[#This Row],[Age]]&gt;=55, "middle age",  bike_buyers[[#This Row],[Age]]&gt;=40,"mature adult ", bike_buyers[[#This Row],[Age]]&gt;=30, "adults", bike_buyers[[#This Row],[Age]]&gt;= 20, "young adults")</f>
        <v>adults</v>
      </c>
      <c r="M210">
        <v>37</v>
      </c>
      <c r="N210" t="s">
        <v>17</v>
      </c>
    </row>
    <row r="211" spans="1:14" x14ac:dyDescent="0.25">
      <c r="A211">
        <v>25649</v>
      </c>
      <c r="B211" t="s">
        <v>26</v>
      </c>
      <c r="C211" t="s">
        <v>14</v>
      </c>
      <c r="D211" s="1">
        <v>30000</v>
      </c>
      <c r="E211">
        <v>3</v>
      </c>
      <c r="F211" t="s">
        <v>22</v>
      </c>
      <c r="G211" t="s">
        <v>23</v>
      </c>
      <c r="H211" t="s">
        <v>17</v>
      </c>
      <c r="I211">
        <v>0</v>
      </c>
      <c r="J211" t="s">
        <v>18</v>
      </c>
      <c r="K211" t="s">
        <v>19</v>
      </c>
      <c r="L211" t="str" cm="1">
        <f t="array" ref="L211">_xlfn.IFS(bike_buyers[[#This Row],[Age]]&gt;= 70, "senior citizen", bike_buyers[[#This Row],[Age]]&gt;=55, "middle age",  bike_buyers[[#This Row],[Age]]&gt;=40,"mature adult ", bike_buyers[[#This Row],[Age]]&gt;=30, "adults", bike_buyers[[#This Row],[Age]]&gt;= 20, "young adults")</f>
        <v xml:space="preserve">mature adult </v>
      </c>
      <c r="M211">
        <v>42</v>
      </c>
      <c r="N211" t="s">
        <v>17</v>
      </c>
    </row>
    <row r="212" spans="1:14" x14ac:dyDescent="0.25">
      <c r="A212">
        <v>14669</v>
      </c>
      <c r="B212" t="s">
        <v>13</v>
      </c>
      <c r="C212" t="s">
        <v>14</v>
      </c>
      <c r="D212" s="1">
        <v>80000</v>
      </c>
      <c r="E212">
        <v>4</v>
      </c>
      <c r="F212" t="s">
        <v>34</v>
      </c>
      <c r="G212" t="s">
        <v>32</v>
      </c>
      <c r="H212" t="s">
        <v>17</v>
      </c>
      <c r="I212">
        <v>1</v>
      </c>
      <c r="J212" t="s">
        <v>18</v>
      </c>
      <c r="K212" t="s">
        <v>28</v>
      </c>
      <c r="L212" t="str" cm="1">
        <f t="array" ref="L212">_xlfn.IFS(bike_buyers[[#This Row],[Age]]&gt;= 70, "senior citizen", bike_buyers[[#This Row],[Age]]&gt;=55, "middle age",  bike_buyers[[#This Row],[Age]]&gt;=40,"mature adult ", bike_buyers[[#This Row],[Age]]&gt;=30, "adults", bike_buyers[[#This Row],[Age]]&gt;= 20, "young adults")</f>
        <v>adults</v>
      </c>
      <c r="M212">
        <v>36</v>
      </c>
      <c r="N212" t="s">
        <v>20</v>
      </c>
    </row>
    <row r="213" spans="1:14" x14ac:dyDescent="0.25">
      <c r="A213">
        <v>19299</v>
      </c>
      <c r="B213" t="s">
        <v>13</v>
      </c>
      <c r="C213" t="s">
        <v>14</v>
      </c>
      <c r="D213" s="1">
        <v>50000</v>
      </c>
      <c r="E213">
        <v>0</v>
      </c>
      <c r="F213" t="s">
        <v>34</v>
      </c>
      <c r="G213" t="s">
        <v>16</v>
      </c>
      <c r="H213" t="s">
        <v>17</v>
      </c>
      <c r="I213">
        <v>0</v>
      </c>
      <c r="J213" t="s">
        <v>18</v>
      </c>
      <c r="K213" t="s">
        <v>19</v>
      </c>
      <c r="L213" t="str" cm="1">
        <f t="array" ref="L213">_xlfn.IFS(bike_buyers[[#This Row],[Age]]&gt;= 70, "senior citizen", bike_buyers[[#This Row],[Age]]&gt;=55, "middle age",  bike_buyers[[#This Row],[Age]]&gt;=40,"mature adult ", bike_buyers[[#This Row],[Age]]&gt;=30, "adults", bike_buyers[[#This Row],[Age]]&gt;= 20, "young adults")</f>
        <v>adults</v>
      </c>
      <c r="M213">
        <v>36</v>
      </c>
      <c r="N213" t="s">
        <v>17</v>
      </c>
    </row>
    <row r="214" spans="1:14" x14ac:dyDescent="0.25">
      <c r="A214">
        <v>20946</v>
      </c>
      <c r="B214" t="s">
        <v>26</v>
      </c>
      <c r="C214" t="s">
        <v>14</v>
      </c>
      <c r="D214" s="1">
        <v>30000</v>
      </c>
      <c r="E214">
        <v>0</v>
      </c>
      <c r="F214" t="s">
        <v>22</v>
      </c>
      <c r="G214" t="s">
        <v>23</v>
      </c>
      <c r="H214" t="s">
        <v>20</v>
      </c>
      <c r="I214">
        <v>1</v>
      </c>
      <c r="J214" t="s">
        <v>25</v>
      </c>
      <c r="K214" t="s">
        <v>19</v>
      </c>
      <c r="L214" t="str" cm="1">
        <f t="array" ref="L214">_xlfn.IFS(bike_buyers[[#This Row],[Age]]&gt;= 70, "senior citizen", bike_buyers[[#This Row],[Age]]&gt;=55, "middle age",  bike_buyers[[#This Row],[Age]]&gt;=40,"mature adult ", bike_buyers[[#This Row],[Age]]&gt;=30, "adults", bike_buyers[[#This Row],[Age]]&gt;= 20, "young adults")</f>
        <v>adults</v>
      </c>
      <c r="M214">
        <v>30</v>
      </c>
      <c r="N214" t="s">
        <v>20</v>
      </c>
    </row>
    <row r="215" spans="1:14" x14ac:dyDescent="0.25">
      <c r="A215">
        <v>11451</v>
      </c>
      <c r="B215" t="s">
        <v>26</v>
      </c>
      <c r="C215" t="s">
        <v>21</v>
      </c>
      <c r="D215" s="1">
        <v>70000</v>
      </c>
      <c r="E215">
        <v>0</v>
      </c>
      <c r="F215" t="s">
        <v>15</v>
      </c>
      <c r="G215" t="s">
        <v>24</v>
      </c>
      <c r="H215" t="s">
        <v>20</v>
      </c>
      <c r="I215">
        <v>4</v>
      </c>
      <c r="J215" t="s">
        <v>41</v>
      </c>
      <c r="K215" t="s">
        <v>28</v>
      </c>
      <c r="L215" t="str" cm="1">
        <f t="array" ref="L215">_xlfn.IFS(bike_buyers[[#This Row],[Age]]&gt;= 70, "senior citizen", bike_buyers[[#This Row],[Age]]&gt;=55, "middle age",  bike_buyers[[#This Row],[Age]]&gt;=40,"mature adult ", bike_buyers[[#This Row],[Age]]&gt;=30, "adults", bike_buyers[[#This Row],[Age]]&gt;= 20, "young adults")</f>
        <v>adults</v>
      </c>
      <c r="M215">
        <v>31</v>
      </c>
      <c r="N215" t="s">
        <v>17</v>
      </c>
    </row>
    <row r="216" spans="1:14" x14ac:dyDescent="0.25">
      <c r="A216">
        <v>25553</v>
      </c>
      <c r="B216" t="s">
        <v>13</v>
      </c>
      <c r="C216" t="s">
        <v>21</v>
      </c>
      <c r="D216" s="1">
        <v>30000</v>
      </c>
      <c r="E216">
        <v>1</v>
      </c>
      <c r="F216" t="s">
        <v>15</v>
      </c>
      <c r="G216" t="s">
        <v>23</v>
      </c>
      <c r="H216" t="s">
        <v>17</v>
      </c>
      <c r="I216">
        <v>0</v>
      </c>
      <c r="J216" t="s">
        <v>18</v>
      </c>
      <c r="K216" t="s">
        <v>19</v>
      </c>
      <c r="L216" t="str" cm="1">
        <f t="array" ref="L216">_xlfn.IFS(bike_buyers[[#This Row],[Age]]&gt;= 70, "senior citizen", bike_buyers[[#This Row],[Age]]&gt;=55, "middle age",  bike_buyers[[#This Row],[Age]]&gt;=40,"mature adult ", bike_buyers[[#This Row],[Age]]&gt;=30, "adults", bike_buyers[[#This Row],[Age]]&gt;= 20, "young adults")</f>
        <v>middle age</v>
      </c>
      <c r="M216">
        <v>65</v>
      </c>
      <c r="N216" t="s">
        <v>17</v>
      </c>
    </row>
    <row r="217" spans="1:14" x14ac:dyDescent="0.25">
      <c r="A217">
        <v>27951</v>
      </c>
      <c r="B217" t="s">
        <v>26</v>
      </c>
      <c r="C217" t="s">
        <v>21</v>
      </c>
      <c r="D217" s="1">
        <v>80000</v>
      </c>
      <c r="E217">
        <v>4</v>
      </c>
      <c r="F217" t="s">
        <v>22</v>
      </c>
      <c r="G217" t="s">
        <v>24</v>
      </c>
      <c r="H217" t="s">
        <v>20</v>
      </c>
      <c r="I217">
        <v>2</v>
      </c>
      <c r="J217" t="s">
        <v>25</v>
      </c>
      <c r="K217" t="s">
        <v>19</v>
      </c>
      <c r="L217" t="str" cm="1">
        <f t="array" ref="L217">_xlfn.IFS(bike_buyers[[#This Row],[Age]]&gt;= 70, "senior citizen", bike_buyers[[#This Row],[Age]]&gt;=55, "middle age",  bike_buyers[[#This Row],[Age]]&gt;=40,"mature adult ", bike_buyers[[#This Row],[Age]]&gt;=30, "adults", bike_buyers[[#This Row],[Age]]&gt;= 20, "young adults")</f>
        <v xml:space="preserve">mature adult </v>
      </c>
      <c r="M217">
        <v>54</v>
      </c>
      <c r="N217" t="s">
        <v>17</v>
      </c>
    </row>
    <row r="218" spans="1:14" x14ac:dyDescent="0.25">
      <c r="A218">
        <v>25026</v>
      </c>
      <c r="B218" t="s">
        <v>13</v>
      </c>
      <c r="C218" t="s">
        <v>21</v>
      </c>
      <c r="D218" s="1">
        <v>20000</v>
      </c>
      <c r="E218">
        <v>2</v>
      </c>
      <c r="F218" t="s">
        <v>33</v>
      </c>
      <c r="G218" t="s">
        <v>23</v>
      </c>
      <c r="H218" t="s">
        <v>17</v>
      </c>
      <c r="I218">
        <v>3</v>
      </c>
      <c r="J218" t="s">
        <v>27</v>
      </c>
      <c r="K218" t="s">
        <v>28</v>
      </c>
      <c r="L218" t="str" cm="1">
        <f t="array" ref="L218">_xlfn.IFS(bike_buyers[[#This Row],[Age]]&gt;= 70, "senior citizen", bike_buyers[[#This Row],[Age]]&gt;=55, "middle age",  bike_buyers[[#This Row],[Age]]&gt;=40,"mature adult ", bike_buyers[[#This Row],[Age]]&gt;=30, "adults", bike_buyers[[#This Row],[Age]]&gt;= 20, "young adults")</f>
        <v xml:space="preserve">mature adult </v>
      </c>
      <c r="M218">
        <v>54</v>
      </c>
      <c r="N218" t="s">
        <v>20</v>
      </c>
    </row>
    <row r="219" spans="1:14" x14ac:dyDescent="0.25">
      <c r="A219">
        <v>13673</v>
      </c>
      <c r="B219" t="s">
        <v>26</v>
      </c>
      <c r="C219" t="s">
        <v>14</v>
      </c>
      <c r="D219" s="1">
        <v>20000</v>
      </c>
      <c r="E219">
        <v>0</v>
      </c>
      <c r="F219" t="s">
        <v>33</v>
      </c>
      <c r="G219" t="s">
        <v>29</v>
      </c>
      <c r="H219" t="s">
        <v>20</v>
      </c>
      <c r="I219">
        <v>2</v>
      </c>
      <c r="J219" t="s">
        <v>18</v>
      </c>
      <c r="K219" t="s">
        <v>19</v>
      </c>
      <c r="L219" t="str" cm="1">
        <f t="array" ref="L219">_xlfn.IFS(bike_buyers[[#This Row],[Age]]&gt;= 70, "senior citizen", bike_buyers[[#This Row],[Age]]&gt;=55, "middle age",  bike_buyers[[#This Row],[Age]]&gt;=40,"mature adult ", bike_buyers[[#This Row],[Age]]&gt;=30, "adults", bike_buyers[[#This Row],[Age]]&gt;= 20, "young adults")</f>
        <v>young adults</v>
      </c>
      <c r="M219">
        <v>25</v>
      </c>
      <c r="N219" t="s">
        <v>20</v>
      </c>
    </row>
    <row r="220" spans="1:14" x14ac:dyDescent="0.25">
      <c r="A220">
        <v>16043</v>
      </c>
      <c r="B220" t="s">
        <v>26</v>
      </c>
      <c r="C220" t="s">
        <v>21</v>
      </c>
      <c r="D220" s="1">
        <v>10000</v>
      </c>
      <c r="E220">
        <v>1</v>
      </c>
      <c r="F220" t="s">
        <v>15</v>
      </c>
      <c r="G220" t="s">
        <v>29</v>
      </c>
      <c r="H220" t="s">
        <v>17</v>
      </c>
      <c r="I220">
        <v>0</v>
      </c>
      <c r="J220" t="s">
        <v>18</v>
      </c>
      <c r="K220" t="s">
        <v>19</v>
      </c>
      <c r="L220" t="str" cm="1">
        <f t="array" ref="L220">_xlfn.IFS(bike_buyers[[#This Row],[Age]]&gt;= 70, "senior citizen", bike_buyers[[#This Row],[Age]]&gt;=55, "middle age",  bike_buyers[[#This Row],[Age]]&gt;=40,"mature adult ", bike_buyers[[#This Row],[Age]]&gt;=30, "adults", bike_buyers[[#This Row],[Age]]&gt;= 20, "young adults")</f>
        <v xml:space="preserve">mature adult </v>
      </c>
      <c r="M220">
        <v>48</v>
      </c>
      <c r="N220" t="s">
        <v>20</v>
      </c>
    </row>
    <row r="221" spans="1:14" x14ac:dyDescent="0.25">
      <c r="A221">
        <v>22399</v>
      </c>
      <c r="B221" t="s">
        <v>26</v>
      </c>
      <c r="C221" t="s">
        <v>21</v>
      </c>
      <c r="D221" s="1">
        <v>10000</v>
      </c>
      <c r="E221">
        <v>0</v>
      </c>
      <c r="F221" t="s">
        <v>22</v>
      </c>
      <c r="G221" t="s">
        <v>29</v>
      </c>
      <c r="H221" t="s">
        <v>17</v>
      </c>
      <c r="I221">
        <v>1</v>
      </c>
      <c r="J221" t="s">
        <v>30</v>
      </c>
      <c r="K221" t="s">
        <v>28</v>
      </c>
      <c r="L221" t="str" cm="1">
        <f t="array" ref="L221">_xlfn.IFS(bike_buyers[[#This Row],[Age]]&gt;= 70, "senior citizen", bike_buyers[[#This Row],[Age]]&gt;=55, "middle age",  bike_buyers[[#This Row],[Age]]&gt;=40,"mature adult ", bike_buyers[[#This Row],[Age]]&gt;=30, "adults", bike_buyers[[#This Row],[Age]]&gt;= 20, "young adults")</f>
        <v>young adults</v>
      </c>
      <c r="M221">
        <v>26</v>
      </c>
      <c r="N221" t="s">
        <v>17</v>
      </c>
    </row>
    <row r="222" spans="1:14" x14ac:dyDescent="0.25">
      <c r="A222">
        <v>27696</v>
      </c>
      <c r="B222" t="s">
        <v>13</v>
      </c>
      <c r="C222" t="s">
        <v>21</v>
      </c>
      <c r="D222" s="1">
        <v>60000</v>
      </c>
      <c r="E222">
        <v>1</v>
      </c>
      <c r="F222" t="s">
        <v>15</v>
      </c>
      <c r="G222" t="s">
        <v>24</v>
      </c>
      <c r="H222" t="s">
        <v>17</v>
      </c>
      <c r="I222">
        <v>1</v>
      </c>
      <c r="J222" t="s">
        <v>27</v>
      </c>
      <c r="K222" t="s">
        <v>28</v>
      </c>
      <c r="L222" t="str" cm="1">
        <f t="array" ref="L222">_xlfn.IFS(bike_buyers[[#This Row],[Age]]&gt;= 70, "senior citizen", bike_buyers[[#This Row],[Age]]&gt;=55, "middle age",  bike_buyers[[#This Row],[Age]]&gt;=40,"mature adult ", bike_buyers[[#This Row],[Age]]&gt;=30, "adults", bike_buyers[[#This Row],[Age]]&gt;= 20, "young adults")</f>
        <v xml:space="preserve">mature adult </v>
      </c>
      <c r="M222">
        <v>43</v>
      </c>
      <c r="N222" t="s">
        <v>17</v>
      </c>
    </row>
    <row r="223" spans="1:14" x14ac:dyDescent="0.25">
      <c r="A223">
        <v>25313</v>
      </c>
      <c r="B223" t="s">
        <v>26</v>
      </c>
      <c r="C223" t="s">
        <v>21</v>
      </c>
      <c r="D223" s="1">
        <v>10000</v>
      </c>
      <c r="E223">
        <v>0</v>
      </c>
      <c r="F223" t="s">
        <v>33</v>
      </c>
      <c r="G223" t="s">
        <v>29</v>
      </c>
      <c r="H223" t="s">
        <v>20</v>
      </c>
      <c r="I223">
        <v>2</v>
      </c>
      <c r="J223" t="s">
        <v>30</v>
      </c>
      <c r="K223" t="s">
        <v>19</v>
      </c>
      <c r="L223" t="str" cm="1">
        <f t="array" ref="L223">_xlfn.IFS(bike_buyers[[#This Row],[Age]]&gt;= 70, "senior citizen", bike_buyers[[#This Row],[Age]]&gt;=55, "middle age",  bike_buyers[[#This Row],[Age]]&gt;=40,"mature adult ", bike_buyers[[#This Row],[Age]]&gt;=30, "adults", bike_buyers[[#This Row],[Age]]&gt;= 20, "young adults")</f>
        <v>adults</v>
      </c>
      <c r="M223">
        <v>35</v>
      </c>
      <c r="N223" t="s">
        <v>20</v>
      </c>
    </row>
    <row r="224" spans="1:14" x14ac:dyDescent="0.25">
      <c r="A224">
        <v>13813</v>
      </c>
      <c r="B224" t="s">
        <v>13</v>
      </c>
      <c r="C224" t="s">
        <v>14</v>
      </c>
      <c r="D224" s="1">
        <v>30000</v>
      </c>
      <c r="E224">
        <v>3</v>
      </c>
      <c r="F224" t="s">
        <v>22</v>
      </c>
      <c r="G224" t="s">
        <v>23</v>
      </c>
      <c r="H224" t="s">
        <v>20</v>
      </c>
      <c r="I224">
        <v>0</v>
      </c>
      <c r="J224" t="s">
        <v>18</v>
      </c>
      <c r="K224" t="s">
        <v>19</v>
      </c>
      <c r="L224" t="str" cm="1">
        <f t="array" ref="L224">_xlfn.IFS(bike_buyers[[#This Row],[Age]]&gt;= 70, "senior citizen", bike_buyers[[#This Row],[Age]]&gt;=55, "middle age",  bike_buyers[[#This Row],[Age]]&gt;=40,"mature adult ", bike_buyers[[#This Row],[Age]]&gt;=30, "adults", bike_buyers[[#This Row],[Age]]&gt;= 20, "young adults")</f>
        <v xml:space="preserve">mature adult </v>
      </c>
      <c r="M224">
        <v>42</v>
      </c>
      <c r="N224" t="s">
        <v>20</v>
      </c>
    </row>
    <row r="225" spans="1:14" x14ac:dyDescent="0.25">
      <c r="A225">
        <v>18711</v>
      </c>
      <c r="B225" t="s">
        <v>26</v>
      </c>
      <c r="C225" t="s">
        <v>14</v>
      </c>
      <c r="D225" s="1">
        <v>70000</v>
      </c>
      <c r="E225">
        <v>5</v>
      </c>
      <c r="F225" t="s">
        <v>15</v>
      </c>
      <c r="G225" t="s">
        <v>24</v>
      </c>
      <c r="H225" t="s">
        <v>17</v>
      </c>
      <c r="I225">
        <v>4</v>
      </c>
      <c r="J225" t="s">
        <v>41</v>
      </c>
      <c r="K225" t="s">
        <v>28</v>
      </c>
      <c r="L225" t="str" cm="1">
        <f t="array" ref="L225">_xlfn.IFS(bike_buyers[[#This Row],[Age]]&gt;= 70, "senior citizen", bike_buyers[[#This Row],[Age]]&gt;=55, "middle age",  bike_buyers[[#This Row],[Age]]&gt;=40,"mature adult ", bike_buyers[[#This Row],[Age]]&gt;=30, "adults", bike_buyers[[#This Row],[Age]]&gt;= 20, "young adults")</f>
        <v>adults</v>
      </c>
      <c r="M225">
        <v>39</v>
      </c>
      <c r="N225" t="s">
        <v>20</v>
      </c>
    </row>
    <row r="226" spans="1:14" x14ac:dyDescent="0.25">
      <c r="A226">
        <v>19650</v>
      </c>
      <c r="B226" t="s">
        <v>13</v>
      </c>
      <c r="C226" t="s">
        <v>14</v>
      </c>
      <c r="D226" s="1">
        <v>30000</v>
      </c>
      <c r="E226">
        <v>2</v>
      </c>
      <c r="F226" t="s">
        <v>22</v>
      </c>
      <c r="G226" t="s">
        <v>23</v>
      </c>
      <c r="H226" t="s">
        <v>20</v>
      </c>
      <c r="I226">
        <v>2</v>
      </c>
      <c r="J226" t="s">
        <v>18</v>
      </c>
      <c r="K226" t="s">
        <v>28</v>
      </c>
      <c r="L226" t="str" cm="1">
        <f t="array" ref="L226">_xlfn.IFS(bike_buyers[[#This Row],[Age]]&gt;= 70, "senior citizen", bike_buyers[[#This Row],[Age]]&gt;=55, "middle age",  bike_buyers[[#This Row],[Age]]&gt;=40,"mature adult ", bike_buyers[[#This Row],[Age]]&gt;=30, "adults", bike_buyers[[#This Row],[Age]]&gt;= 20, "young adults")</f>
        <v>middle age</v>
      </c>
      <c r="M226">
        <v>67</v>
      </c>
      <c r="N226" t="s">
        <v>20</v>
      </c>
    </row>
    <row r="227" spans="1:14" x14ac:dyDescent="0.25">
      <c r="A227">
        <v>14135</v>
      </c>
      <c r="B227" t="s">
        <v>13</v>
      </c>
      <c r="C227" t="s">
        <v>21</v>
      </c>
      <c r="D227" s="1">
        <v>20000</v>
      </c>
      <c r="E227">
        <v>1</v>
      </c>
      <c r="F227" t="s">
        <v>22</v>
      </c>
      <c r="G227" t="s">
        <v>29</v>
      </c>
      <c r="H227" t="s">
        <v>17</v>
      </c>
      <c r="I227">
        <v>0</v>
      </c>
      <c r="J227" t="s">
        <v>30</v>
      </c>
      <c r="K227" t="s">
        <v>19</v>
      </c>
      <c r="L227" t="str" cm="1">
        <f t="array" ref="L227">_xlfn.IFS(bike_buyers[[#This Row],[Age]]&gt;= 70, "senior citizen", bike_buyers[[#This Row],[Age]]&gt;=55, "middle age",  bike_buyers[[#This Row],[Age]]&gt;=40,"mature adult ", bike_buyers[[#This Row],[Age]]&gt;=30, "adults", bike_buyers[[#This Row],[Age]]&gt;= 20, "young adults")</f>
        <v>adults</v>
      </c>
      <c r="M227">
        <v>35</v>
      </c>
      <c r="N227" t="s">
        <v>20</v>
      </c>
    </row>
    <row r="228" spans="1:14" x14ac:dyDescent="0.25">
      <c r="A228">
        <v>12833</v>
      </c>
      <c r="B228" t="s">
        <v>26</v>
      </c>
      <c r="C228" t="s">
        <v>14</v>
      </c>
      <c r="D228" s="1">
        <v>20000</v>
      </c>
      <c r="E228">
        <v>3</v>
      </c>
      <c r="F228" t="s">
        <v>31</v>
      </c>
      <c r="G228" t="s">
        <v>29</v>
      </c>
      <c r="H228" t="s">
        <v>17</v>
      </c>
      <c r="I228">
        <v>1</v>
      </c>
      <c r="J228" t="s">
        <v>18</v>
      </c>
      <c r="K228" t="s">
        <v>19</v>
      </c>
      <c r="L228" t="str" cm="1">
        <f t="array" ref="L228">_xlfn.IFS(bike_buyers[[#This Row],[Age]]&gt;= 70, "senior citizen", bike_buyers[[#This Row],[Age]]&gt;=55, "middle age",  bike_buyers[[#This Row],[Age]]&gt;=40,"mature adult ", bike_buyers[[#This Row],[Age]]&gt;=30, "adults", bike_buyers[[#This Row],[Age]]&gt;= 20, "young adults")</f>
        <v xml:space="preserve">mature adult </v>
      </c>
      <c r="M228">
        <v>42</v>
      </c>
      <c r="N228" t="s">
        <v>17</v>
      </c>
    </row>
    <row r="229" spans="1:14" x14ac:dyDescent="0.25">
      <c r="A229">
        <v>26849</v>
      </c>
      <c r="B229" t="s">
        <v>13</v>
      </c>
      <c r="C229" t="s">
        <v>21</v>
      </c>
      <c r="D229" s="1">
        <v>10000</v>
      </c>
      <c r="E229">
        <v>3</v>
      </c>
      <c r="F229" t="s">
        <v>33</v>
      </c>
      <c r="G229" t="s">
        <v>29</v>
      </c>
      <c r="H229" t="s">
        <v>17</v>
      </c>
      <c r="I229">
        <v>2</v>
      </c>
      <c r="J229" t="s">
        <v>18</v>
      </c>
      <c r="K229" t="s">
        <v>19</v>
      </c>
      <c r="L229" t="str" cm="1">
        <f t="array" ref="L229">_xlfn.IFS(bike_buyers[[#This Row],[Age]]&gt;= 70, "senior citizen", bike_buyers[[#This Row],[Age]]&gt;=55, "middle age",  bike_buyers[[#This Row],[Age]]&gt;=40,"mature adult ", bike_buyers[[#This Row],[Age]]&gt;=30, "adults", bike_buyers[[#This Row],[Age]]&gt;= 20, "young adults")</f>
        <v xml:space="preserve">mature adult </v>
      </c>
      <c r="M229">
        <v>43</v>
      </c>
      <c r="N229" t="s">
        <v>20</v>
      </c>
    </row>
    <row r="230" spans="1:14" x14ac:dyDescent="0.25">
      <c r="A230">
        <v>20962</v>
      </c>
      <c r="B230" t="s">
        <v>13</v>
      </c>
      <c r="C230" t="s">
        <v>14</v>
      </c>
      <c r="D230" s="1">
        <v>20000</v>
      </c>
      <c r="E230">
        <v>1</v>
      </c>
      <c r="F230" t="s">
        <v>34</v>
      </c>
      <c r="G230" t="s">
        <v>23</v>
      </c>
      <c r="H230" t="s">
        <v>17</v>
      </c>
      <c r="I230">
        <v>0</v>
      </c>
      <c r="J230" t="s">
        <v>18</v>
      </c>
      <c r="K230" t="s">
        <v>19</v>
      </c>
      <c r="L230" t="str" cm="1">
        <f t="array" ref="L230">_xlfn.IFS(bike_buyers[[#This Row],[Age]]&gt;= 70, "senior citizen", bike_buyers[[#This Row],[Age]]&gt;=55, "middle age",  bike_buyers[[#This Row],[Age]]&gt;=40,"mature adult ", bike_buyers[[#This Row],[Age]]&gt;=30, "adults", bike_buyers[[#This Row],[Age]]&gt;= 20, "young adults")</f>
        <v xml:space="preserve">mature adult </v>
      </c>
      <c r="M230">
        <v>45</v>
      </c>
      <c r="N230" t="s">
        <v>20</v>
      </c>
    </row>
    <row r="231" spans="1:14" x14ac:dyDescent="0.25">
      <c r="A231">
        <v>28915</v>
      </c>
      <c r="B231" t="s">
        <v>26</v>
      </c>
      <c r="C231" t="s">
        <v>21</v>
      </c>
      <c r="D231" s="1">
        <v>80000</v>
      </c>
      <c r="E231">
        <v>5</v>
      </c>
      <c r="F231" t="s">
        <v>31</v>
      </c>
      <c r="G231" t="s">
        <v>32</v>
      </c>
      <c r="H231" t="s">
        <v>17</v>
      </c>
      <c r="I231">
        <v>3</v>
      </c>
      <c r="J231" t="s">
        <v>41</v>
      </c>
      <c r="K231" t="s">
        <v>19</v>
      </c>
      <c r="L231" t="str" cm="1">
        <f t="array" ref="L231">_xlfn.IFS(bike_buyers[[#This Row],[Age]]&gt;= 70, "senior citizen", bike_buyers[[#This Row],[Age]]&gt;=55, "middle age",  bike_buyers[[#This Row],[Age]]&gt;=40,"mature adult ", bike_buyers[[#This Row],[Age]]&gt;=30, "adults", bike_buyers[[#This Row],[Age]]&gt;= 20, "young adults")</f>
        <v>middle age</v>
      </c>
      <c r="M231">
        <v>57</v>
      </c>
      <c r="N231" t="s">
        <v>20</v>
      </c>
    </row>
    <row r="232" spans="1:14" x14ac:dyDescent="0.25">
      <c r="A232">
        <v>22830</v>
      </c>
      <c r="B232" t="s">
        <v>13</v>
      </c>
      <c r="C232" t="s">
        <v>21</v>
      </c>
      <c r="D232" s="1">
        <v>120000</v>
      </c>
      <c r="E232">
        <v>4</v>
      </c>
      <c r="F232" t="s">
        <v>22</v>
      </c>
      <c r="G232" t="s">
        <v>32</v>
      </c>
      <c r="H232" t="s">
        <v>17</v>
      </c>
      <c r="I232">
        <v>3</v>
      </c>
      <c r="J232" t="s">
        <v>41</v>
      </c>
      <c r="K232" t="s">
        <v>19</v>
      </c>
      <c r="L232" t="str" cm="1">
        <f t="array" ref="L232">_xlfn.IFS(bike_buyers[[#This Row],[Age]]&gt;= 70, "senior citizen", bike_buyers[[#This Row],[Age]]&gt;=55, "middle age",  bike_buyers[[#This Row],[Age]]&gt;=40,"mature adult ", bike_buyers[[#This Row],[Age]]&gt;=30, "adults", bike_buyers[[#This Row],[Age]]&gt;= 20, "young adults")</f>
        <v>middle age</v>
      </c>
      <c r="M232">
        <v>56</v>
      </c>
      <c r="N232" t="s">
        <v>20</v>
      </c>
    </row>
    <row r="233" spans="1:14" x14ac:dyDescent="0.25">
      <c r="A233">
        <v>14777</v>
      </c>
      <c r="B233" t="s">
        <v>13</v>
      </c>
      <c r="C233" t="s">
        <v>14</v>
      </c>
      <c r="D233" s="1">
        <v>40000</v>
      </c>
      <c r="E233">
        <v>0</v>
      </c>
      <c r="F233" t="s">
        <v>15</v>
      </c>
      <c r="G233" t="s">
        <v>23</v>
      </c>
      <c r="H233" t="s">
        <v>17</v>
      </c>
      <c r="I233">
        <v>0</v>
      </c>
      <c r="J233" t="s">
        <v>18</v>
      </c>
      <c r="K233" t="s">
        <v>19</v>
      </c>
      <c r="L233" t="str" cm="1">
        <f t="array" ref="L233">_xlfn.IFS(bike_buyers[[#This Row],[Age]]&gt;= 70, "senior citizen", bike_buyers[[#This Row],[Age]]&gt;=55, "middle age",  bike_buyers[[#This Row],[Age]]&gt;=40,"mature adult ", bike_buyers[[#This Row],[Age]]&gt;=30, "adults", bike_buyers[[#This Row],[Age]]&gt;= 20, "young adults")</f>
        <v>adults</v>
      </c>
      <c r="M233">
        <v>38</v>
      </c>
      <c r="N233" t="s">
        <v>17</v>
      </c>
    </row>
    <row r="234" spans="1:14" x14ac:dyDescent="0.25">
      <c r="A234">
        <v>12591</v>
      </c>
      <c r="B234" t="s">
        <v>13</v>
      </c>
      <c r="C234" t="s">
        <v>14</v>
      </c>
      <c r="D234" s="1">
        <v>30000</v>
      </c>
      <c r="E234">
        <v>4</v>
      </c>
      <c r="F234" t="s">
        <v>34</v>
      </c>
      <c r="G234" t="s">
        <v>23</v>
      </c>
      <c r="H234" t="s">
        <v>17</v>
      </c>
      <c r="I234">
        <v>0</v>
      </c>
      <c r="J234" t="s">
        <v>18</v>
      </c>
      <c r="K234" t="s">
        <v>19</v>
      </c>
      <c r="L234" t="str" cm="1">
        <f t="array" ref="L234">_xlfn.IFS(bike_buyers[[#This Row],[Age]]&gt;= 70, "senior citizen", bike_buyers[[#This Row],[Age]]&gt;=55, "middle age",  bike_buyers[[#This Row],[Age]]&gt;=40,"mature adult ", bike_buyers[[#This Row],[Age]]&gt;=30, "adults", bike_buyers[[#This Row],[Age]]&gt;= 20, "young adults")</f>
        <v xml:space="preserve">mature adult </v>
      </c>
      <c r="M234">
        <v>45</v>
      </c>
      <c r="N234" t="s">
        <v>20</v>
      </c>
    </row>
    <row r="235" spans="1:14" x14ac:dyDescent="0.25">
      <c r="A235">
        <v>24174</v>
      </c>
      <c r="B235" t="s">
        <v>13</v>
      </c>
      <c r="C235" t="s">
        <v>21</v>
      </c>
      <c r="D235" s="1">
        <v>20000</v>
      </c>
      <c r="E235">
        <v>0</v>
      </c>
      <c r="F235" t="s">
        <v>15</v>
      </c>
      <c r="G235" t="s">
        <v>23</v>
      </c>
      <c r="H235" t="s">
        <v>17</v>
      </c>
      <c r="I235">
        <v>0</v>
      </c>
      <c r="J235" t="s">
        <v>18</v>
      </c>
      <c r="K235" t="s">
        <v>28</v>
      </c>
      <c r="L235" t="str" cm="1">
        <f t="array" ref="L235">_xlfn.IFS(bike_buyers[[#This Row],[Age]]&gt;= 70, "senior citizen", bike_buyers[[#This Row],[Age]]&gt;=55, "middle age",  bike_buyers[[#This Row],[Age]]&gt;=40,"mature adult ", bike_buyers[[#This Row],[Age]]&gt;=30, "adults", bike_buyers[[#This Row],[Age]]&gt;= 20, "young adults")</f>
        <v>young adults</v>
      </c>
      <c r="M235">
        <v>27</v>
      </c>
      <c r="N235" t="s">
        <v>17</v>
      </c>
    </row>
    <row r="236" spans="1:14" x14ac:dyDescent="0.25">
      <c r="A236">
        <v>24611</v>
      </c>
      <c r="B236" t="s">
        <v>26</v>
      </c>
      <c r="C236" t="s">
        <v>21</v>
      </c>
      <c r="D236" s="1">
        <v>90000</v>
      </c>
      <c r="E236">
        <v>0</v>
      </c>
      <c r="F236" t="s">
        <v>15</v>
      </c>
      <c r="G236" t="s">
        <v>24</v>
      </c>
      <c r="H236" t="s">
        <v>20</v>
      </c>
      <c r="I236">
        <v>4</v>
      </c>
      <c r="J236" t="s">
        <v>41</v>
      </c>
      <c r="K236" t="s">
        <v>28</v>
      </c>
      <c r="L236" t="str" cm="1">
        <f t="array" ref="L236">_xlfn.IFS(bike_buyers[[#This Row],[Age]]&gt;= 70, "senior citizen", bike_buyers[[#This Row],[Age]]&gt;=55, "middle age",  bike_buyers[[#This Row],[Age]]&gt;=40,"mature adult ", bike_buyers[[#This Row],[Age]]&gt;=30, "adults", bike_buyers[[#This Row],[Age]]&gt;= 20, "young adults")</f>
        <v>adults</v>
      </c>
      <c r="M236">
        <v>35</v>
      </c>
      <c r="N236" t="s">
        <v>17</v>
      </c>
    </row>
    <row r="237" spans="1:14" x14ac:dyDescent="0.25">
      <c r="A237">
        <v>11340</v>
      </c>
      <c r="B237" t="s">
        <v>13</v>
      </c>
      <c r="C237" t="s">
        <v>14</v>
      </c>
      <c r="D237" s="1">
        <v>10000</v>
      </c>
      <c r="E237">
        <v>1</v>
      </c>
      <c r="F237" t="s">
        <v>34</v>
      </c>
      <c r="G237" t="s">
        <v>23</v>
      </c>
      <c r="H237" t="s">
        <v>17</v>
      </c>
      <c r="I237">
        <v>0</v>
      </c>
      <c r="J237" t="s">
        <v>18</v>
      </c>
      <c r="K237" t="s">
        <v>19</v>
      </c>
      <c r="L237" t="str" cm="1">
        <f t="array" ref="L237">_xlfn.IFS(bike_buyers[[#This Row],[Age]]&gt;= 70, "senior citizen", bike_buyers[[#This Row],[Age]]&gt;=55, "middle age",  bike_buyers[[#This Row],[Age]]&gt;=40,"mature adult ", bike_buyers[[#This Row],[Age]]&gt;=30, "adults", bike_buyers[[#This Row],[Age]]&gt;= 20, "young adults")</f>
        <v>senior citizen</v>
      </c>
      <c r="M237">
        <v>70</v>
      </c>
      <c r="N237" t="s">
        <v>17</v>
      </c>
    </row>
    <row r="238" spans="1:14" x14ac:dyDescent="0.25">
      <c r="A238">
        <v>25693</v>
      </c>
      <c r="B238" t="s">
        <v>26</v>
      </c>
      <c r="C238" t="s">
        <v>14</v>
      </c>
      <c r="D238" s="1">
        <v>30000</v>
      </c>
      <c r="E238">
        <v>5</v>
      </c>
      <c r="F238" t="s">
        <v>34</v>
      </c>
      <c r="G238" t="s">
        <v>23</v>
      </c>
      <c r="H238" t="s">
        <v>17</v>
      </c>
      <c r="I238">
        <v>0</v>
      </c>
      <c r="J238" t="s">
        <v>18</v>
      </c>
      <c r="K238" t="s">
        <v>19</v>
      </c>
      <c r="L238" t="str" cm="1">
        <f t="array" ref="L238">_xlfn.IFS(bike_buyers[[#This Row],[Age]]&gt;= 70, "senior citizen", bike_buyers[[#This Row],[Age]]&gt;=55, "middle age",  bike_buyers[[#This Row],[Age]]&gt;=40,"mature adult ", bike_buyers[[#This Row],[Age]]&gt;=30, "adults", bike_buyers[[#This Row],[Age]]&gt;= 20, "young adults")</f>
        <v xml:space="preserve">mature adult </v>
      </c>
      <c r="M238">
        <v>44</v>
      </c>
      <c r="N238" t="s">
        <v>17</v>
      </c>
    </row>
    <row r="239" spans="1:14" x14ac:dyDescent="0.25">
      <c r="A239">
        <v>25555</v>
      </c>
      <c r="B239" t="s">
        <v>13</v>
      </c>
      <c r="C239" t="s">
        <v>14</v>
      </c>
      <c r="D239" s="1">
        <v>10000</v>
      </c>
      <c r="E239">
        <v>0</v>
      </c>
      <c r="F239" t="s">
        <v>22</v>
      </c>
      <c r="G239" t="s">
        <v>29</v>
      </c>
      <c r="H239" t="s">
        <v>20</v>
      </c>
      <c r="I239">
        <v>1</v>
      </c>
      <c r="J239" t="s">
        <v>18</v>
      </c>
      <c r="K239" t="s">
        <v>28</v>
      </c>
      <c r="L239" t="str" cm="1">
        <f t="array" ref="L239">_xlfn.IFS(bike_buyers[[#This Row],[Age]]&gt;= 70, "senior citizen", bike_buyers[[#This Row],[Age]]&gt;=55, "middle age",  bike_buyers[[#This Row],[Age]]&gt;=40,"mature adult ", bike_buyers[[#This Row],[Age]]&gt;=30, "adults", bike_buyers[[#This Row],[Age]]&gt;= 20, "young adults")</f>
        <v>young adults</v>
      </c>
      <c r="M239">
        <v>26</v>
      </c>
      <c r="N239" t="s">
        <v>17</v>
      </c>
    </row>
    <row r="240" spans="1:14" x14ac:dyDescent="0.25">
      <c r="A240">
        <v>22006</v>
      </c>
      <c r="B240" t="s">
        <v>13</v>
      </c>
      <c r="C240" t="s">
        <v>21</v>
      </c>
      <c r="D240" s="1">
        <v>70000</v>
      </c>
      <c r="E240">
        <v>5</v>
      </c>
      <c r="F240" t="s">
        <v>22</v>
      </c>
      <c r="G240" t="s">
        <v>16</v>
      </c>
      <c r="H240" t="s">
        <v>17</v>
      </c>
      <c r="I240">
        <v>3</v>
      </c>
      <c r="J240" t="s">
        <v>27</v>
      </c>
      <c r="K240" t="s">
        <v>28</v>
      </c>
      <c r="L240" t="str" cm="1">
        <f t="array" ref="L240">_xlfn.IFS(bike_buyers[[#This Row],[Age]]&gt;= 70, "senior citizen", bike_buyers[[#This Row],[Age]]&gt;=55, "middle age",  bike_buyers[[#This Row],[Age]]&gt;=40,"mature adult ", bike_buyers[[#This Row],[Age]]&gt;=30, "adults", bike_buyers[[#This Row],[Age]]&gt;= 20, "young adults")</f>
        <v xml:space="preserve">mature adult </v>
      </c>
      <c r="M240">
        <v>46</v>
      </c>
      <c r="N240" t="s">
        <v>20</v>
      </c>
    </row>
    <row r="241" spans="1:14" x14ac:dyDescent="0.25">
      <c r="A241">
        <v>20060</v>
      </c>
      <c r="B241" t="s">
        <v>26</v>
      </c>
      <c r="C241" t="s">
        <v>14</v>
      </c>
      <c r="D241" s="1">
        <v>30000</v>
      </c>
      <c r="E241">
        <v>0</v>
      </c>
      <c r="F241" t="s">
        <v>31</v>
      </c>
      <c r="G241" t="s">
        <v>29</v>
      </c>
      <c r="H241" t="s">
        <v>20</v>
      </c>
      <c r="I241">
        <v>1</v>
      </c>
      <c r="J241" t="s">
        <v>25</v>
      </c>
      <c r="K241" t="s">
        <v>19</v>
      </c>
      <c r="L241" t="str" cm="1">
        <f t="array" ref="L241">_xlfn.IFS(bike_buyers[[#This Row],[Age]]&gt;= 70, "senior citizen", bike_buyers[[#This Row],[Age]]&gt;=55, "middle age",  bike_buyers[[#This Row],[Age]]&gt;=40,"mature adult ", bike_buyers[[#This Row],[Age]]&gt;=30, "adults", bike_buyers[[#This Row],[Age]]&gt;= 20, "young adults")</f>
        <v>adults</v>
      </c>
      <c r="M241">
        <v>34</v>
      </c>
      <c r="N241" t="s">
        <v>17</v>
      </c>
    </row>
    <row r="242" spans="1:14" x14ac:dyDescent="0.25">
      <c r="A242">
        <v>17702</v>
      </c>
      <c r="B242" t="s">
        <v>13</v>
      </c>
      <c r="C242" t="s">
        <v>21</v>
      </c>
      <c r="D242" s="1">
        <v>10000</v>
      </c>
      <c r="E242">
        <v>1</v>
      </c>
      <c r="F242" t="s">
        <v>34</v>
      </c>
      <c r="G242" t="s">
        <v>29</v>
      </c>
      <c r="H242" t="s">
        <v>17</v>
      </c>
      <c r="I242">
        <v>0</v>
      </c>
      <c r="J242" t="s">
        <v>18</v>
      </c>
      <c r="K242" t="s">
        <v>19</v>
      </c>
      <c r="L242" t="str" cm="1">
        <f t="array" ref="L242">_xlfn.IFS(bike_buyers[[#This Row],[Age]]&gt;= 70, "senior citizen", bike_buyers[[#This Row],[Age]]&gt;=55, "middle age",  bike_buyers[[#This Row],[Age]]&gt;=40,"mature adult ", bike_buyers[[#This Row],[Age]]&gt;=30, "adults", bike_buyers[[#This Row],[Age]]&gt;= 20, "young adults")</f>
        <v>adults</v>
      </c>
      <c r="M242">
        <v>37</v>
      </c>
      <c r="N242" t="s">
        <v>20</v>
      </c>
    </row>
    <row r="243" spans="1:14" x14ac:dyDescent="0.25">
      <c r="A243">
        <v>12503</v>
      </c>
      <c r="B243" t="s">
        <v>26</v>
      </c>
      <c r="C243" t="s">
        <v>14</v>
      </c>
      <c r="D243" s="1">
        <v>30000</v>
      </c>
      <c r="E243">
        <v>3</v>
      </c>
      <c r="F243" t="s">
        <v>22</v>
      </c>
      <c r="G243" t="s">
        <v>23</v>
      </c>
      <c r="H243" t="s">
        <v>17</v>
      </c>
      <c r="I243">
        <v>2</v>
      </c>
      <c r="J243" t="s">
        <v>18</v>
      </c>
      <c r="K243" t="s">
        <v>19</v>
      </c>
      <c r="L243" t="str" cm="1">
        <f t="array" ref="L243">_xlfn.IFS(bike_buyers[[#This Row],[Age]]&gt;= 70, "senior citizen", bike_buyers[[#This Row],[Age]]&gt;=55, "middle age",  bike_buyers[[#This Row],[Age]]&gt;=40,"mature adult ", bike_buyers[[#This Row],[Age]]&gt;=30, "adults", bike_buyers[[#This Row],[Age]]&gt;= 20, "young adults")</f>
        <v>young adults</v>
      </c>
      <c r="M243">
        <v>27</v>
      </c>
      <c r="N243" t="s">
        <v>20</v>
      </c>
    </row>
    <row r="244" spans="1:14" x14ac:dyDescent="0.25">
      <c r="A244">
        <v>23908</v>
      </c>
      <c r="B244" t="s">
        <v>26</v>
      </c>
      <c r="C244" t="s">
        <v>21</v>
      </c>
      <c r="D244" s="1">
        <v>30000</v>
      </c>
      <c r="E244">
        <v>1</v>
      </c>
      <c r="F244" t="s">
        <v>15</v>
      </c>
      <c r="G244" t="s">
        <v>23</v>
      </c>
      <c r="H244" t="s">
        <v>20</v>
      </c>
      <c r="I244">
        <v>1</v>
      </c>
      <c r="J244" t="s">
        <v>18</v>
      </c>
      <c r="K244" t="s">
        <v>19</v>
      </c>
      <c r="L244" t="str" cm="1">
        <f t="array" ref="L244">_xlfn.IFS(bike_buyers[[#This Row],[Age]]&gt;= 70, "senior citizen", bike_buyers[[#This Row],[Age]]&gt;=55, "middle age",  bike_buyers[[#This Row],[Age]]&gt;=40,"mature adult ", bike_buyers[[#This Row],[Age]]&gt;=30, "adults", bike_buyers[[#This Row],[Age]]&gt;= 20, "young adults")</f>
        <v>adults</v>
      </c>
      <c r="M244">
        <v>39</v>
      </c>
      <c r="N244" t="s">
        <v>17</v>
      </c>
    </row>
    <row r="245" spans="1:14" x14ac:dyDescent="0.25">
      <c r="A245">
        <v>22527</v>
      </c>
      <c r="B245" t="s">
        <v>26</v>
      </c>
      <c r="C245" t="s">
        <v>14</v>
      </c>
      <c r="D245" s="1">
        <v>20000</v>
      </c>
      <c r="E245">
        <v>0</v>
      </c>
      <c r="F245" t="s">
        <v>31</v>
      </c>
      <c r="G245" t="s">
        <v>29</v>
      </c>
      <c r="H245" t="s">
        <v>20</v>
      </c>
      <c r="I245">
        <v>1</v>
      </c>
      <c r="J245" t="s">
        <v>25</v>
      </c>
      <c r="K245" t="s">
        <v>19</v>
      </c>
      <c r="L245" t="str" cm="1">
        <f t="array" ref="L245">_xlfn.IFS(bike_buyers[[#This Row],[Age]]&gt;= 70, "senior citizen", bike_buyers[[#This Row],[Age]]&gt;=55, "middle age",  bike_buyers[[#This Row],[Age]]&gt;=40,"mature adult ", bike_buyers[[#This Row],[Age]]&gt;=30, "adults", bike_buyers[[#This Row],[Age]]&gt;= 20, "young adults")</f>
        <v>young adults</v>
      </c>
      <c r="M245">
        <v>29</v>
      </c>
      <c r="N245" t="s">
        <v>20</v>
      </c>
    </row>
    <row r="246" spans="1:14" x14ac:dyDescent="0.25">
      <c r="A246">
        <v>19057</v>
      </c>
      <c r="B246" t="s">
        <v>13</v>
      </c>
      <c r="C246" t="s">
        <v>14</v>
      </c>
      <c r="D246" s="1">
        <v>120000</v>
      </c>
      <c r="E246">
        <v>3</v>
      </c>
      <c r="F246" t="s">
        <v>15</v>
      </c>
      <c r="G246" t="s">
        <v>32</v>
      </c>
      <c r="H246" t="s">
        <v>20</v>
      </c>
      <c r="I246">
        <v>2</v>
      </c>
      <c r="J246" t="s">
        <v>41</v>
      </c>
      <c r="K246" t="s">
        <v>19</v>
      </c>
      <c r="L246" t="str" cm="1">
        <f t="array" ref="L246">_xlfn.IFS(bike_buyers[[#This Row],[Age]]&gt;= 70, "senior citizen", bike_buyers[[#This Row],[Age]]&gt;=55, "middle age",  bike_buyers[[#This Row],[Age]]&gt;=40,"mature adult ", bike_buyers[[#This Row],[Age]]&gt;=30, "adults", bike_buyers[[#This Row],[Age]]&gt;= 20, "young adults")</f>
        <v xml:space="preserve">mature adult </v>
      </c>
      <c r="M246">
        <v>52</v>
      </c>
      <c r="N246" t="s">
        <v>17</v>
      </c>
    </row>
    <row r="247" spans="1:14" x14ac:dyDescent="0.25">
      <c r="A247">
        <v>18494</v>
      </c>
      <c r="B247" t="s">
        <v>13</v>
      </c>
      <c r="C247" t="s">
        <v>21</v>
      </c>
      <c r="D247" s="1">
        <v>110000</v>
      </c>
      <c r="E247">
        <v>5</v>
      </c>
      <c r="F247" t="s">
        <v>15</v>
      </c>
      <c r="G247" t="s">
        <v>32</v>
      </c>
      <c r="H247" t="s">
        <v>17</v>
      </c>
      <c r="I247">
        <v>4</v>
      </c>
      <c r="J247" t="s">
        <v>25</v>
      </c>
      <c r="K247" t="s">
        <v>28</v>
      </c>
      <c r="L247" t="str" cm="1">
        <f t="array" ref="L247">_xlfn.IFS(bike_buyers[[#This Row],[Age]]&gt;= 70, "senior citizen", bike_buyers[[#This Row],[Age]]&gt;=55, "middle age",  bike_buyers[[#This Row],[Age]]&gt;=40,"mature adult ", bike_buyers[[#This Row],[Age]]&gt;=30, "adults", bike_buyers[[#This Row],[Age]]&gt;= 20, "young adults")</f>
        <v xml:space="preserve">mature adult </v>
      </c>
      <c r="M247">
        <v>48</v>
      </c>
      <c r="N247" t="s">
        <v>17</v>
      </c>
    </row>
    <row r="248" spans="1:14" x14ac:dyDescent="0.25">
      <c r="A248">
        <v>11249</v>
      </c>
      <c r="B248" t="s">
        <v>13</v>
      </c>
      <c r="C248" t="s">
        <v>14</v>
      </c>
      <c r="D248" s="1">
        <v>130000</v>
      </c>
      <c r="E248">
        <v>3</v>
      </c>
      <c r="F248" t="s">
        <v>22</v>
      </c>
      <c r="G248" t="s">
        <v>24</v>
      </c>
      <c r="H248" t="s">
        <v>17</v>
      </c>
      <c r="I248">
        <v>3</v>
      </c>
      <c r="J248" t="s">
        <v>18</v>
      </c>
      <c r="K248" t="s">
        <v>19</v>
      </c>
      <c r="L248" t="str" cm="1">
        <f t="array" ref="L248">_xlfn.IFS(bike_buyers[[#This Row],[Age]]&gt;= 70, "senior citizen", bike_buyers[[#This Row],[Age]]&gt;=55, "middle age",  bike_buyers[[#This Row],[Age]]&gt;=40,"mature adult ", bike_buyers[[#This Row],[Age]]&gt;=30, "adults", bike_buyers[[#This Row],[Age]]&gt;= 20, "young adults")</f>
        <v xml:space="preserve">mature adult </v>
      </c>
      <c r="M248">
        <v>51</v>
      </c>
      <c r="N248" t="s">
        <v>17</v>
      </c>
    </row>
    <row r="249" spans="1:14" x14ac:dyDescent="0.25">
      <c r="A249">
        <v>21568</v>
      </c>
      <c r="B249" t="s">
        <v>13</v>
      </c>
      <c r="C249" t="s">
        <v>14</v>
      </c>
      <c r="D249" s="1">
        <v>100000</v>
      </c>
      <c r="E249">
        <v>0</v>
      </c>
      <c r="F249" t="s">
        <v>31</v>
      </c>
      <c r="G249" t="s">
        <v>32</v>
      </c>
      <c r="H249" t="s">
        <v>17</v>
      </c>
      <c r="I249">
        <v>4</v>
      </c>
      <c r="J249" t="s">
        <v>41</v>
      </c>
      <c r="K249" t="s">
        <v>28</v>
      </c>
      <c r="L249" t="str" cm="1">
        <f t="array" ref="L249">_xlfn.IFS(bike_buyers[[#This Row],[Age]]&gt;= 70, "senior citizen", bike_buyers[[#This Row],[Age]]&gt;=55, "middle age",  bike_buyers[[#This Row],[Age]]&gt;=40,"mature adult ", bike_buyers[[#This Row],[Age]]&gt;=30, "adults", bike_buyers[[#This Row],[Age]]&gt;= 20, "young adults")</f>
        <v>adults</v>
      </c>
      <c r="M249">
        <v>34</v>
      </c>
      <c r="N249" t="s">
        <v>17</v>
      </c>
    </row>
    <row r="250" spans="1:14" x14ac:dyDescent="0.25">
      <c r="A250">
        <v>13981</v>
      </c>
      <c r="B250" t="s">
        <v>13</v>
      </c>
      <c r="C250" t="s">
        <v>14</v>
      </c>
      <c r="D250" s="1">
        <v>10000</v>
      </c>
      <c r="E250">
        <v>5</v>
      </c>
      <c r="F250" t="s">
        <v>31</v>
      </c>
      <c r="G250" t="s">
        <v>16</v>
      </c>
      <c r="H250" t="s">
        <v>20</v>
      </c>
      <c r="I250">
        <v>3</v>
      </c>
      <c r="J250" t="s">
        <v>30</v>
      </c>
      <c r="K250" t="s">
        <v>28</v>
      </c>
      <c r="L250" t="str" cm="1">
        <f t="array" ref="L250">_xlfn.IFS(bike_buyers[[#This Row],[Age]]&gt;= 70, "senior citizen", bike_buyers[[#This Row],[Age]]&gt;=55, "middle age",  bike_buyers[[#This Row],[Age]]&gt;=40,"mature adult ", bike_buyers[[#This Row],[Age]]&gt;=30, "adults", bike_buyers[[#This Row],[Age]]&gt;= 20, "young adults")</f>
        <v>middle age</v>
      </c>
      <c r="M250">
        <v>62</v>
      </c>
      <c r="N250" t="s">
        <v>20</v>
      </c>
    </row>
    <row r="251" spans="1:14" x14ac:dyDescent="0.25">
      <c r="A251">
        <v>23432</v>
      </c>
      <c r="B251" t="s">
        <v>26</v>
      </c>
      <c r="C251" t="s">
        <v>21</v>
      </c>
      <c r="D251" s="1">
        <v>70000</v>
      </c>
      <c r="E251">
        <v>0</v>
      </c>
      <c r="F251" t="s">
        <v>15</v>
      </c>
      <c r="G251" t="s">
        <v>24</v>
      </c>
      <c r="H251" t="s">
        <v>17</v>
      </c>
      <c r="I251">
        <v>1</v>
      </c>
      <c r="J251" t="s">
        <v>27</v>
      </c>
      <c r="K251" t="s">
        <v>28</v>
      </c>
      <c r="L251" t="str" cm="1">
        <f t="array" ref="L251">_xlfn.IFS(bike_buyers[[#This Row],[Age]]&gt;= 70, "senior citizen", bike_buyers[[#This Row],[Age]]&gt;=55, "middle age",  bike_buyers[[#This Row],[Age]]&gt;=40,"mature adult ", bike_buyers[[#This Row],[Age]]&gt;=30, "adults", bike_buyers[[#This Row],[Age]]&gt;= 20, "young adults")</f>
        <v>adults</v>
      </c>
      <c r="M251">
        <v>37</v>
      </c>
      <c r="N251" t="s">
        <v>17</v>
      </c>
    </row>
    <row r="252" spans="1:14" x14ac:dyDescent="0.25">
      <c r="A252">
        <v>22931</v>
      </c>
      <c r="B252" t="s">
        <v>13</v>
      </c>
      <c r="C252" t="s">
        <v>21</v>
      </c>
      <c r="D252" s="1">
        <v>100000</v>
      </c>
      <c r="E252">
        <v>5</v>
      </c>
      <c r="F252" t="s">
        <v>34</v>
      </c>
      <c r="G252" t="s">
        <v>32</v>
      </c>
      <c r="H252" t="s">
        <v>20</v>
      </c>
      <c r="I252">
        <v>1</v>
      </c>
      <c r="J252" t="s">
        <v>30</v>
      </c>
      <c r="K252" t="s">
        <v>28</v>
      </c>
      <c r="L252" t="str" cm="1">
        <f t="array" ref="L252">_xlfn.IFS(bike_buyers[[#This Row],[Age]]&gt;= 70, "senior citizen", bike_buyers[[#This Row],[Age]]&gt;=55, "middle age",  bike_buyers[[#This Row],[Age]]&gt;=40,"mature adult ", bike_buyers[[#This Row],[Age]]&gt;=30, "adults", bike_buyers[[#This Row],[Age]]&gt;= 20, "young adults")</f>
        <v>senior citizen</v>
      </c>
      <c r="M252">
        <v>78</v>
      </c>
      <c r="N252" t="s">
        <v>17</v>
      </c>
    </row>
    <row r="253" spans="1:14" x14ac:dyDescent="0.25">
      <c r="A253">
        <v>18172</v>
      </c>
      <c r="B253" t="s">
        <v>13</v>
      </c>
      <c r="C253" t="s">
        <v>21</v>
      </c>
      <c r="D253" s="1">
        <v>130000</v>
      </c>
      <c r="E253">
        <v>4</v>
      </c>
      <c r="F253" t="s">
        <v>31</v>
      </c>
      <c r="G253" t="s">
        <v>24</v>
      </c>
      <c r="H253" t="s">
        <v>17</v>
      </c>
      <c r="I253">
        <v>3</v>
      </c>
      <c r="J253" t="s">
        <v>18</v>
      </c>
      <c r="K253" t="s">
        <v>19</v>
      </c>
      <c r="L253" t="str" cm="1">
        <f t="array" ref="L253">_xlfn.IFS(bike_buyers[[#This Row],[Age]]&gt;= 70, "senior citizen", bike_buyers[[#This Row],[Age]]&gt;=55, "middle age",  bike_buyers[[#This Row],[Age]]&gt;=40,"mature adult ", bike_buyers[[#This Row],[Age]]&gt;=30, "adults", bike_buyers[[#This Row],[Age]]&gt;= 20, "young adults")</f>
        <v>middle age</v>
      </c>
      <c r="M253">
        <v>55</v>
      </c>
      <c r="N253" t="s">
        <v>20</v>
      </c>
    </row>
    <row r="254" spans="1:14" x14ac:dyDescent="0.25">
      <c r="A254">
        <v>12666</v>
      </c>
      <c r="B254" t="s">
        <v>26</v>
      </c>
      <c r="C254" t="s">
        <v>21</v>
      </c>
      <c r="D254" s="1">
        <v>60000</v>
      </c>
      <c r="E254">
        <v>0</v>
      </c>
      <c r="F254" t="s">
        <v>15</v>
      </c>
      <c r="G254" t="s">
        <v>24</v>
      </c>
      <c r="H254" t="s">
        <v>20</v>
      </c>
      <c r="I254">
        <v>4</v>
      </c>
      <c r="J254" t="s">
        <v>25</v>
      </c>
      <c r="K254" t="s">
        <v>28</v>
      </c>
      <c r="L254" t="str" cm="1">
        <f t="array" ref="L254">_xlfn.IFS(bike_buyers[[#This Row],[Age]]&gt;= 70, "senior citizen", bike_buyers[[#This Row],[Age]]&gt;=55, "middle age",  bike_buyers[[#This Row],[Age]]&gt;=40,"mature adult ", bike_buyers[[#This Row],[Age]]&gt;=30, "adults", bike_buyers[[#This Row],[Age]]&gt;= 20, "young adults")</f>
        <v>adults</v>
      </c>
      <c r="M254">
        <v>31</v>
      </c>
      <c r="N254" t="s">
        <v>20</v>
      </c>
    </row>
    <row r="255" spans="1:14" x14ac:dyDescent="0.25">
      <c r="A255">
        <v>20598</v>
      </c>
      <c r="B255" t="s">
        <v>13</v>
      </c>
      <c r="C255" t="s">
        <v>21</v>
      </c>
      <c r="D255" s="1">
        <v>100000</v>
      </c>
      <c r="E255">
        <v>3</v>
      </c>
      <c r="F255" t="s">
        <v>33</v>
      </c>
      <c r="G255" t="s">
        <v>24</v>
      </c>
      <c r="H255" t="s">
        <v>17</v>
      </c>
      <c r="I255">
        <v>0</v>
      </c>
      <c r="J255" t="s">
        <v>41</v>
      </c>
      <c r="K255" t="s">
        <v>19</v>
      </c>
      <c r="L255" t="str" cm="1">
        <f t="array" ref="L255">_xlfn.IFS(bike_buyers[[#This Row],[Age]]&gt;= 70, "senior citizen", bike_buyers[[#This Row],[Age]]&gt;=55, "middle age",  bike_buyers[[#This Row],[Age]]&gt;=40,"mature adult ", bike_buyers[[#This Row],[Age]]&gt;=30, "adults", bike_buyers[[#This Row],[Age]]&gt;= 20, "young adults")</f>
        <v>middle age</v>
      </c>
      <c r="M255">
        <v>59</v>
      </c>
      <c r="N255" t="s">
        <v>17</v>
      </c>
    </row>
    <row r="256" spans="1:14" x14ac:dyDescent="0.25">
      <c r="A256">
        <v>21375</v>
      </c>
      <c r="B256" t="s">
        <v>26</v>
      </c>
      <c r="C256" t="s">
        <v>21</v>
      </c>
      <c r="D256" s="1">
        <v>20000</v>
      </c>
      <c r="E256">
        <v>2</v>
      </c>
      <c r="F256" t="s">
        <v>33</v>
      </c>
      <c r="G256" t="s">
        <v>23</v>
      </c>
      <c r="H256" t="s">
        <v>17</v>
      </c>
      <c r="I256">
        <v>2</v>
      </c>
      <c r="J256" t="s">
        <v>27</v>
      </c>
      <c r="K256" t="s">
        <v>28</v>
      </c>
      <c r="L256" t="str" cm="1">
        <f t="array" ref="L256">_xlfn.IFS(bike_buyers[[#This Row],[Age]]&gt;= 70, "senior citizen", bike_buyers[[#This Row],[Age]]&gt;=55, "middle age",  bike_buyers[[#This Row],[Age]]&gt;=40,"mature adult ", bike_buyers[[#This Row],[Age]]&gt;=30, "adults", bike_buyers[[#This Row],[Age]]&gt;= 20, "young adults")</f>
        <v>middle age</v>
      </c>
      <c r="M256">
        <v>57</v>
      </c>
      <c r="N256" t="s">
        <v>20</v>
      </c>
    </row>
    <row r="257" spans="1:14" x14ac:dyDescent="0.25">
      <c r="A257">
        <v>20839</v>
      </c>
      <c r="B257" t="s">
        <v>26</v>
      </c>
      <c r="C257" t="s">
        <v>14</v>
      </c>
      <c r="D257" s="1">
        <v>30000</v>
      </c>
      <c r="E257">
        <v>3</v>
      </c>
      <c r="F257" t="s">
        <v>34</v>
      </c>
      <c r="G257" t="s">
        <v>23</v>
      </c>
      <c r="H257" t="s">
        <v>17</v>
      </c>
      <c r="I257">
        <v>0</v>
      </c>
      <c r="J257" t="s">
        <v>18</v>
      </c>
      <c r="K257" t="s">
        <v>19</v>
      </c>
      <c r="L257" t="str" cm="1">
        <f t="array" ref="L257">_xlfn.IFS(bike_buyers[[#This Row],[Age]]&gt;= 70, "senior citizen", bike_buyers[[#This Row],[Age]]&gt;=55, "middle age",  bike_buyers[[#This Row],[Age]]&gt;=40,"mature adult ", bike_buyers[[#This Row],[Age]]&gt;=30, "adults", bike_buyers[[#This Row],[Age]]&gt;= 20, "young adults")</f>
        <v xml:space="preserve">mature adult </v>
      </c>
      <c r="M257">
        <v>47</v>
      </c>
      <c r="N257" t="s">
        <v>17</v>
      </c>
    </row>
    <row r="258" spans="1:14" x14ac:dyDescent="0.25">
      <c r="A258">
        <v>21738</v>
      </c>
      <c r="B258" t="s">
        <v>13</v>
      </c>
      <c r="C258" t="s">
        <v>21</v>
      </c>
      <c r="D258" s="1">
        <v>20000</v>
      </c>
      <c r="E258">
        <v>1</v>
      </c>
      <c r="F258" t="s">
        <v>34</v>
      </c>
      <c r="G258" t="s">
        <v>23</v>
      </c>
      <c r="H258" t="s">
        <v>17</v>
      </c>
      <c r="I258">
        <v>0</v>
      </c>
      <c r="J258" t="s">
        <v>18</v>
      </c>
      <c r="K258" t="s">
        <v>19</v>
      </c>
      <c r="L258" t="str" cm="1">
        <f t="array" ref="L258">_xlfn.IFS(bike_buyers[[#This Row],[Age]]&gt;= 70, "senior citizen", bike_buyers[[#This Row],[Age]]&gt;=55, "middle age",  bike_buyers[[#This Row],[Age]]&gt;=40,"mature adult ", bike_buyers[[#This Row],[Age]]&gt;=30, "adults", bike_buyers[[#This Row],[Age]]&gt;= 20, "young adults")</f>
        <v xml:space="preserve">mature adult </v>
      </c>
      <c r="M258">
        <v>43</v>
      </c>
      <c r="N258" t="s">
        <v>20</v>
      </c>
    </row>
    <row r="259" spans="1:14" x14ac:dyDescent="0.25">
      <c r="A259">
        <v>14164</v>
      </c>
      <c r="B259" t="s">
        <v>26</v>
      </c>
      <c r="C259" t="s">
        <v>14</v>
      </c>
      <c r="D259" s="1">
        <v>50000</v>
      </c>
      <c r="E259">
        <v>0</v>
      </c>
      <c r="F259" t="s">
        <v>34</v>
      </c>
      <c r="G259" t="s">
        <v>16</v>
      </c>
      <c r="H259" t="s">
        <v>17</v>
      </c>
      <c r="I259">
        <v>0</v>
      </c>
      <c r="J259" t="s">
        <v>18</v>
      </c>
      <c r="K259" t="s">
        <v>19</v>
      </c>
      <c r="L259" t="str" cm="1">
        <f t="array" ref="L259">_xlfn.IFS(bike_buyers[[#This Row],[Age]]&gt;= 70, "senior citizen", bike_buyers[[#This Row],[Age]]&gt;=55, "middle age",  bike_buyers[[#This Row],[Age]]&gt;=40,"mature adult ", bike_buyers[[#This Row],[Age]]&gt;=30, "adults", bike_buyers[[#This Row],[Age]]&gt;= 20, "young adults")</f>
        <v>adults</v>
      </c>
      <c r="M259">
        <v>36</v>
      </c>
      <c r="N259" t="s">
        <v>17</v>
      </c>
    </row>
    <row r="260" spans="1:14" x14ac:dyDescent="0.25">
      <c r="A260">
        <v>14193</v>
      </c>
      <c r="B260" t="s">
        <v>26</v>
      </c>
      <c r="C260" t="s">
        <v>14</v>
      </c>
      <c r="D260" s="1">
        <v>100000</v>
      </c>
      <c r="E260">
        <v>3</v>
      </c>
      <c r="F260" t="s">
        <v>22</v>
      </c>
      <c r="G260" t="s">
        <v>32</v>
      </c>
      <c r="H260" t="s">
        <v>17</v>
      </c>
      <c r="I260">
        <v>4</v>
      </c>
      <c r="J260" t="s">
        <v>41</v>
      </c>
      <c r="K260" t="s">
        <v>19</v>
      </c>
      <c r="L260" t="str" cm="1">
        <f t="array" ref="L260">_xlfn.IFS(bike_buyers[[#This Row],[Age]]&gt;= 70, "senior citizen", bike_buyers[[#This Row],[Age]]&gt;=55, "middle age",  bike_buyers[[#This Row],[Age]]&gt;=40,"mature adult ", bike_buyers[[#This Row],[Age]]&gt;=30, "adults", bike_buyers[[#This Row],[Age]]&gt;= 20, "young adults")</f>
        <v>middle age</v>
      </c>
      <c r="M260">
        <v>56</v>
      </c>
      <c r="N260" t="s">
        <v>20</v>
      </c>
    </row>
    <row r="261" spans="1:14" x14ac:dyDescent="0.25">
      <c r="A261">
        <v>12705</v>
      </c>
      <c r="B261" t="s">
        <v>13</v>
      </c>
      <c r="C261" t="s">
        <v>21</v>
      </c>
      <c r="D261" s="1">
        <v>150000</v>
      </c>
      <c r="E261">
        <v>0</v>
      </c>
      <c r="F261" t="s">
        <v>15</v>
      </c>
      <c r="G261" t="s">
        <v>32</v>
      </c>
      <c r="H261" t="s">
        <v>17</v>
      </c>
      <c r="I261">
        <v>4</v>
      </c>
      <c r="J261" t="s">
        <v>18</v>
      </c>
      <c r="K261" t="s">
        <v>28</v>
      </c>
      <c r="L261" t="str" cm="1">
        <f t="array" ref="L261">_xlfn.IFS(bike_buyers[[#This Row],[Age]]&gt;= 70, "senior citizen", bike_buyers[[#This Row],[Age]]&gt;=55, "middle age",  bike_buyers[[#This Row],[Age]]&gt;=40,"mature adult ", bike_buyers[[#This Row],[Age]]&gt;=30, "adults", bike_buyers[[#This Row],[Age]]&gt;= 20, "young adults")</f>
        <v>adults</v>
      </c>
      <c r="M261">
        <v>37</v>
      </c>
      <c r="N261" t="s">
        <v>17</v>
      </c>
    </row>
    <row r="262" spans="1:14" x14ac:dyDescent="0.25">
      <c r="A262">
        <v>22672</v>
      </c>
      <c r="B262" t="s">
        <v>26</v>
      </c>
      <c r="C262" t="s">
        <v>14</v>
      </c>
      <c r="D262" s="1">
        <v>30000</v>
      </c>
      <c r="E262">
        <v>2</v>
      </c>
      <c r="F262" t="s">
        <v>22</v>
      </c>
      <c r="G262" t="s">
        <v>23</v>
      </c>
      <c r="H262" t="s">
        <v>17</v>
      </c>
      <c r="I262">
        <v>0</v>
      </c>
      <c r="J262" t="s">
        <v>18</v>
      </c>
      <c r="K262" t="s">
        <v>19</v>
      </c>
      <c r="L262" t="str" cm="1">
        <f t="array" ref="L262">_xlfn.IFS(bike_buyers[[#This Row],[Age]]&gt;= 70, "senior citizen", bike_buyers[[#This Row],[Age]]&gt;=55, "middle age",  bike_buyers[[#This Row],[Age]]&gt;=40,"mature adult ", bike_buyers[[#This Row],[Age]]&gt;=30, "adults", bike_buyers[[#This Row],[Age]]&gt;= 20, "young adults")</f>
        <v xml:space="preserve">mature adult </v>
      </c>
      <c r="M262">
        <v>43</v>
      </c>
      <c r="N262" t="s">
        <v>20</v>
      </c>
    </row>
    <row r="263" spans="1:14" x14ac:dyDescent="0.25">
      <c r="A263">
        <v>26219</v>
      </c>
      <c r="B263" t="s">
        <v>13</v>
      </c>
      <c r="C263" t="s">
        <v>14</v>
      </c>
      <c r="D263" s="1">
        <v>40000</v>
      </c>
      <c r="E263">
        <v>1</v>
      </c>
      <c r="F263" t="s">
        <v>15</v>
      </c>
      <c r="G263" t="s">
        <v>16</v>
      </c>
      <c r="H263" t="s">
        <v>17</v>
      </c>
      <c r="I263">
        <v>1</v>
      </c>
      <c r="J263" t="s">
        <v>30</v>
      </c>
      <c r="K263" t="s">
        <v>19</v>
      </c>
      <c r="L263" t="str" cm="1">
        <f t="array" ref="L263">_xlfn.IFS(bike_buyers[[#This Row],[Age]]&gt;= 70, "senior citizen", bike_buyers[[#This Row],[Age]]&gt;=55, "middle age",  bike_buyers[[#This Row],[Age]]&gt;=40,"mature adult ", bike_buyers[[#This Row],[Age]]&gt;=30, "adults", bike_buyers[[#This Row],[Age]]&gt;= 20, "young adults")</f>
        <v>adults</v>
      </c>
      <c r="M263">
        <v>33</v>
      </c>
      <c r="N263" t="s">
        <v>17</v>
      </c>
    </row>
    <row r="264" spans="1:14" x14ac:dyDescent="0.25">
      <c r="A264">
        <v>28468</v>
      </c>
      <c r="B264" t="s">
        <v>13</v>
      </c>
      <c r="C264" t="s">
        <v>14</v>
      </c>
      <c r="D264" s="1">
        <v>10000</v>
      </c>
      <c r="E264">
        <v>2</v>
      </c>
      <c r="F264" t="s">
        <v>22</v>
      </c>
      <c r="G264" t="s">
        <v>29</v>
      </c>
      <c r="H264" t="s">
        <v>17</v>
      </c>
      <c r="I264">
        <v>0</v>
      </c>
      <c r="J264" t="s">
        <v>30</v>
      </c>
      <c r="K264" t="s">
        <v>19</v>
      </c>
      <c r="L264" t="str" cm="1">
        <f t="array" ref="L264">_xlfn.IFS(bike_buyers[[#This Row],[Age]]&gt;= 70, "senior citizen", bike_buyers[[#This Row],[Age]]&gt;=55, "middle age",  bike_buyers[[#This Row],[Age]]&gt;=40,"mature adult ", bike_buyers[[#This Row],[Age]]&gt;=30, "adults", bike_buyers[[#This Row],[Age]]&gt;= 20, "young adults")</f>
        <v xml:space="preserve">mature adult </v>
      </c>
      <c r="M264">
        <v>51</v>
      </c>
      <c r="N264" t="s">
        <v>20</v>
      </c>
    </row>
    <row r="265" spans="1:14" x14ac:dyDescent="0.25">
      <c r="A265">
        <v>23419</v>
      </c>
      <c r="B265" t="s">
        <v>26</v>
      </c>
      <c r="C265" t="s">
        <v>14</v>
      </c>
      <c r="D265" s="1">
        <v>70000</v>
      </c>
      <c r="E265">
        <v>5</v>
      </c>
      <c r="F265" t="s">
        <v>15</v>
      </c>
      <c r="G265" t="s">
        <v>24</v>
      </c>
      <c r="H265" t="s">
        <v>17</v>
      </c>
      <c r="I265">
        <v>3</v>
      </c>
      <c r="J265" t="s">
        <v>41</v>
      </c>
      <c r="K265" t="s">
        <v>28</v>
      </c>
      <c r="L265" t="str" cm="1">
        <f t="array" ref="L265">_xlfn.IFS(bike_buyers[[#This Row],[Age]]&gt;= 70, "senior citizen", bike_buyers[[#This Row],[Age]]&gt;=55, "middle age",  bike_buyers[[#This Row],[Age]]&gt;=40,"mature adult ", bike_buyers[[#This Row],[Age]]&gt;=30, "adults", bike_buyers[[#This Row],[Age]]&gt;= 20, "young adults")</f>
        <v>adults</v>
      </c>
      <c r="M265">
        <v>39</v>
      </c>
      <c r="N265" t="s">
        <v>20</v>
      </c>
    </row>
    <row r="266" spans="1:14" x14ac:dyDescent="0.25">
      <c r="A266">
        <v>17964</v>
      </c>
      <c r="B266" t="s">
        <v>13</v>
      </c>
      <c r="C266" t="s">
        <v>21</v>
      </c>
      <c r="D266" s="1">
        <v>40000</v>
      </c>
      <c r="E266">
        <v>0</v>
      </c>
      <c r="F266" t="s">
        <v>34</v>
      </c>
      <c r="G266" t="s">
        <v>23</v>
      </c>
      <c r="H266" t="s">
        <v>17</v>
      </c>
      <c r="I266">
        <v>0</v>
      </c>
      <c r="J266" t="s">
        <v>18</v>
      </c>
      <c r="K266" t="s">
        <v>19</v>
      </c>
      <c r="L266" t="str" cm="1">
        <f t="array" ref="L266">_xlfn.IFS(bike_buyers[[#This Row],[Age]]&gt;= 70, "senior citizen", bike_buyers[[#This Row],[Age]]&gt;=55, "middle age",  bike_buyers[[#This Row],[Age]]&gt;=40,"mature adult ", bike_buyers[[#This Row],[Age]]&gt;=30, "adults", bike_buyers[[#This Row],[Age]]&gt;= 20, "young adults")</f>
        <v>adults</v>
      </c>
      <c r="M266">
        <v>37</v>
      </c>
      <c r="N266" t="s">
        <v>17</v>
      </c>
    </row>
    <row r="267" spans="1:14" x14ac:dyDescent="0.25">
      <c r="A267">
        <v>20919</v>
      </c>
      <c r="B267" t="s">
        <v>26</v>
      </c>
      <c r="C267" t="s">
        <v>14</v>
      </c>
      <c r="D267" s="1">
        <v>30000</v>
      </c>
      <c r="E267">
        <v>2</v>
      </c>
      <c r="F267" t="s">
        <v>22</v>
      </c>
      <c r="G267" t="s">
        <v>23</v>
      </c>
      <c r="H267" t="s">
        <v>17</v>
      </c>
      <c r="I267">
        <v>2</v>
      </c>
      <c r="J267" t="s">
        <v>18</v>
      </c>
      <c r="K267" t="s">
        <v>19</v>
      </c>
      <c r="L267" t="str" cm="1">
        <f t="array" ref="L267">_xlfn.IFS(bike_buyers[[#This Row],[Age]]&gt;= 70, "senior citizen", bike_buyers[[#This Row],[Age]]&gt;=55, "middle age",  bike_buyers[[#This Row],[Age]]&gt;=40,"mature adult ", bike_buyers[[#This Row],[Age]]&gt;=30, "adults", bike_buyers[[#This Row],[Age]]&gt;= 20, "young adults")</f>
        <v xml:space="preserve">mature adult </v>
      </c>
      <c r="M267">
        <v>42</v>
      </c>
      <c r="N267" t="s">
        <v>20</v>
      </c>
    </row>
    <row r="268" spans="1:14" x14ac:dyDescent="0.25">
      <c r="A268">
        <v>20927</v>
      </c>
      <c r="B268" t="s">
        <v>26</v>
      </c>
      <c r="C268" t="s">
        <v>14</v>
      </c>
      <c r="D268" s="1">
        <v>20000</v>
      </c>
      <c r="E268">
        <v>5</v>
      </c>
      <c r="F268" t="s">
        <v>31</v>
      </c>
      <c r="G268" t="s">
        <v>29</v>
      </c>
      <c r="H268" t="s">
        <v>17</v>
      </c>
      <c r="I268">
        <v>2</v>
      </c>
      <c r="J268" t="s">
        <v>18</v>
      </c>
      <c r="K268" t="s">
        <v>19</v>
      </c>
      <c r="L268" t="str" cm="1">
        <f t="array" ref="L268">_xlfn.IFS(bike_buyers[[#This Row],[Age]]&gt;= 70, "senior citizen", bike_buyers[[#This Row],[Age]]&gt;=55, "middle age",  bike_buyers[[#This Row],[Age]]&gt;=40,"mature adult ", bike_buyers[[#This Row],[Age]]&gt;=30, "adults", bike_buyers[[#This Row],[Age]]&gt;= 20, "young adults")</f>
        <v>young adults</v>
      </c>
      <c r="M268">
        <v>27</v>
      </c>
      <c r="N268" t="s">
        <v>20</v>
      </c>
    </row>
    <row r="269" spans="1:14" x14ac:dyDescent="0.25">
      <c r="A269">
        <v>13133</v>
      </c>
      <c r="B269" t="s">
        <v>26</v>
      </c>
      <c r="C269" t="s">
        <v>21</v>
      </c>
      <c r="D269" s="1">
        <v>100000</v>
      </c>
      <c r="E269">
        <v>5</v>
      </c>
      <c r="F269" t="s">
        <v>15</v>
      </c>
      <c r="G269" t="s">
        <v>24</v>
      </c>
      <c r="H269" t="s">
        <v>17</v>
      </c>
      <c r="I269">
        <v>1</v>
      </c>
      <c r="J269" t="s">
        <v>27</v>
      </c>
      <c r="K269" t="s">
        <v>28</v>
      </c>
      <c r="L269" t="str" cm="1">
        <f t="array" ref="L269">_xlfn.IFS(bike_buyers[[#This Row],[Age]]&gt;= 70, "senior citizen", bike_buyers[[#This Row],[Age]]&gt;=55, "middle age",  bike_buyers[[#This Row],[Age]]&gt;=40,"mature adult ", bike_buyers[[#This Row],[Age]]&gt;=30, "adults", bike_buyers[[#This Row],[Age]]&gt;= 20, "young adults")</f>
        <v xml:space="preserve">mature adult </v>
      </c>
      <c r="M269">
        <v>47</v>
      </c>
      <c r="N269" t="s">
        <v>17</v>
      </c>
    </row>
    <row r="270" spans="1:14" x14ac:dyDescent="0.25">
      <c r="A270">
        <v>19626</v>
      </c>
      <c r="B270" t="s">
        <v>13</v>
      </c>
      <c r="C270" t="s">
        <v>21</v>
      </c>
      <c r="D270" s="1">
        <v>70000</v>
      </c>
      <c r="E270">
        <v>5</v>
      </c>
      <c r="F270" t="s">
        <v>22</v>
      </c>
      <c r="G270" t="s">
        <v>16</v>
      </c>
      <c r="H270" t="s">
        <v>17</v>
      </c>
      <c r="I270">
        <v>3</v>
      </c>
      <c r="J270" t="s">
        <v>27</v>
      </c>
      <c r="K270" t="s">
        <v>28</v>
      </c>
      <c r="L270" t="str" cm="1">
        <f t="array" ref="L270">_xlfn.IFS(bike_buyers[[#This Row],[Age]]&gt;= 70, "senior citizen", bike_buyers[[#This Row],[Age]]&gt;=55, "middle age",  bike_buyers[[#This Row],[Age]]&gt;=40,"mature adult ", bike_buyers[[#This Row],[Age]]&gt;=30, "adults", bike_buyers[[#This Row],[Age]]&gt;= 20, "young adults")</f>
        <v xml:space="preserve">mature adult </v>
      </c>
      <c r="M270">
        <v>45</v>
      </c>
      <c r="N270" t="s">
        <v>20</v>
      </c>
    </row>
    <row r="271" spans="1:14" x14ac:dyDescent="0.25">
      <c r="A271">
        <v>21039</v>
      </c>
      <c r="B271" t="s">
        <v>26</v>
      </c>
      <c r="C271" t="s">
        <v>14</v>
      </c>
      <c r="D271" s="1">
        <v>50000</v>
      </c>
      <c r="E271">
        <v>0</v>
      </c>
      <c r="F271" t="s">
        <v>34</v>
      </c>
      <c r="G271" t="s">
        <v>16</v>
      </c>
      <c r="H271" t="s">
        <v>20</v>
      </c>
      <c r="I271">
        <v>0</v>
      </c>
      <c r="J271" t="s">
        <v>18</v>
      </c>
      <c r="K271" t="s">
        <v>19</v>
      </c>
      <c r="L271" t="str" cm="1">
        <f t="array" ref="L271">_xlfn.IFS(bike_buyers[[#This Row],[Age]]&gt;= 70, "senior citizen", bike_buyers[[#This Row],[Age]]&gt;=55, "middle age",  bike_buyers[[#This Row],[Age]]&gt;=40,"mature adult ", bike_buyers[[#This Row],[Age]]&gt;=30, "adults", bike_buyers[[#This Row],[Age]]&gt;= 20, "young adults")</f>
        <v>adults</v>
      </c>
      <c r="M271">
        <v>37</v>
      </c>
      <c r="N271" t="s">
        <v>17</v>
      </c>
    </row>
    <row r="272" spans="1:14" x14ac:dyDescent="0.25">
      <c r="A272">
        <v>12231</v>
      </c>
      <c r="B272" t="s">
        <v>26</v>
      </c>
      <c r="C272" t="s">
        <v>14</v>
      </c>
      <c r="D272" s="1">
        <v>10000</v>
      </c>
      <c r="E272">
        <v>2</v>
      </c>
      <c r="F272" t="s">
        <v>22</v>
      </c>
      <c r="G272" t="s">
        <v>29</v>
      </c>
      <c r="H272" t="s">
        <v>17</v>
      </c>
      <c r="I272">
        <v>0</v>
      </c>
      <c r="J272" t="s">
        <v>18</v>
      </c>
      <c r="K272" t="s">
        <v>19</v>
      </c>
      <c r="L272" t="str" cm="1">
        <f t="array" ref="L272">_xlfn.IFS(bike_buyers[[#This Row],[Age]]&gt;= 70, "senior citizen", bike_buyers[[#This Row],[Age]]&gt;=55, "middle age",  bike_buyers[[#This Row],[Age]]&gt;=40,"mature adult ", bike_buyers[[#This Row],[Age]]&gt;=30, "adults", bike_buyers[[#This Row],[Age]]&gt;= 20, "young adults")</f>
        <v xml:space="preserve">mature adult </v>
      </c>
      <c r="M272">
        <v>51</v>
      </c>
      <c r="N272" t="s">
        <v>17</v>
      </c>
    </row>
    <row r="273" spans="1:14" x14ac:dyDescent="0.25">
      <c r="A273">
        <v>25665</v>
      </c>
      <c r="B273" t="s">
        <v>26</v>
      </c>
      <c r="C273" t="s">
        <v>14</v>
      </c>
      <c r="D273" s="1">
        <v>20000</v>
      </c>
      <c r="E273">
        <v>0</v>
      </c>
      <c r="F273" t="s">
        <v>31</v>
      </c>
      <c r="G273" t="s">
        <v>29</v>
      </c>
      <c r="H273" t="s">
        <v>20</v>
      </c>
      <c r="I273">
        <v>1</v>
      </c>
      <c r="J273" t="s">
        <v>30</v>
      </c>
      <c r="K273" t="s">
        <v>19</v>
      </c>
      <c r="L273" t="str" cm="1">
        <f t="array" ref="L273">_xlfn.IFS(bike_buyers[[#This Row],[Age]]&gt;= 70, "senior citizen", bike_buyers[[#This Row],[Age]]&gt;=55, "middle age",  bike_buyers[[#This Row],[Age]]&gt;=40,"mature adult ", bike_buyers[[#This Row],[Age]]&gt;=30, "adults", bike_buyers[[#This Row],[Age]]&gt;= 20, "young adults")</f>
        <v>young adults</v>
      </c>
      <c r="M273">
        <v>28</v>
      </c>
      <c r="N273" t="s">
        <v>20</v>
      </c>
    </row>
    <row r="274" spans="1:14" x14ac:dyDescent="0.25">
      <c r="A274">
        <v>24061</v>
      </c>
      <c r="B274" t="s">
        <v>13</v>
      </c>
      <c r="C274" t="s">
        <v>21</v>
      </c>
      <c r="D274" s="1">
        <v>10000</v>
      </c>
      <c r="E274">
        <v>4</v>
      </c>
      <c r="F274" t="s">
        <v>33</v>
      </c>
      <c r="G274" t="s">
        <v>29</v>
      </c>
      <c r="H274" t="s">
        <v>17</v>
      </c>
      <c r="I274">
        <v>1</v>
      </c>
      <c r="J274" t="s">
        <v>18</v>
      </c>
      <c r="K274" t="s">
        <v>19</v>
      </c>
      <c r="L274" t="str" cm="1">
        <f t="array" ref="L274">_xlfn.IFS(bike_buyers[[#This Row],[Age]]&gt;= 70, "senior citizen", bike_buyers[[#This Row],[Age]]&gt;=55, "middle age",  bike_buyers[[#This Row],[Age]]&gt;=40,"mature adult ", bike_buyers[[#This Row],[Age]]&gt;=30, "adults", bike_buyers[[#This Row],[Age]]&gt;= 20, "young adults")</f>
        <v xml:space="preserve">mature adult </v>
      </c>
      <c r="M274">
        <v>40</v>
      </c>
      <c r="N274" t="s">
        <v>17</v>
      </c>
    </row>
    <row r="275" spans="1:14" x14ac:dyDescent="0.25">
      <c r="A275">
        <v>26879</v>
      </c>
      <c r="B275" t="s">
        <v>26</v>
      </c>
      <c r="C275" t="s">
        <v>14</v>
      </c>
      <c r="D275" s="1">
        <v>20000</v>
      </c>
      <c r="E275">
        <v>0</v>
      </c>
      <c r="F275" t="s">
        <v>31</v>
      </c>
      <c r="G275" t="s">
        <v>29</v>
      </c>
      <c r="H275" t="s">
        <v>20</v>
      </c>
      <c r="I275">
        <v>1</v>
      </c>
      <c r="J275" t="s">
        <v>25</v>
      </c>
      <c r="K275" t="s">
        <v>19</v>
      </c>
      <c r="L275" t="str" cm="1">
        <f t="array" ref="L275">_xlfn.IFS(bike_buyers[[#This Row],[Age]]&gt;= 70, "senior citizen", bike_buyers[[#This Row],[Age]]&gt;=55, "middle age",  bike_buyers[[#This Row],[Age]]&gt;=40,"mature adult ", bike_buyers[[#This Row],[Age]]&gt;=30, "adults", bike_buyers[[#This Row],[Age]]&gt;= 20, "young adults")</f>
        <v>adults</v>
      </c>
      <c r="M275">
        <v>30</v>
      </c>
      <c r="N275" t="s">
        <v>20</v>
      </c>
    </row>
    <row r="276" spans="1:14" x14ac:dyDescent="0.25">
      <c r="A276">
        <v>12284</v>
      </c>
      <c r="B276" t="s">
        <v>13</v>
      </c>
      <c r="C276" t="s">
        <v>14</v>
      </c>
      <c r="D276" s="1">
        <v>30000</v>
      </c>
      <c r="E276">
        <v>0</v>
      </c>
      <c r="F276" t="s">
        <v>15</v>
      </c>
      <c r="G276" t="s">
        <v>23</v>
      </c>
      <c r="H276" t="s">
        <v>20</v>
      </c>
      <c r="I276">
        <v>0</v>
      </c>
      <c r="J276" t="s">
        <v>18</v>
      </c>
      <c r="K276" t="s">
        <v>19</v>
      </c>
      <c r="L276" t="str" cm="1">
        <f t="array" ref="L276">_xlfn.IFS(bike_buyers[[#This Row],[Age]]&gt;= 70, "senior citizen", bike_buyers[[#This Row],[Age]]&gt;=55, "middle age",  bike_buyers[[#This Row],[Age]]&gt;=40,"mature adult ", bike_buyers[[#This Row],[Age]]&gt;=30, "adults", bike_buyers[[#This Row],[Age]]&gt;= 20, "young adults")</f>
        <v>adults</v>
      </c>
      <c r="M276">
        <v>36</v>
      </c>
      <c r="N276" t="s">
        <v>17</v>
      </c>
    </row>
    <row r="277" spans="1:14" x14ac:dyDescent="0.25">
      <c r="A277">
        <v>26654</v>
      </c>
      <c r="B277" t="s">
        <v>13</v>
      </c>
      <c r="C277" t="s">
        <v>14</v>
      </c>
      <c r="D277" s="1">
        <v>90000</v>
      </c>
      <c r="E277">
        <v>1</v>
      </c>
      <c r="F277" t="s">
        <v>34</v>
      </c>
      <c r="G277" t="s">
        <v>32</v>
      </c>
      <c r="H277" t="s">
        <v>17</v>
      </c>
      <c r="I277">
        <v>0</v>
      </c>
      <c r="J277" t="s">
        <v>18</v>
      </c>
      <c r="K277" t="s">
        <v>28</v>
      </c>
      <c r="L277" t="str" cm="1">
        <f t="array" ref="L277">_xlfn.IFS(bike_buyers[[#This Row],[Age]]&gt;= 70, "senior citizen", bike_buyers[[#This Row],[Age]]&gt;=55, "middle age",  bike_buyers[[#This Row],[Age]]&gt;=40,"mature adult ", bike_buyers[[#This Row],[Age]]&gt;=30, "adults", bike_buyers[[#This Row],[Age]]&gt;= 20, "young adults")</f>
        <v>adults</v>
      </c>
      <c r="M277">
        <v>37</v>
      </c>
      <c r="N277" t="s">
        <v>17</v>
      </c>
    </row>
    <row r="278" spans="1:14" x14ac:dyDescent="0.25">
      <c r="A278">
        <v>14545</v>
      </c>
      <c r="B278" t="s">
        <v>13</v>
      </c>
      <c r="C278" t="s">
        <v>14</v>
      </c>
      <c r="D278" s="1">
        <v>10000</v>
      </c>
      <c r="E278">
        <v>2</v>
      </c>
      <c r="F278" t="s">
        <v>22</v>
      </c>
      <c r="G278" t="s">
        <v>29</v>
      </c>
      <c r="H278" t="s">
        <v>17</v>
      </c>
      <c r="I278">
        <v>0</v>
      </c>
      <c r="J278" t="s">
        <v>30</v>
      </c>
      <c r="K278" t="s">
        <v>19</v>
      </c>
      <c r="L278" t="str" cm="1">
        <f t="array" ref="L278">_xlfn.IFS(bike_buyers[[#This Row],[Age]]&gt;= 70, "senior citizen", bike_buyers[[#This Row],[Age]]&gt;=55, "middle age",  bike_buyers[[#This Row],[Age]]&gt;=40,"mature adult ", bike_buyers[[#This Row],[Age]]&gt;=30, "adults", bike_buyers[[#This Row],[Age]]&gt;= 20, "young adults")</f>
        <v xml:space="preserve">mature adult </v>
      </c>
      <c r="M278">
        <v>49</v>
      </c>
      <c r="N278" t="s">
        <v>20</v>
      </c>
    </row>
    <row r="279" spans="1:14" x14ac:dyDescent="0.25">
      <c r="A279">
        <v>24201</v>
      </c>
      <c r="B279" t="s">
        <v>13</v>
      </c>
      <c r="C279" t="s">
        <v>14</v>
      </c>
      <c r="D279" s="1">
        <v>10000</v>
      </c>
      <c r="E279">
        <v>2</v>
      </c>
      <c r="F279" t="s">
        <v>31</v>
      </c>
      <c r="G279" t="s">
        <v>29</v>
      </c>
      <c r="H279" t="s">
        <v>17</v>
      </c>
      <c r="I279">
        <v>0</v>
      </c>
      <c r="J279" t="s">
        <v>18</v>
      </c>
      <c r="K279" t="s">
        <v>19</v>
      </c>
      <c r="L279" t="str" cm="1">
        <f t="array" ref="L279">_xlfn.IFS(bike_buyers[[#This Row],[Age]]&gt;= 70, "senior citizen", bike_buyers[[#This Row],[Age]]&gt;=55, "middle age",  bike_buyers[[#This Row],[Age]]&gt;=40,"mature adult ", bike_buyers[[#This Row],[Age]]&gt;=30, "adults", bike_buyers[[#This Row],[Age]]&gt;= 20, "young adults")</f>
        <v>adults</v>
      </c>
      <c r="M279">
        <v>37</v>
      </c>
      <c r="N279" t="s">
        <v>17</v>
      </c>
    </row>
    <row r="280" spans="1:14" x14ac:dyDescent="0.25">
      <c r="A280">
        <v>20625</v>
      </c>
      <c r="B280" t="s">
        <v>13</v>
      </c>
      <c r="C280" t="s">
        <v>21</v>
      </c>
      <c r="D280" s="1">
        <v>100000</v>
      </c>
      <c r="E280">
        <v>0</v>
      </c>
      <c r="F280" t="s">
        <v>31</v>
      </c>
      <c r="G280" t="s">
        <v>32</v>
      </c>
      <c r="H280" t="s">
        <v>17</v>
      </c>
      <c r="I280">
        <v>3</v>
      </c>
      <c r="J280" t="s">
        <v>41</v>
      </c>
      <c r="K280" t="s">
        <v>28</v>
      </c>
      <c r="L280" t="str" cm="1">
        <f t="array" ref="L280">_xlfn.IFS(bike_buyers[[#This Row],[Age]]&gt;= 70, "senior citizen", bike_buyers[[#This Row],[Age]]&gt;=55, "middle age",  bike_buyers[[#This Row],[Age]]&gt;=40,"mature adult ", bike_buyers[[#This Row],[Age]]&gt;=30, "adults", bike_buyers[[#This Row],[Age]]&gt;= 20, "young adults")</f>
        <v>adults</v>
      </c>
      <c r="M280">
        <v>35</v>
      </c>
      <c r="N280" t="s">
        <v>17</v>
      </c>
    </row>
    <row r="281" spans="1:14" x14ac:dyDescent="0.25">
      <c r="A281">
        <v>16390</v>
      </c>
      <c r="B281" t="s">
        <v>26</v>
      </c>
      <c r="C281" t="s">
        <v>21</v>
      </c>
      <c r="D281" s="1">
        <v>30000</v>
      </c>
      <c r="E281">
        <v>1</v>
      </c>
      <c r="F281" t="s">
        <v>15</v>
      </c>
      <c r="G281" t="s">
        <v>23</v>
      </c>
      <c r="H281" t="s">
        <v>20</v>
      </c>
      <c r="I281">
        <v>0</v>
      </c>
      <c r="J281" t="s">
        <v>18</v>
      </c>
      <c r="K281" t="s">
        <v>19</v>
      </c>
      <c r="L281" t="str" cm="1">
        <f t="array" ref="L281">_xlfn.IFS(bike_buyers[[#This Row],[Age]]&gt;= 70, "senior citizen", bike_buyers[[#This Row],[Age]]&gt;=55, "middle age",  bike_buyers[[#This Row],[Age]]&gt;=40,"mature adult ", bike_buyers[[#This Row],[Age]]&gt;=30, "adults", bike_buyers[[#This Row],[Age]]&gt;= 20, "young adults")</f>
        <v>adults</v>
      </c>
      <c r="M281">
        <v>38</v>
      </c>
      <c r="N281" t="s">
        <v>17</v>
      </c>
    </row>
    <row r="282" spans="1:14" x14ac:dyDescent="0.25">
      <c r="A282">
        <v>14804</v>
      </c>
      <c r="B282" t="s">
        <v>26</v>
      </c>
      <c r="C282" t="s">
        <v>14</v>
      </c>
      <c r="D282" s="1">
        <v>10000</v>
      </c>
      <c r="E282">
        <v>3</v>
      </c>
      <c r="F282" t="s">
        <v>33</v>
      </c>
      <c r="G282" t="s">
        <v>29</v>
      </c>
      <c r="H282" t="s">
        <v>17</v>
      </c>
      <c r="I282">
        <v>2</v>
      </c>
      <c r="J282" t="s">
        <v>18</v>
      </c>
      <c r="K282" t="s">
        <v>19</v>
      </c>
      <c r="L282" t="str" cm="1">
        <f t="array" ref="L282">_xlfn.IFS(bike_buyers[[#This Row],[Age]]&gt;= 70, "senior citizen", bike_buyers[[#This Row],[Age]]&gt;=55, "middle age",  bike_buyers[[#This Row],[Age]]&gt;=40,"mature adult ", bike_buyers[[#This Row],[Age]]&gt;=30, "adults", bike_buyers[[#This Row],[Age]]&gt;= 20, "young adults")</f>
        <v xml:space="preserve">mature adult </v>
      </c>
      <c r="M282">
        <v>43</v>
      </c>
      <c r="N282" t="s">
        <v>20</v>
      </c>
    </row>
    <row r="283" spans="1:14" x14ac:dyDescent="0.25">
      <c r="A283">
        <v>12629</v>
      </c>
      <c r="B283" t="s">
        <v>26</v>
      </c>
      <c r="C283" t="s">
        <v>21</v>
      </c>
      <c r="D283" s="1">
        <v>20000</v>
      </c>
      <c r="E283">
        <v>1</v>
      </c>
      <c r="F283" t="s">
        <v>22</v>
      </c>
      <c r="G283" t="s">
        <v>29</v>
      </c>
      <c r="H283" t="s">
        <v>20</v>
      </c>
      <c r="I283">
        <v>0</v>
      </c>
      <c r="J283" t="s">
        <v>18</v>
      </c>
      <c r="K283" t="s">
        <v>19</v>
      </c>
      <c r="L283" t="str" cm="1">
        <f t="array" ref="L283">_xlfn.IFS(bike_buyers[[#This Row],[Age]]&gt;= 70, "senior citizen", bike_buyers[[#This Row],[Age]]&gt;=55, "middle age",  bike_buyers[[#This Row],[Age]]&gt;=40,"mature adult ", bike_buyers[[#This Row],[Age]]&gt;=30, "adults", bike_buyers[[#This Row],[Age]]&gt;= 20, "young adults")</f>
        <v>adults</v>
      </c>
      <c r="M283">
        <v>37</v>
      </c>
      <c r="N283" t="s">
        <v>20</v>
      </c>
    </row>
    <row r="284" spans="1:14" x14ac:dyDescent="0.25">
      <c r="A284">
        <v>14696</v>
      </c>
      <c r="B284" t="s">
        <v>26</v>
      </c>
      <c r="C284" t="s">
        <v>21</v>
      </c>
      <c r="D284" s="1">
        <v>10000</v>
      </c>
      <c r="E284">
        <v>0</v>
      </c>
      <c r="F284" t="s">
        <v>33</v>
      </c>
      <c r="G284" t="s">
        <v>29</v>
      </c>
      <c r="H284" t="s">
        <v>20</v>
      </c>
      <c r="I284">
        <v>2</v>
      </c>
      <c r="J284" t="s">
        <v>18</v>
      </c>
      <c r="K284" t="s">
        <v>19</v>
      </c>
      <c r="L284" t="str" cm="1">
        <f t="array" ref="L284">_xlfn.IFS(bike_buyers[[#This Row],[Age]]&gt;= 70, "senior citizen", bike_buyers[[#This Row],[Age]]&gt;=55, "middle age",  bike_buyers[[#This Row],[Age]]&gt;=40,"mature adult ", bike_buyers[[#This Row],[Age]]&gt;=30, "adults", bike_buyers[[#This Row],[Age]]&gt;= 20, "young adults")</f>
        <v>adults</v>
      </c>
      <c r="M284">
        <v>34</v>
      </c>
      <c r="N284" t="s">
        <v>20</v>
      </c>
    </row>
    <row r="285" spans="1:14" x14ac:dyDescent="0.25">
      <c r="A285">
        <v>22005</v>
      </c>
      <c r="B285" t="s">
        <v>13</v>
      </c>
      <c r="C285" t="s">
        <v>14</v>
      </c>
      <c r="D285" s="1">
        <v>70000</v>
      </c>
      <c r="E285">
        <v>5</v>
      </c>
      <c r="F285" t="s">
        <v>22</v>
      </c>
      <c r="G285" t="s">
        <v>16</v>
      </c>
      <c r="H285" t="s">
        <v>20</v>
      </c>
      <c r="I285">
        <v>3</v>
      </c>
      <c r="J285" t="s">
        <v>27</v>
      </c>
      <c r="K285" t="s">
        <v>28</v>
      </c>
      <c r="L285" t="str" cm="1">
        <f t="array" ref="L285">_xlfn.IFS(bike_buyers[[#This Row],[Age]]&gt;= 70, "senior citizen", bike_buyers[[#This Row],[Age]]&gt;=55, "middle age",  bike_buyers[[#This Row],[Age]]&gt;=40,"mature adult ", bike_buyers[[#This Row],[Age]]&gt;=30, "adults", bike_buyers[[#This Row],[Age]]&gt;= 20, "young adults")</f>
        <v xml:space="preserve">mature adult </v>
      </c>
      <c r="M285">
        <v>46</v>
      </c>
      <c r="N285" t="s">
        <v>20</v>
      </c>
    </row>
    <row r="286" spans="1:14" x14ac:dyDescent="0.25">
      <c r="A286">
        <v>14544</v>
      </c>
      <c r="B286" t="s">
        <v>26</v>
      </c>
      <c r="C286" t="s">
        <v>21</v>
      </c>
      <c r="D286" s="1">
        <v>10000</v>
      </c>
      <c r="E286">
        <v>1</v>
      </c>
      <c r="F286" t="s">
        <v>22</v>
      </c>
      <c r="G286" t="s">
        <v>29</v>
      </c>
      <c r="H286" t="s">
        <v>17</v>
      </c>
      <c r="I286">
        <v>0</v>
      </c>
      <c r="J286" t="s">
        <v>18</v>
      </c>
      <c r="K286" t="s">
        <v>19</v>
      </c>
      <c r="L286" t="str" cm="1">
        <f t="array" ref="L286">_xlfn.IFS(bike_buyers[[#This Row],[Age]]&gt;= 70, "senior citizen", bike_buyers[[#This Row],[Age]]&gt;=55, "middle age",  bike_buyers[[#This Row],[Age]]&gt;=40,"mature adult ", bike_buyers[[#This Row],[Age]]&gt;=30, "adults", bike_buyers[[#This Row],[Age]]&gt;= 20, "young adults")</f>
        <v xml:space="preserve">mature adult </v>
      </c>
      <c r="M286">
        <v>49</v>
      </c>
      <c r="N286" t="s">
        <v>20</v>
      </c>
    </row>
    <row r="287" spans="1:14" x14ac:dyDescent="0.25">
      <c r="A287">
        <v>14312</v>
      </c>
      <c r="B287" t="s">
        <v>13</v>
      </c>
      <c r="C287" t="s">
        <v>14</v>
      </c>
      <c r="D287" s="1">
        <v>60000</v>
      </c>
      <c r="E287">
        <v>1</v>
      </c>
      <c r="F287" t="s">
        <v>22</v>
      </c>
      <c r="G287" t="s">
        <v>16</v>
      </c>
      <c r="H287" t="s">
        <v>17</v>
      </c>
      <c r="I287">
        <v>1</v>
      </c>
      <c r="J287" t="s">
        <v>27</v>
      </c>
      <c r="K287" t="s">
        <v>28</v>
      </c>
      <c r="L287" t="str" cm="1">
        <f t="array" ref="L287">_xlfn.IFS(bike_buyers[[#This Row],[Age]]&gt;= 70, "senior citizen", bike_buyers[[#This Row],[Age]]&gt;=55, "middle age",  bike_buyers[[#This Row],[Age]]&gt;=40,"mature adult ", bike_buyers[[#This Row],[Age]]&gt;=30, "adults", bike_buyers[[#This Row],[Age]]&gt;= 20, "young adults")</f>
        <v xml:space="preserve">mature adult </v>
      </c>
      <c r="M287">
        <v>45</v>
      </c>
      <c r="N287" t="s">
        <v>20</v>
      </c>
    </row>
    <row r="288" spans="1:14" x14ac:dyDescent="0.25">
      <c r="A288">
        <v>29120</v>
      </c>
      <c r="B288" t="s">
        <v>26</v>
      </c>
      <c r="C288" t="s">
        <v>14</v>
      </c>
      <c r="D288" s="1">
        <v>100000</v>
      </c>
      <c r="E288">
        <v>1</v>
      </c>
      <c r="F288" t="s">
        <v>15</v>
      </c>
      <c r="G288" t="s">
        <v>32</v>
      </c>
      <c r="H288" t="s">
        <v>17</v>
      </c>
      <c r="I288">
        <v>4</v>
      </c>
      <c r="J288" t="s">
        <v>25</v>
      </c>
      <c r="K288" t="s">
        <v>28</v>
      </c>
      <c r="L288" t="str" cm="1">
        <f t="array" ref="L288">_xlfn.IFS(bike_buyers[[#This Row],[Age]]&gt;= 70, "senior citizen", bike_buyers[[#This Row],[Age]]&gt;=55, "middle age",  bike_buyers[[#This Row],[Age]]&gt;=40,"mature adult ", bike_buyers[[#This Row],[Age]]&gt;=30, "adults", bike_buyers[[#This Row],[Age]]&gt;= 20, "young adults")</f>
        <v xml:space="preserve">mature adult </v>
      </c>
      <c r="M288">
        <v>48</v>
      </c>
      <c r="N288" t="s">
        <v>20</v>
      </c>
    </row>
    <row r="289" spans="1:14" x14ac:dyDescent="0.25">
      <c r="A289">
        <v>24187</v>
      </c>
      <c r="B289" t="s">
        <v>26</v>
      </c>
      <c r="C289" t="s">
        <v>14</v>
      </c>
      <c r="D289" s="1">
        <v>30000</v>
      </c>
      <c r="E289">
        <v>3</v>
      </c>
      <c r="F289" t="s">
        <v>34</v>
      </c>
      <c r="G289" t="s">
        <v>23</v>
      </c>
      <c r="H289" t="s">
        <v>20</v>
      </c>
      <c r="I289">
        <v>0</v>
      </c>
      <c r="J289" t="s">
        <v>18</v>
      </c>
      <c r="K289" t="s">
        <v>19</v>
      </c>
      <c r="L289" t="str" cm="1">
        <f t="array" ref="L289">_xlfn.IFS(bike_buyers[[#This Row],[Age]]&gt;= 70, "senior citizen", bike_buyers[[#This Row],[Age]]&gt;=55, "middle age",  bike_buyers[[#This Row],[Age]]&gt;=40,"mature adult ", bike_buyers[[#This Row],[Age]]&gt;=30, "adults", bike_buyers[[#This Row],[Age]]&gt;= 20, "young adults")</f>
        <v xml:space="preserve">mature adult </v>
      </c>
      <c r="M289">
        <v>46</v>
      </c>
      <c r="N289" t="s">
        <v>17</v>
      </c>
    </row>
    <row r="290" spans="1:14" x14ac:dyDescent="0.25">
      <c r="A290">
        <v>15758</v>
      </c>
      <c r="B290" t="s">
        <v>13</v>
      </c>
      <c r="C290" t="s">
        <v>21</v>
      </c>
      <c r="D290" s="1">
        <v>130000</v>
      </c>
      <c r="E290">
        <v>0</v>
      </c>
      <c r="F290" t="s">
        <v>34</v>
      </c>
      <c r="G290" t="s">
        <v>32</v>
      </c>
      <c r="H290" t="s">
        <v>17</v>
      </c>
      <c r="I290">
        <v>0</v>
      </c>
      <c r="J290" t="s">
        <v>27</v>
      </c>
      <c r="K290" t="s">
        <v>28</v>
      </c>
      <c r="L290" t="str" cm="1">
        <f t="array" ref="L290">_xlfn.IFS(bike_buyers[[#This Row],[Age]]&gt;= 70, "senior citizen", bike_buyers[[#This Row],[Age]]&gt;=55, "middle age",  bike_buyers[[#This Row],[Age]]&gt;=40,"mature adult ", bike_buyers[[#This Row],[Age]]&gt;=30, "adults", bike_buyers[[#This Row],[Age]]&gt;= 20, "young adults")</f>
        <v xml:space="preserve">mature adult </v>
      </c>
      <c r="M290">
        <v>48</v>
      </c>
      <c r="N290" t="s">
        <v>20</v>
      </c>
    </row>
    <row r="291" spans="1:14" x14ac:dyDescent="0.25">
      <c r="A291">
        <v>29094</v>
      </c>
      <c r="B291" t="s">
        <v>13</v>
      </c>
      <c r="C291" t="s">
        <v>21</v>
      </c>
      <c r="D291" s="1">
        <v>30000</v>
      </c>
      <c r="E291">
        <v>3</v>
      </c>
      <c r="F291" t="s">
        <v>31</v>
      </c>
      <c r="G291" t="s">
        <v>16</v>
      </c>
      <c r="H291" t="s">
        <v>17</v>
      </c>
      <c r="I291">
        <v>2</v>
      </c>
      <c r="J291" t="s">
        <v>27</v>
      </c>
      <c r="K291" t="s">
        <v>28</v>
      </c>
      <c r="L291" t="str" cm="1">
        <f t="array" ref="L291">_xlfn.IFS(bike_buyers[[#This Row],[Age]]&gt;= 70, "senior citizen", bike_buyers[[#This Row],[Age]]&gt;=55, "middle age",  bike_buyers[[#This Row],[Age]]&gt;=40,"mature adult ", bike_buyers[[#This Row],[Age]]&gt;=30, "adults", bike_buyers[[#This Row],[Age]]&gt;= 20, "young adults")</f>
        <v xml:space="preserve">mature adult </v>
      </c>
      <c r="M291">
        <v>54</v>
      </c>
      <c r="N291" t="s">
        <v>17</v>
      </c>
    </row>
    <row r="292" spans="1:14" x14ac:dyDescent="0.25">
      <c r="A292">
        <v>28319</v>
      </c>
      <c r="B292" t="s">
        <v>26</v>
      </c>
      <c r="C292" t="s">
        <v>14</v>
      </c>
      <c r="D292" s="1">
        <v>60000</v>
      </c>
      <c r="E292">
        <v>1</v>
      </c>
      <c r="F292" t="s">
        <v>22</v>
      </c>
      <c r="G292" t="s">
        <v>16</v>
      </c>
      <c r="H292" t="s">
        <v>20</v>
      </c>
      <c r="I292">
        <v>1</v>
      </c>
      <c r="J292" t="s">
        <v>18</v>
      </c>
      <c r="K292" t="s">
        <v>28</v>
      </c>
      <c r="L292" t="str" cm="1">
        <f t="array" ref="L292">_xlfn.IFS(bike_buyers[[#This Row],[Age]]&gt;= 70, "senior citizen", bike_buyers[[#This Row],[Age]]&gt;=55, "middle age",  bike_buyers[[#This Row],[Age]]&gt;=40,"mature adult ", bike_buyers[[#This Row],[Age]]&gt;=30, "adults", bike_buyers[[#This Row],[Age]]&gt;= 20, "young adults")</f>
        <v xml:space="preserve">mature adult </v>
      </c>
      <c r="M292">
        <v>46</v>
      </c>
      <c r="N292" t="s">
        <v>17</v>
      </c>
    </row>
    <row r="293" spans="1:14" x14ac:dyDescent="0.25">
      <c r="A293">
        <v>16406</v>
      </c>
      <c r="B293" t="s">
        <v>13</v>
      </c>
      <c r="C293" t="s">
        <v>21</v>
      </c>
      <c r="D293" s="1">
        <v>40000</v>
      </c>
      <c r="E293">
        <v>0</v>
      </c>
      <c r="F293" t="s">
        <v>15</v>
      </c>
      <c r="G293" t="s">
        <v>23</v>
      </c>
      <c r="H293" t="s">
        <v>20</v>
      </c>
      <c r="I293">
        <v>0</v>
      </c>
      <c r="J293" t="s">
        <v>18</v>
      </c>
      <c r="K293" t="s">
        <v>19</v>
      </c>
      <c r="L293" t="str" cm="1">
        <f t="array" ref="L293">_xlfn.IFS(bike_buyers[[#This Row],[Age]]&gt;= 70, "senior citizen", bike_buyers[[#This Row],[Age]]&gt;=55, "middle age",  bike_buyers[[#This Row],[Age]]&gt;=40,"mature adult ", bike_buyers[[#This Row],[Age]]&gt;=30, "adults", bike_buyers[[#This Row],[Age]]&gt;= 20, "young adults")</f>
        <v>adults</v>
      </c>
      <c r="M293">
        <v>38</v>
      </c>
      <c r="N293" t="s">
        <v>17</v>
      </c>
    </row>
    <row r="294" spans="1:14" x14ac:dyDescent="0.25">
      <c r="A294">
        <v>20923</v>
      </c>
      <c r="B294" t="s">
        <v>13</v>
      </c>
      <c r="C294" t="s">
        <v>14</v>
      </c>
      <c r="D294" s="1">
        <v>40000</v>
      </c>
      <c r="E294">
        <v>1</v>
      </c>
      <c r="F294" t="s">
        <v>15</v>
      </c>
      <c r="G294" t="s">
        <v>16</v>
      </c>
      <c r="H294" t="s">
        <v>17</v>
      </c>
      <c r="I294">
        <v>0</v>
      </c>
      <c r="J294" t="s">
        <v>18</v>
      </c>
      <c r="K294" t="s">
        <v>19</v>
      </c>
      <c r="L294" t="str" cm="1">
        <f t="array" ref="L294">_xlfn.IFS(bike_buyers[[#This Row],[Age]]&gt;= 70, "senior citizen", bike_buyers[[#This Row],[Age]]&gt;=55, "middle age",  bike_buyers[[#This Row],[Age]]&gt;=40,"mature adult ", bike_buyers[[#This Row],[Age]]&gt;=30, "adults", bike_buyers[[#This Row],[Age]]&gt;= 20, "young adults")</f>
        <v xml:space="preserve">mature adult </v>
      </c>
      <c r="M294">
        <v>42</v>
      </c>
      <c r="N294" t="s">
        <v>17</v>
      </c>
    </row>
    <row r="295" spans="1:14" x14ac:dyDescent="0.25">
      <c r="A295">
        <v>11378</v>
      </c>
      <c r="B295" t="s">
        <v>26</v>
      </c>
      <c r="C295" t="s">
        <v>14</v>
      </c>
      <c r="D295" s="1">
        <v>10000</v>
      </c>
      <c r="E295">
        <v>1</v>
      </c>
      <c r="F295" t="s">
        <v>31</v>
      </c>
      <c r="G295" t="s">
        <v>29</v>
      </c>
      <c r="H295" t="s">
        <v>20</v>
      </c>
      <c r="I295">
        <v>1</v>
      </c>
      <c r="J295" t="s">
        <v>25</v>
      </c>
      <c r="K295" t="s">
        <v>19</v>
      </c>
      <c r="L295" t="str" cm="1">
        <f t="array" ref="L295">_xlfn.IFS(bike_buyers[[#This Row],[Age]]&gt;= 70, "senior citizen", bike_buyers[[#This Row],[Age]]&gt;=55, "middle age",  bike_buyers[[#This Row],[Age]]&gt;=40,"mature adult ", bike_buyers[[#This Row],[Age]]&gt;=30, "adults", bike_buyers[[#This Row],[Age]]&gt;= 20, "young adults")</f>
        <v xml:space="preserve">mature adult </v>
      </c>
      <c r="M295">
        <v>46</v>
      </c>
      <c r="N295" t="s">
        <v>17</v>
      </c>
    </row>
    <row r="296" spans="1:14" x14ac:dyDescent="0.25">
      <c r="A296">
        <v>20851</v>
      </c>
      <c r="B296" t="s">
        <v>26</v>
      </c>
      <c r="C296" t="s">
        <v>21</v>
      </c>
      <c r="D296" s="1">
        <v>20000</v>
      </c>
      <c r="E296">
        <v>0</v>
      </c>
      <c r="F296" t="s">
        <v>22</v>
      </c>
      <c r="G296" t="s">
        <v>29</v>
      </c>
      <c r="H296" t="s">
        <v>20</v>
      </c>
      <c r="I296">
        <v>1</v>
      </c>
      <c r="J296" t="s">
        <v>25</v>
      </c>
      <c r="K296" t="s">
        <v>19</v>
      </c>
      <c r="L296" t="str" cm="1">
        <f t="array" ref="L296">_xlfn.IFS(bike_buyers[[#This Row],[Age]]&gt;= 70, "senior citizen", bike_buyers[[#This Row],[Age]]&gt;=55, "middle age",  bike_buyers[[#This Row],[Age]]&gt;=40,"mature adult ", bike_buyers[[#This Row],[Age]]&gt;=30, "adults", bike_buyers[[#This Row],[Age]]&gt;= 20, "young adults")</f>
        <v>adults</v>
      </c>
      <c r="M296">
        <v>36</v>
      </c>
      <c r="N296" t="s">
        <v>17</v>
      </c>
    </row>
    <row r="297" spans="1:14" x14ac:dyDescent="0.25">
      <c r="A297">
        <v>21557</v>
      </c>
      <c r="B297" t="s">
        <v>26</v>
      </c>
      <c r="C297" t="s">
        <v>14</v>
      </c>
      <c r="D297" s="1">
        <v>110000</v>
      </c>
      <c r="E297">
        <v>0</v>
      </c>
      <c r="F297" t="s">
        <v>22</v>
      </c>
      <c r="G297" t="s">
        <v>32</v>
      </c>
      <c r="H297" t="s">
        <v>17</v>
      </c>
      <c r="I297">
        <v>3</v>
      </c>
      <c r="J297" t="s">
        <v>41</v>
      </c>
      <c r="K297" t="s">
        <v>28</v>
      </c>
      <c r="L297" t="str" cm="1">
        <f t="array" ref="L297">_xlfn.IFS(bike_buyers[[#This Row],[Age]]&gt;= 70, "senior citizen", bike_buyers[[#This Row],[Age]]&gt;=55, "middle age",  bike_buyers[[#This Row],[Age]]&gt;=40,"mature adult ", bike_buyers[[#This Row],[Age]]&gt;=30, "adults", bike_buyers[[#This Row],[Age]]&gt;= 20, "young adults")</f>
        <v>adults</v>
      </c>
      <c r="M297">
        <v>32</v>
      </c>
      <c r="N297" t="s">
        <v>17</v>
      </c>
    </row>
    <row r="298" spans="1:14" x14ac:dyDescent="0.25">
      <c r="A298">
        <v>26663</v>
      </c>
      <c r="B298" t="s">
        <v>26</v>
      </c>
      <c r="C298" t="s">
        <v>14</v>
      </c>
      <c r="D298" s="1">
        <v>60000</v>
      </c>
      <c r="E298">
        <v>2</v>
      </c>
      <c r="F298" t="s">
        <v>15</v>
      </c>
      <c r="G298" t="s">
        <v>24</v>
      </c>
      <c r="H298" t="s">
        <v>20</v>
      </c>
      <c r="I298">
        <v>1</v>
      </c>
      <c r="J298" t="s">
        <v>18</v>
      </c>
      <c r="K298" t="s">
        <v>28</v>
      </c>
      <c r="L298" t="str" cm="1">
        <f t="array" ref="L298">_xlfn.IFS(bike_buyers[[#This Row],[Age]]&gt;= 70, "senior citizen", bike_buyers[[#This Row],[Age]]&gt;=55, "middle age",  bike_buyers[[#This Row],[Age]]&gt;=40,"mature adult ", bike_buyers[[#This Row],[Age]]&gt;=30, "adults", bike_buyers[[#This Row],[Age]]&gt;= 20, "young adults")</f>
        <v>adults</v>
      </c>
      <c r="M298">
        <v>39</v>
      </c>
      <c r="N298" t="s">
        <v>17</v>
      </c>
    </row>
    <row r="299" spans="1:14" x14ac:dyDescent="0.25">
      <c r="A299">
        <v>11896</v>
      </c>
      <c r="B299" t="s">
        <v>13</v>
      </c>
      <c r="C299" t="s">
        <v>21</v>
      </c>
      <c r="D299" s="1">
        <v>100000</v>
      </c>
      <c r="E299">
        <v>1</v>
      </c>
      <c r="F299" t="s">
        <v>34</v>
      </c>
      <c r="G299" t="s">
        <v>32</v>
      </c>
      <c r="H299" t="s">
        <v>17</v>
      </c>
      <c r="I299">
        <v>0</v>
      </c>
      <c r="J299" t="s">
        <v>25</v>
      </c>
      <c r="K299" t="s">
        <v>28</v>
      </c>
      <c r="L299" t="str" cm="1">
        <f t="array" ref="L299">_xlfn.IFS(bike_buyers[[#This Row],[Age]]&gt;= 70, "senior citizen", bike_buyers[[#This Row],[Age]]&gt;=55, "middle age",  bike_buyers[[#This Row],[Age]]&gt;=40,"mature adult ", bike_buyers[[#This Row],[Age]]&gt;=30, "adults", bike_buyers[[#This Row],[Age]]&gt;= 20, "young adults")</f>
        <v>adults</v>
      </c>
      <c r="M299">
        <v>36</v>
      </c>
      <c r="N299" t="s">
        <v>17</v>
      </c>
    </row>
    <row r="300" spans="1:14" x14ac:dyDescent="0.25">
      <c r="A300">
        <v>14189</v>
      </c>
      <c r="B300" t="s">
        <v>13</v>
      </c>
      <c r="C300" t="s">
        <v>14</v>
      </c>
      <c r="D300" s="1">
        <v>90000</v>
      </c>
      <c r="E300">
        <v>4</v>
      </c>
      <c r="F300" t="s">
        <v>31</v>
      </c>
      <c r="G300" t="s">
        <v>24</v>
      </c>
      <c r="H300" t="s">
        <v>20</v>
      </c>
      <c r="I300">
        <v>2</v>
      </c>
      <c r="J300" t="s">
        <v>25</v>
      </c>
      <c r="K300" t="s">
        <v>19</v>
      </c>
      <c r="L300" t="str" cm="1">
        <f t="array" ref="L300">_xlfn.IFS(bike_buyers[[#This Row],[Age]]&gt;= 70, "senior citizen", bike_buyers[[#This Row],[Age]]&gt;=55, "middle age",  bike_buyers[[#This Row],[Age]]&gt;=40,"mature adult ", bike_buyers[[#This Row],[Age]]&gt;=30, "adults", bike_buyers[[#This Row],[Age]]&gt;= 20, "young adults")</f>
        <v xml:space="preserve">mature adult </v>
      </c>
      <c r="M300">
        <v>54</v>
      </c>
      <c r="N300" t="s">
        <v>17</v>
      </c>
    </row>
    <row r="301" spans="1:14" x14ac:dyDescent="0.25">
      <c r="A301">
        <v>13136</v>
      </c>
      <c r="B301" t="s">
        <v>13</v>
      </c>
      <c r="C301" t="s">
        <v>14</v>
      </c>
      <c r="D301" s="1">
        <v>30000</v>
      </c>
      <c r="E301">
        <v>2</v>
      </c>
      <c r="F301" t="s">
        <v>22</v>
      </c>
      <c r="G301" t="s">
        <v>23</v>
      </c>
      <c r="H301" t="s">
        <v>20</v>
      </c>
      <c r="I301">
        <v>2</v>
      </c>
      <c r="J301" t="s">
        <v>27</v>
      </c>
      <c r="K301" t="s">
        <v>28</v>
      </c>
      <c r="L301" t="str" cm="1">
        <f t="array" ref="L301">_xlfn.IFS(bike_buyers[[#This Row],[Age]]&gt;= 70, "senior citizen", bike_buyers[[#This Row],[Age]]&gt;=55, "middle age",  bike_buyers[[#This Row],[Age]]&gt;=40,"mature adult ", bike_buyers[[#This Row],[Age]]&gt;=30, "adults", bike_buyers[[#This Row],[Age]]&gt;= 20, "young adults")</f>
        <v>middle age</v>
      </c>
      <c r="M301">
        <v>69</v>
      </c>
      <c r="N301" t="s">
        <v>20</v>
      </c>
    </row>
    <row r="302" spans="1:14" x14ac:dyDescent="0.25">
      <c r="A302">
        <v>25906</v>
      </c>
      <c r="B302" t="s">
        <v>26</v>
      </c>
      <c r="C302" t="s">
        <v>14</v>
      </c>
      <c r="D302" s="1">
        <v>10000</v>
      </c>
      <c r="E302">
        <v>5</v>
      </c>
      <c r="F302" t="s">
        <v>31</v>
      </c>
      <c r="G302" t="s">
        <v>16</v>
      </c>
      <c r="H302" t="s">
        <v>20</v>
      </c>
      <c r="I302">
        <v>2</v>
      </c>
      <c r="J302" t="s">
        <v>30</v>
      </c>
      <c r="K302" t="s">
        <v>28</v>
      </c>
      <c r="L302" t="str" cm="1">
        <f t="array" ref="L302">_xlfn.IFS(bike_buyers[[#This Row],[Age]]&gt;= 70, "senior citizen", bike_buyers[[#This Row],[Age]]&gt;=55, "middle age",  bike_buyers[[#This Row],[Age]]&gt;=40,"mature adult ", bike_buyers[[#This Row],[Age]]&gt;=30, "adults", bike_buyers[[#This Row],[Age]]&gt;= 20, "young adults")</f>
        <v>middle age</v>
      </c>
      <c r="M302">
        <v>62</v>
      </c>
      <c r="N302" t="s">
        <v>20</v>
      </c>
    </row>
    <row r="303" spans="1:14" x14ac:dyDescent="0.25">
      <c r="A303">
        <v>17926</v>
      </c>
      <c r="B303" t="s">
        <v>26</v>
      </c>
      <c r="C303" t="s">
        <v>14</v>
      </c>
      <c r="D303" s="1">
        <v>40000</v>
      </c>
      <c r="E303">
        <v>0</v>
      </c>
      <c r="F303" t="s">
        <v>15</v>
      </c>
      <c r="G303" t="s">
        <v>23</v>
      </c>
      <c r="H303" t="s">
        <v>20</v>
      </c>
      <c r="I303">
        <v>0</v>
      </c>
      <c r="J303" t="s">
        <v>18</v>
      </c>
      <c r="K303" t="s">
        <v>28</v>
      </c>
      <c r="L303" t="str" cm="1">
        <f t="array" ref="L303">_xlfn.IFS(bike_buyers[[#This Row],[Age]]&gt;= 70, "senior citizen", bike_buyers[[#This Row],[Age]]&gt;=55, "middle age",  bike_buyers[[#This Row],[Age]]&gt;=40,"mature adult ", bike_buyers[[#This Row],[Age]]&gt;=30, "adults", bike_buyers[[#This Row],[Age]]&gt;= 20, "young adults")</f>
        <v>young adults</v>
      </c>
      <c r="M303">
        <v>28</v>
      </c>
      <c r="N303" t="s">
        <v>17</v>
      </c>
    </row>
    <row r="304" spans="1:14" x14ac:dyDescent="0.25">
      <c r="A304">
        <v>26928</v>
      </c>
      <c r="B304" t="s">
        <v>26</v>
      </c>
      <c r="C304" t="s">
        <v>21</v>
      </c>
      <c r="D304" s="1">
        <v>30000</v>
      </c>
      <c r="E304">
        <v>1</v>
      </c>
      <c r="F304" t="s">
        <v>15</v>
      </c>
      <c r="G304" t="s">
        <v>23</v>
      </c>
      <c r="H304" t="s">
        <v>17</v>
      </c>
      <c r="I304">
        <v>0</v>
      </c>
      <c r="J304" t="s">
        <v>18</v>
      </c>
      <c r="K304" t="s">
        <v>19</v>
      </c>
      <c r="L304" t="str" cm="1">
        <f t="array" ref="L304">_xlfn.IFS(bike_buyers[[#This Row],[Age]]&gt;= 70, "senior citizen", bike_buyers[[#This Row],[Age]]&gt;=55, "middle age",  bike_buyers[[#This Row],[Age]]&gt;=40,"mature adult ", bike_buyers[[#This Row],[Age]]&gt;=30, "adults", bike_buyers[[#This Row],[Age]]&gt;= 20, "young adults")</f>
        <v>middle age</v>
      </c>
      <c r="M304">
        <v>62</v>
      </c>
      <c r="N304" t="s">
        <v>17</v>
      </c>
    </row>
    <row r="305" spans="1:14" x14ac:dyDescent="0.25">
      <c r="A305">
        <v>20897</v>
      </c>
      <c r="B305" t="s">
        <v>13</v>
      </c>
      <c r="C305" t="s">
        <v>14</v>
      </c>
      <c r="D305" s="1">
        <v>30000</v>
      </c>
      <c r="E305">
        <v>1</v>
      </c>
      <c r="F305" t="s">
        <v>15</v>
      </c>
      <c r="G305" t="s">
        <v>16</v>
      </c>
      <c r="H305" t="s">
        <v>17</v>
      </c>
      <c r="I305">
        <v>2</v>
      </c>
      <c r="J305" t="s">
        <v>18</v>
      </c>
      <c r="K305" t="s">
        <v>19</v>
      </c>
      <c r="L305" t="str" cm="1">
        <f t="array" ref="L305">_xlfn.IFS(bike_buyers[[#This Row],[Age]]&gt;= 70, "senior citizen", bike_buyers[[#This Row],[Age]]&gt;=55, "middle age",  bike_buyers[[#This Row],[Age]]&gt;=40,"mature adult ", bike_buyers[[#This Row],[Age]]&gt;=30, "adults", bike_buyers[[#This Row],[Age]]&gt;= 20, "young adults")</f>
        <v xml:space="preserve">mature adult </v>
      </c>
      <c r="M305">
        <v>40</v>
      </c>
      <c r="N305" t="s">
        <v>20</v>
      </c>
    </row>
    <row r="306" spans="1:14" x14ac:dyDescent="0.25">
      <c r="A306">
        <v>28207</v>
      </c>
      <c r="B306" t="s">
        <v>13</v>
      </c>
      <c r="C306" t="s">
        <v>21</v>
      </c>
      <c r="D306" s="1">
        <v>80000</v>
      </c>
      <c r="E306">
        <v>4</v>
      </c>
      <c r="F306" t="s">
        <v>34</v>
      </c>
      <c r="G306" t="s">
        <v>32</v>
      </c>
      <c r="H306" t="s">
        <v>17</v>
      </c>
      <c r="I306">
        <v>1</v>
      </c>
      <c r="J306" t="s">
        <v>18</v>
      </c>
      <c r="K306" t="s">
        <v>28</v>
      </c>
      <c r="L306" t="str" cm="1">
        <f t="array" ref="L306">_xlfn.IFS(bike_buyers[[#This Row],[Age]]&gt;= 70, "senior citizen", bike_buyers[[#This Row],[Age]]&gt;=55, "middle age",  bike_buyers[[#This Row],[Age]]&gt;=40,"mature adult ", bike_buyers[[#This Row],[Age]]&gt;=30, "adults", bike_buyers[[#This Row],[Age]]&gt;= 20, "young adults")</f>
        <v>adults</v>
      </c>
      <c r="M306">
        <v>36</v>
      </c>
      <c r="N306" t="s">
        <v>17</v>
      </c>
    </row>
    <row r="307" spans="1:14" x14ac:dyDescent="0.25">
      <c r="A307">
        <v>25923</v>
      </c>
      <c r="B307" t="s">
        <v>26</v>
      </c>
      <c r="C307" t="s">
        <v>21</v>
      </c>
      <c r="D307" s="1">
        <v>10000</v>
      </c>
      <c r="E307">
        <v>2</v>
      </c>
      <c r="F307" t="s">
        <v>33</v>
      </c>
      <c r="G307" t="s">
        <v>23</v>
      </c>
      <c r="H307" t="s">
        <v>17</v>
      </c>
      <c r="I307">
        <v>2</v>
      </c>
      <c r="J307" t="s">
        <v>27</v>
      </c>
      <c r="K307" t="s">
        <v>28</v>
      </c>
      <c r="L307" t="str" cm="1">
        <f t="array" ref="L307">_xlfn.IFS(bike_buyers[[#This Row],[Age]]&gt;= 70, "senior citizen", bike_buyers[[#This Row],[Age]]&gt;=55, "middle age",  bike_buyers[[#This Row],[Age]]&gt;=40,"mature adult ", bike_buyers[[#This Row],[Age]]&gt;=30, "adults", bike_buyers[[#This Row],[Age]]&gt;= 20, "young adults")</f>
        <v>middle age</v>
      </c>
      <c r="M307">
        <v>58</v>
      </c>
      <c r="N307" t="s">
        <v>20</v>
      </c>
    </row>
    <row r="308" spans="1:14" x14ac:dyDescent="0.25">
      <c r="A308">
        <v>11000</v>
      </c>
      <c r="B308" t="s">
        <v>13</v>
      </c>
      <c r="C308" t="s">
        <v>21</v>
      </c>
      <c r="D308" s="1">
        <v>90000</v>
      </c>
      <c r="E308">
        <v>2</v>
      </c>
      <c r="F308" t="s">
        <v>15</v>
      </c>
      <c r="G308" t="s">
        <v>24</v>
      </c>
      <c r="H308" t="s">
        <v>17</v>
      </c>
      <c r="I308">
        <v>0</v>
      </c>
      <c r="J308" t="s">
        <v>30</v>
      </c>
      <c r="K308" t="s">
        <v>28</v>
      </c>
      <c r="L308" t="str" cm="1">
        <f t="array" ref="L308">_xlfn.IFS(bike_buyers[[#This Row],[Age]]&gt;= 70, "senior citizen", bike_buyers[[#This Row],[Age]]&gt;=55, "middle age",  bike_buyers[[#This Row],[Age]]&gt;=40,"mature adult ", bike_buyers[[#This Row],[Age]]&gt;=30, "adults", bike_buyers[[#This Row],[Age]]&gt;= 20, "young adults")</f>
        <v xml:space="preserve">mature adult </v>
      </c>
      <c r="M308">
        <v>40</v>
      </c>
      <c r="N308" t="s">
        <v>17</v>
      </c>
    </row>
    <row r="309" spans="1:14" x14ac:dyDescent="0.25">
      <c r="A309">
        <v>20974</v>
      </c>
      <c r="B309" t="s">
        <v>13</v>
      </c>
      <c r="C309" t="s">
        <v>21</v>
      </c>
      <c r="D309" s="1">
        <v>10000</v>
      </c>
      <c r="E309">
        <v>2</v>
      </c>
      <c r="F309" t="s">
        <v>15</v>
      </c>
      <c r="G309" t="s">
        <v>23</v>
      </c>
      <c r="H309" t="s">
        <v>17</v>
      </c>
      <c r="I309">
        <v>1</v>
      </c>
      <c r="J309" t="s">
        <v>18</v>
      </c>
      <c r="K309" t="s">
        <v>19</v>
      </c>
      <c r="L309" t="str" cm="1">
        <f t="array" ref="L309">_xlfn.IFS(bike_buyers[[#This Row],[Age]]&gt;= 70, "senior citizen", bike_buyers[[#This Row],[Age]]&gt;=55, "middle age",  bike_buyers[[#This Row],[Age]]&gt;=40,"mature adult ", bike_buyers[[#This Row],[Age]]&gt;=30, "adults", bike_buyers[[#This Row],[Age]]&gt;= 20, "young adults")</f>
        <v>middle age</v>
      </c>
      <c r="M309">
        <v>66</v>
      </c>
      <c r="N309" t="s">
        <v>20</v>
      </c>
    </row>
    <row r="310" spans="1:14" x14ac:dyDescent="0.25">
      <c r="A310">
        <v>28758</v>
      </c>
      <c r="B310" t="s">
        <v>13</v>
      </c>
      <c r="C310" t="s">
        <v>21</v>
      </c>
      <c r="D310" s="1">
        <v>40000</v>
      </c>
      <c r="E310">
        <v>2</v>
      </c>
      <c r="F310" t="s">
        <v>22</v>
      </c>
      <c r="G310" t="s">
        <v>23</v>
      </c>
      <c r="H310" t="s">
        <v>17</v>
      </c>
      <c r="I310">
        <v>1</v>
      </c>
      <c r="J310" t="s">
        <v>30</v>
      </c>
      <c r="K310" t="s">
        <v>19</v>
      </c>
      <c r="L310" t="str" cm="1">
        <f t="array" ref="L310">_xlfn.IFS(bike_buyers[[#This Row],[Age]]&gt;= 70, "senior citizen", bike_buyers[[#This Row],[Age]]&gt;=55, "middle age",  bike_buyers[[#This Row],[Age]]&gt;=40,"mature adult ", bike_buyers[[#This Row],[Age]]&gt;=30, "adults", bike_buyers[[#This Row],[Age]]&gt;= 20, "young adults")</f>
        <v>adults</v>
      </c>
      <c r="M310">
        <v>35</v>
      </c>
      <c r="N310" t="s">
        <v>17</v>
      </c>
    </row>
    <row r="311" spans="1:14" x14ac:dyDescent="0.25">
      <c r="A311">
        <v>11381</v>
      </c>
      <c r="B311" t="s">
        <v>13</v>
      </c>
      <c r="C311" t="s">
        <v>14</v>
      </c>
      <c r="D311" s="1">
        <v>20000</v>
      </c>
      <c r="E311">
        <v>2</v>
      </c>
      <c r="F311" t="s">
        <v>22</v>
      </c>
      <c r="G311" t="s">
        <v>29</v>
      </c>
      <c r="H311" t="s">
        <v>17</v>
      </c>
      <c r="I311">
        <v>1</v>
      </c>
      <c r="J311" t="s">
        <v>25</v>
      </c>
      <c r="K311" t="s">
        <v>19</v>
      </c>
      <c r="L311" t="str" cm="1">
        <f t="array" ref="L311">_xlfn.IFS(bike_buyers[[#This Row],[Age]]&gt;= 70, "senior citizen", bike_buyers[[#This Row],[Age]]&gt;=55, "middle age",  bike_buyers[[#This Row],[Age]]&gt;=40,"mature adult ", bike_buyers[[#This Row],[Age]]&gt;=30, "adults", bike_buyers[[#This Row],[Age]]&gt;= 20, "young adults")</f>
        <v xml:space="preserve">mature adult </v>
      </c>
      <c r="M311">
        <v>47</v>
      </c>
      <c r="N311" t="s">
        <v>17</v>
      </c>
    </row>
    <row r="312" spans="1:14" x14ac:dyDescent="0.25">
      <c r="A312">
        <v>17522</v>
      </c>
      <c r="B312" t="s">
        <v>13</v>
      </c>
      <c r="C312" t="s">
        <v>21</v>
      </c>
      <c r="D312" s="1">
        <v>120000</v>
      </c>
      <c r="E312">
        <v>4</v>
      </c>
      <c r="F312" t="s">
        <v>15</v>
      </c>
      <c r="G312" t="s">
        <v>32</v>
      </c>
      <c r="H312" t="s">
        <v>17</v>
      </c>
      <c r="I312">
        <v>1</v>
      </c>
      <c r="J312" t="s">
        <v>25</v>
      </c>
      <c r="K312" t="s">
        <v>28</v>
      </c>
      <c r="L312" t="str" cm="1">
        <f t="array" ref="L312">_xlfn.IFS(bike_buyers[[#This Row],[Age]]&gt;= 70, "senior citizen", bike_buyers[[#This Row],[Age]]&gt;=55, "middle age",  bike_buyers[[#This Row],[Age]]&gt;=40,"mature adult ", bike_buyers[[#This Row],[Age]]&gt;=30, "adults", bike_buyers[[#This Row],[Age]]&gt;= 20, "young adults")</f>
        <v xml:space="preserve">mature adult </v>
      </c>
      <c r="M312">
        <v>47</v>
      </c>
      <c r="N312" t="s">
        <v>20</v>
      </c>
    </row>
    <row r="313" spans="1:14" x14ac:dyDescent="0.25">
      <c r="A313">
        <v>21207</v>
      </c>
      <c r="B313" t="s">
        <v>13</v>
      </c>
      <c r="C313" t="s">
        <v>21</v>
      </c>
      <c r="D313" s="1">
        <v>60000</v>
      </c>
      <c r="E313">
        <v>1</v>
      </c>
      <c r="F313" t="s">
        <v>22</v>
      </c>
      <c r="G313" t="s">
        <v>16</v>
      </c>
      <c r="H313" t="s">
        <v>17</v>
      </c>
      <c r="I313">
        <v>1</v>
      </c>
      <c r="J313" t="s">
        <v>27</v>
      </c>
      <c r="K313" t="s">
        <v>28</v>
      </c>
      <c r="L313" t="str" cm="1">
        <f t="array" ref="L313">_xlfn.IFS(bike_buyers[[#This Row],[Age]]&gt;= 70, "senior citizen", bike_buyers[[#This Row],[Age]]&gt;=55, "middle age",  bike_buyers[[#This Row],[Age]]&gt;=40,"mature adult ", bike_buyers[[#This Row],[Age]]&gt;=30, "adults", bike_buyers[[#This Row],[Age]]&gt;= 20, "young adults")</f>
        <v xml:space="preserve">mature adult </v>
      </c>
      <c r="M313">
        <v>46</v>
      </c>
      <c r="N313" t="s">
        <v>20</v>
      </c>
    </row>
    <row r="314" spans="1:14" x14ac:dyDescent="0.25">
      <c r="A314">
        <v>28102</v>
      </c>
      <c r="B314" t="s">
        <v>13</v>
      </c>
      <c r="C314" t="s">
        <v>21</v>
      </c>
      <c r="D314" s="1">
        <v>20000</v>
      </c>
      <c r="E314">
        <v>4</v>
      </c>
      <c r="F314" t="s">
        <v>31</v>
      </c>
      <c r="G314" t="s">
        <v>16</v>
      </c>
      <c r="H314" t="s">
        <v>17</v>
      </c>
      <c r="I314">
        <v>2</v>
      </c>
      <c r="J314" t="s">
        <v>27</v>
      </c>
      <c r="K314" t="s">
        <v>28</v>
      </c>
      <c r="L314" t="str" cm="1">
        <f t="array" ref="L314">_xlfn.IFS(bike_buyers[[#This Row],[Age]]&gt;= 70, "senior citizen", bike_buyers[[#This Row],[Age]]&gt;=55, "middle age",  bike_buyers[[#This Row],[Age]]&gt;=40,"mature adult ", bike_buyers[[#This Row],[Age]]&gt;=30, "adults", bike_buyers[[#This Row],[Age]]&gt;= 20, "young adults")</f>
        <v>middle age</v>
      </c>
      <c r="M314">
        <v>58</v>
      </c>
      <c r="N314" t="s">
        <v>17</v>
      </c>
    </row>
    <row r="315" spans="1:14" x14ac:dyDescent="0.25">
      <c r="A315">
        <v>23105</v>
      </c>
      <c r="B315" t="s">
        <v>26</v>
      </c>
      <c r="C315" t="s">
        <v>21</v>
      </c>
      <c r="D315" s="1">
        <v>40000</v>
      </c>
      <c r="E315">
        <v>3</v>
      </c>
      <c r="F315" t="s">
        <v>33</v>
      </c>
      <c r="G315" t="s">
        <v>23</v>
      </c>
      <c r="H315" t="s">
        <v>20</v>
      </c>
      <c r="I315">
        <v>2</v>
      </c>
      <c r="J315" t="s">
        <v>27</v>
      </c>
      <c r="K315" t="s">
        <v>28</v>
      </c>
      <c r="L315" t="str" cm="1">
        <f t="array" ref="L315">_xlfn.IFS(bike_buyers[[#This Row],[Age]]&gt;= 70, "senior citizen", bike_buyers[[#This Row],[Age]]&gt;=55, "middle age",  bike_buyers[[#This Row],[Age]]&gt;=40,"mature adult ", bike_buyers[[#This Row],[Age]]&gt;=30, "adults", bike_buyers[[#This Row],[Age]]&gt;= 20, "young adults")</f>
        <v xml:space="preserve">mature adult </v>
      </c>
      <c r="M315">
        <v>52</v>
      </c>
      <c r="N315" t="s">
        <v>17</v>
      </c>
    </row>
    <row r="316" spans="1:14" x14ac:dyDescent="0.25">
      <c r="A316">
        <v>18740</v>
      </c>
      <c r="B316" t="s">
        <v>13</v>
      </c>
      <c r="C316" t="s">
        <v>21</v>
      </c>
      <c r="D316" s="1">
        <v>80000</v>
      </c>
      <c r="E316">
        <v>5</v>
      </c>
      <c r="F316" t="s">
        <v>15</v>
      </c>
      <c r="G316" t="s">
        <v>24</v>
      </c>
      <c r="H316" t="s">
        <v>20</v>
      </c>
      <c r="I316">
        <v>1</v>
      </c>
      <c r="J316" t="s">
        <v>18</v>
      </c>
      <c r="K316" t="s">
        <v>28</v>
      </c>
      <c r="L316" t="str" cm="1">
        <f t="array" ref="L316">_xlfn.IFS(bike_buyers[[#This Row],[Age]]&gt;= 70, "senior citizen", bike_buyers[[#This Row],[Age]]&gt;=55, "middle age",  bike_buyers[[#This Row],[Age]]&gt;=40,"mature adult ", bike_buyers[[#This Row],[Age]]&gt;=30, "adults", bike_buyers[[#This Row],[Age]]&gt;= 20, "young adults")</f>
        <v xml:space="preserve">mature adult </v>
      </c>
      <c r="M316">
        <v>47</v>
      </c>
      <c r="N316" t="s">
        <v>17</v>
      </c>
    </row>
    <row r="317" spans="1:14" x14ac:dyDescent="0.25">
      <c r="A317">
        <v>21213</v>
      </c>
      <c r="B317" t="s">
        <v>26</v>
      </c>
      <c r="C317" t="s">
        <v>21</v>
      </c>
      <c r="D317" s="1">
        <v>70000</v>
      </c>
      <c r="E317">
        <v>0</v>
      </c>
      <c r="F317" t="s">
        <v>15</v>
      </c>
      <c r="G317" t="s">
        <v>24</v>
      </c>
      <c r="H317" t="s">
        <v>20</v>
      </c>
      <c r="I317">
        <v>1</v>
      </c>
      <c r="J317" t="s">
        <v>27</v>
      </c>
      <c r="K317" t="s">
        <v>28</v>
      </c>
      <c r="L317" t="str" cm="1">
        <f t="array" ref="L317">_xlfn.IFS(bike_buyers[[#This Row],[Age]]&gt;= 70, "senior citizen", bike_buyers[[#This Row],[Age]]&gt;=55, "middle age",  bike_buyers[[#This Row],[Age]]&gt;=40,"mature adult ", bike_buyers[[#This Row],[Age]]&gt;=30, "adults", bike_buyers[[#This Row],[Age]]&gt;= 20, "young adults")</f>
        <v xml:space="preserve">mature adult </v>
      </c>
      <c r="M317">
        <v>41</v>
      </c>
      <c r="N317" t="s">
        <v>20</v>
      </c>
    </row>
    <row r="318" spans="1:14" x14ac:dyDescent="0.25">
      <c r="A318">
        <v>17352</v>
      </c>
      <c r="B318" t="s">
        <v>13</v>
      </c>
      <c r="C318" t="s">
        <v>21</v>
      </c>
      <c r="D318" s="1">
        <v>50000</v>
      </c>
      <c r="E318">
        <v>2</v>
      </c>
      <c r="F318" t="s">
        <v>34</v>
      </c>
      <c r="G318" t="s">
        <v>32</v>
      </c>
      <c r="H318" t="s">
        <v>17</v>
      </c>
      <c r="I318">
        <v>1</v>
      </c>
      <c r="J318" t="s">
        <v>27</v>
      </c>
      <c r="K318" t="s">
        <v>28</v>
      </c>
      <c r="L318" t="str" cm="1">
        <f t="array" ref="L318">_xlfn.IFS(bike_buyers[[#This Row],[Age]]&gt;= 70, "senior citizen", bike_buyers[[#This Row],[Age]]&gt;=55, "middle age",  bike_buyers[[#This Row],[Age]]&gt;=40,"mature adult ", bike_buyers[[#This Row],[Age]]&gt;=30, "adults", bike_buyers[[#This Row],[Age]]&gt;= 20, "young adults")</f>
        <v>middle age</v>
      </c>
      <c r="M318">
        <v>64</v>
      </c>
      <c r="N318" t="s">
        <v>17</v>
      </c>
    </row>
    <row r="319" spans="1:14" x14ac:dyDescent="0.25">
      <c r="A319">
        <v>14154</v>
      </c>
      <c r="B319" t="s">
        <v>13</v>
      </c>
      <c r="C319" t="s">
        <v>21</v>
      </c>
      <c r="D319" s="1">
        <v>30000</v>
      </c>
      <c r="E319">
        <v>0</v>
      </c>
      <c r="F319" t="s">
        <v>15</v>
      </c>
      <c r="G319" t="s">
        <v>23</v>
      </c>
      <c r="H319" t="s">
        <v>17</v>
      </c>
      <c r="I319">
        <v>0</v>
      </c>
      <c r="J319" t="s">
        <v>18</v>
      </c>
      <c r="K319" t="s">
        <v>19</v>
      </c>
      <c r="L319" t="str" cm="1">
        <f t="array" ref="L319">_xlfn.IFS(bike_buyers[[#This Row],[Age]]&gt;= 70, "senior citizen", bike_buyers[[#This Row],[Age]]&gt;=55, "middle age",  bike_buyers[[#This Row],[Age]]&gt;=40,"mature adult ", bike_buyers[[#This Row],[Age]]&gt;=30, "adults", bike_buyers[[#This Row],[Age]]&gt;= 20, "young adults")</f>
        <v>adults</v>
      </c>
      <c r="M319">
        <v>35</v>
      </c>
      <c r="N319" t="s">
        <v>17</v>
      </c>
    </row>
    <row r="320" spans="1:14" x14ac:dyDescent="0.25">
      <c r="A320">
        <v>19066</v>
      </c>
      <c r="B320" t="s">
        <v>13</v>
      </c>
      <c r="C320" t="s">
        <v>21</v>
      </c>
      <c r="D320" s="1">
        <v>130000</v>
      </c>
      <c r="E320">
        <v>4</v>
      </c>
      <c r="F320" t="s">
        <v>22</v>
      </c>
      <c r="G320" t="s">
        <v>24</v>
      </c>
      <c r="H320" t="s">
        <v>20</v>
      </c>
      <c r="I320">
        <v>3</v>
      </c>
      <c r="J320" t="s">
        <v>41</v>
      </c>
      <c r="K320" t="s">
        <v>19</v>
      </c>
      <c r="L320" t="str" cm="1">
        <f t="array" ref="L320">_xlfn.IFS(bike_buyers[[#This Row],[Age]]&gt;= 70, "senior citizen", bike_buyers[[#This Row],[Age]]&gt;=55, "middle age",  bike_buyers[[#This Row],[Age]]&gt;=40,"mature adult ", bike_buyers[[#This Row],[Age]]&gt;=30, "adults", bike_buyers[[#This Row],[Age]]&gt;= 20, "young adults")</f>
        <v xml:space="preserve">mature adult </v>
      </c>
      <c r="M320">
        <v>54</v>
      </c>
      <c r="N320" t="s">
        <v>20</v>
      </c>
    </row>
    <row r="321" spans="1:14" x14ac:dyDescent="0.25">
      <c r="A321">
        <v>11386</v>
      </c>
      <c r="B321" t="s">
        <v>13</v>
      </c>
      <c r="C321" t="s">
        <v>14</v>
      </c>
      <c r="D321" s="1">
        <v>30000</v>
      </c>
      <c r="E321">
        <v>3</v>
      </c>
      <c r="F321" t="s">
        <v>15</v>
      </c>
      <c r="G321" t="s">
        <v>23</v>
      </c>
      <c r="H321" t="s">
        <v>17</v>
      </c>
      <c r="I321">
        <v>0</v>
      </c>
      <c r="J321" t="s">
        <v>18</v>
      </c>
      <c r="K321" t="s">
        <v>19</v>
      </c>
      <c r="L321" t="str" cm="1">
        <f t="array" ref="L321">_xlfn.IFS(bike_buyers[[#This Row],[Age]]&gt;= 70, "senior citizen", bike_buyers[[#This Row],[Age]]&gt;=55, "middle age",  bike_buyers[[#This Row],[Age]]&gt;=40,"mature adult ", bike_buyers[[#This Row],[Age]]&gt;=30, "adults", bike_buyers[[#This Row],[Age]]&gt;= 20, "young adults")</f>
        <v xml:space="preserve">mature adult </v>
      </c>
      <c r="M321">
        <v>45</v>
      </c>
      <c r="N321" t="s">
        <v>20</v>
      </c>
    </row>
    <row r="322" spans="1:14" x14ac:dyDescent="0.25">
      <c r="A322">
        <v>20228</v>
      </c>
      <c r="B322" t="s">
        <v>13</v>
      </c>
      <c r="C322" t="s">
        <v>21</v>
      </c>
      <c r="D322" s="1">
        <v>100000</v>
      </c>
      <c r="E322">
        <v>0</v>
      </c>
      <c r="F322" t="s">
        <v>34</v>
      </c>
      <c r="G322" t="s">
        <v>32</v>
      </c>
      <c r="H322" t="s">
        <v>17</v>
      </c>
      <c r="I322">
        <v>0</v>
      </c>
      <c r="J322" t="s">
        <v>25</v>
      </c>
      <c r="K322" t="s">
        <v>28</v>
      </c>
      <c r="L322" t="str" cm="1">
        <f t="array" ref="L322">_xlfn.IFS(bike_buyers[[#This Row],[Age]]&gt;= 70, "senior citizen", bike_buyers[[#This Row],[Age]]&gt;=55, "middle age",  bike_buyers[[#This Row],[Age]]&gt;=40,"mature adult ", bike_buyers[[#This Row],[Age]]&gt;=30, "adults", bike_buyers[[#This Row],[Age]]&gt;= 20, "young adults")</f>
        <v xml:space="preserve">mature adult </v>
      </c>
      <c r="M322">
        <v>40</v>
      </c>
      <c r="N322" t="s">
        <v>17</v>
      </c>
    </row>
    <row r="323" spans="1:14" x14ac:dyDescent="0.25">
      <c r="A323">
        <v>16675</v>
      </c>
      <c r="B323" t="s">
        <v>26</v>
      </c>
      <c r="C323" t="s">
        <v>14</v>
      </c>
      <c r="D323" s="1">
        <v>160000</v>
      </c>
      <c r="E323">
        <v>0</v>
      </c>
      <c r="F323" t="s">
        <v>34</v>
      </c>
      <c r="G323" t="s">
        <v>32</v>
      </c>
      <c r="H323" t="s">
        <v>20</v>
      </c>
      <c r="I323">
        <v>3</v>
      </c>
      <c r="J323" t="s">
        <v>18</v>
      </c>
      <c r="K323" t="s">
        <v>28</v>
      </c>
      <c r="L323" t="str" cm="1">
        <f t="array" ref="L323">_xlfn.IFS(bike_buyers[[#This Row],[Age]]&gt;= 70, "senior citizen", bike_buyers[[#This Row],[Age]]&gt;=55, "middle age",  bike_buyers[[#This Row],[Age]]&gt;=40,"mature adult ", bike_buyers[[#This Row],[Age]]&gt;=30, "adults", bike_buyers[[#This Row],[Age]]&gt;= 20, "young adults")</f>
        <v xml:space="preserve">mature adult </v>
      </c>
      <c r="M323">
        <v>47</v>
      </c>
      <c r="N323" t="s">
        <v>17</v>
      </c>
    </row>
    <row r="324" spans="1:14" x14ac:dyDescent="0.25">
      <c r="A324">
        <v>16410</v>
      </c>
      <c r="B324" t="s">
        <v>26</v>
      </c>
      <c r="C324" t="s">
        <v>14</v>
      </c>
      <c r="D324" s="1">
        <v>10000</v>
      </c>
      <c r="E324">
        <v>4</v>
      </c>
      <c r="F324" t="s">
        <v>33</v>
      </c>
      <c r="G324" t="s">
        <v>29</v>
      </c>
      <c r="H324" t="s">
        <v>17</v>
      </c>
      <c r="I324">
        <v>2</v>
      </c>
      <c r="J324" t="s">
        <v>18</v>
      </c>
      <c r="K324" t="s">
        <v>19</v>
      </c>
      <c r="L324" t="str" cm="1">
        <f t="array" ref="L324">_xlfn.IFS(bike_buyers[[#This Row],[Age]]&gt;= 70, "senior citizen", bike_buyers[[#This Row],[Age]]&gt;=55, "middle age",  bike_buyers[[#This Row],[Age]]&gt;=40,"mature adult ", bike_buyers[[#This Row],[Age]]&gt;=30, "adults", bike_buyers[[#This Row],[Age]]&gt;= 20, "young adults")</f>
        <v xml:space="preserve">mature adult </v>
      </c>
      <c r="M324">
        <v>41</v>
      </c>
      <c r="N324" t="s">
        <v>17</v>
      </c>
    </row>
    <row r="325" spans="1:14" x14ac:dyDescent="0.25">
      <c r="A325">
        <v>27760</v>
      </c>
      <c r="B325" t="s">
        <v>26</v>
      </c>
      <c r="C325" t="s">
        <v>14</v>
      </c>
      <c r="D325" s="1">
        <v>40000</v>
      </c>
      <c r="E325">
        <v>0</v>
      </c>
      <c r="F325" t="s">
        <v>34</v>
      </c>
      <c r="G325" t="s">
        <v>23</v>
      </c>
      <c r="H325" t="s">
        <v>20</v>
      </c>
      <c r="I325">
        <v>0</v>
      </c>
      <c r="J325" t="s">
        <v>18</v>
      </c>
      <c r="K325" t="s">
        <v>19</v>
      </c>
      <c r="L325" t="str" cm="1">
        <f t="array" ref="L325">_xlfn.IFS(bike_buyers[[#This Row],[Age]]&gt;= 70, "senior citizen", bike_buyers[[#This Row],[Age]]&gt;=55, "middle age",  bike_buyers[[#This Row],[Age]]&gt;=40,"mature adult ", bike_buyers[[#This Row],[Age]]&gt;=30, "adults", bike_buyers[[#This Row],[Age]]&gt;= 20, "young adults")</f>
        <v>adults</v>
      </c>
      <c r="M325">
        <v>37</v>
      </c>
      <c r="N325" t="s">
        <v>17</v>
      </c>
    </row>
    <row r="326" spans="1:14" x14ac:dyDescent="0.25">
      <c r="A326">
        <v>22930</v>
      </c>
      <c r="B326" t="s">
        <v>13</v>
      </c>
      <c r="C326" t="s">
        <v>21</v>
      </c>
      <c r="D326" s="1">
        <v>90000</v>
      </c>
      <c r="E326">
        <v>4</v>
      </c>
      <c r="F326" t="s">
        <v>15</v>
      </c>
      <c r="G326" t="s">
        <v>24</v>
      </c>
      <c r="H326" t="s">
        <v>17</v>
      </c>
      <c r="I326">
        <v>0</v>
      </c>
      <c r="J326" t="s">
        <v>30</v>
      </c>
      <c r="K326" t="s">
        <v>28</v>
      </c>
      <c r="L326" t="str" cm="1">
        <f t="array" ref="L326">_xlfn.IFS(bike_buyers[[#This Row],[Age]]&gt;= 70, "senior citizen", bike_buyers[[#This Row],[Age]]&gt;=55, "middle age",  bike_buyers[[#This Row],[Age]]&gt;=40,"mature adult ", bike_buyers[[#This Row],[Age]]&gt;=30, "adults", bike_buyers[[#This Row],[Age]]&gt;= 20, "young adults")</f>
        <v>adults</v>
      </c>
      <c r="M326">
        <v>38</v>
      </c>
      <c r="N326" t="s">
        <v>17</v>
      </c>
    </row>
    <row r="327" spans="1:14" x14ac:dyDescent="0.25">
      <c r="A327">
        <v>23780</v>
      </c>
      <c r="B327" t="s">
        <v>26</v>
      </c>
      <c r="C327" t="s">
        <v>21</v>
      </c>
      <c r="D327" s="1">
        <v>40000</v>
      </c>
      <c r="E327">
        <v>2</v>
      </c>
      <c r="F327" t="s">
        <v>22</v>
      </c>
      <c r="G327" t="s">
        <v>23</v>
      </c>
      <c r="H327" t="s">
        <v>20</v>
      </c>
      <c r="I327">
        <v>2</v>
      </c>
      <c r="J327" t="s">
        <v>18</v>
      </c>
      <c r="K327" t="s">
        <v>19</v>
      </c>
      <c r="L327" t="str" cm="1">
        <f t="array" ref="L327">_xlfn.IFS(bike_buyers[[#This Row],[Age]]&gt;= 70, "senior citizen", bike_buyers[[#This Row],[Age]]&gt;=55, "middle age",  bike_buyers[[#This Row],[Age]]&gt;=40,"mature adult ", bike_buyers[[#This Row],[Age]]&gt;=30, "adults", bike_buyers[[#This Row],[Age]]&gt;= 20, "young adults")</f>
        <v>adults</v>
      </c>
      <c r="M327">
        <v>36</v>
      </c>
      <c r="N327" t="s">
        <v>17</v>
      </c>
    </row>
    <row r="328" spans="1:14" x14ac:dyDescent="0.25">
      <c r="A328">
        <v>20994</v>
      </c>
      <c r="B328" t="s">
        <v>13</v>
      </c>
      <c r="C328" t="s">
        <v>14</v>
      </c>
      <c r="D328" s="1">
        <v>20000</v>
      </c>
      <c r="E328">
        <v>0</v>
      </c>
      <c r="F328" t="s">
        <v>15</v>
      </c>
      <c r="G328" t="s">
        <v>23</v>
      </c>
      <c r="H328" t="s">
        <v>20</v>
      </c>
      <c r="I328">
        <v>0</v>
      </c>
      <c r="J328" t="s">
        <v>18</v>
      </c>
      <c r="K328" t="s">
        <v>28</v>
      </c>
      <c r="L328" t="str" cm="1">
        <f t="array" ref="L328">_xlfn.IFS(bike_buyers[[#This Row],[Age]]&gt;= 70, "senior citizen", bike_buyers[[#This Row],[Age]]&gt;=55, "middle age",  bike_buyers[[#This Row],[Age]]&gt;=40,"mature adult ", bike_buyers[[#This Row],[Age]]&gt;=30, "adults", bike_buyers[[#This Row],[Age]]&gt;= 20, "young adults")</f>
        <v>young adults</v>
      </c>
      <c r="M328">
        <v>26</v>
      </c>
      <c r="N328" t="s">
        <v>17</v>
      </c>
    </row>
    <row r="329" spans="1:14" x14ac:dyDescent="0.25">
      <c r="A329">
        <v>28379</v>
      </c>
      <c r="B329" t="s">
        <v>13</v>
      </c>
      <c r="C329" t="s">
        <v>21</v>
      </c>
      <c r="D329" s="1">
        <v>30000</v>
      </c>
      <c r="E329">
        <v>1</v>
      </c>
      <c r="F329" t="s">
        <v>15</v>
      </c>
      <c r="G329" t="s">
        <v>16</v>
      </c>
      <c r="H329" t="s">
        <v>17</v>
      </c>
      <c r="I329">
        <v>2</v>
      </c>
      <c r="J329" t="s">
        <v>18</v>
      </c>
      <c r="K329" t="s">
        <v>19</v>
      </c>
      <c r="L329" t="str" cm="1">
        <f t="array" ref="L329">_xlfn.IFS(bike_buyers[[#This Row],[Age]]&gt;= 70, "senior citizen", bike_buyers[[#This Row],[Age]]&gt;=55, "middle age",  bike_buyers[[#This Row],[Age]]&gt;=40,"mature adult ", bike_buyers[[#This Row],[Age]]&gt;=30, "adults", bike_buyers[[#This Row],[Age]]&gt;= 20, "young adults")</f>
        <v xml:space="preserve">mature adult </v>
      </c>
      <c r="M329">
        <v>40</v>
      </c>
      <c r="N329" t="s">
        <v>20</v>
      </c>
    </row>
    <row r="330" spans="1:14" x14ac:dyDescent="0.25">
      <c r="A330">
        <v>14865</v>
      </c>
      <c r="B330" t="s">
        <v>26</v>
      </c>
      <c r="C330" t="s">
        <v>21</v>
      </c>
      <c r="D330" s="1">
        <v>40000</v>
      </c>
      <c r="E330">
        <v>2</v>
      </c>
      <c r="F330" t="s">
        <v>22</v>
      </c>
      <c r="G330" t="s">
        <v>23</v>
      </c>
      <c r="H330" t="s">
        <v>17</v>
      </c>
      <c r="I330">
        <v>2</v>
      </c>
      <c r="J330" t="s">
        <v>30</v>
      </c>
      <c r="K330" t="s">
        <v>19</v>
      </c>
      <c r="L330" t="str" cm="1">
        <f t="array" ref="L330">_xlfn.IFS(bike_buyers[[#This Row],[Age]]&gt;= 70, "senior citizen", bike_buyers[[#This Row],[Age]]&gt;=55, "middle age",  bike_buyers[[#This Row],[Age]]&gt;=40,"mature adult ", bike_buyers[[#This Row],[Age]]&gt;=30, "adults", bike_buyers[[#This Row],[Age]]&gt;= 20, "young adults")</f>
        <v>adults</v>
      </c>
      <c r="M330">
        <v>36</v>
      </c>
      <c r="N330" t="s">
        <v>20</v>
      </c>
    </row>
    <row r="331" spans="1:14" x14ac:dyDescent="0.25">
      <c r="A331">
        <v>12663</v>
      </c>
      <c r="B331" t="s">
        <v>13</v>
      </c>
      <c r="C331" t="s">
        <v>14</v>
      </c>
      <c r="D331" s="1">
        <v>90000</v>
      </c>
      <c r="E331">
        <v>5</v>
      </c>
      <c r="F331" t="s">
        <v>33</v>
      </c>
      <c r="G331" t="s">
        <v>16</v>
      </c>
      <c r="H331" t="s">
        <v>17</v>
      </c>
      <c r="I331">
        <v>2</v>
      </c>
      <c r="J331" t="s">
        <v>41</v>
      </c>
      <c r="K331" t="s">
        <v>19</v>
      </c>
      <c r="L331" t="str" cm="1">
        <f t="array" ref="L331">_xlfn.IFS(bike_buyers[[#This Row],[Age]]&gt;= 70, "senior citizen", bike_buyers[[#This Row],[Age]]&gt;=55, "middle age",  bike_buyers[[#This Row],[Age]]&gt;=40,"mature adult ", bike_buyers[[#This Row],[Age]]&gt;=30, "adults", bike_buyers[[#This Row],[Age]]&gt;= 20, "young adults")</f>
        <v>middle age</v>
      </c>
      <c r="M331">
        <v>59</v>
      </c>
      <c r="N331" t="s">
        <v>20</v>
      </c>
    </row>
    <row r="332" spans="1:14" x14ac:dyDescent="0.25">
      <c r="A332">
        <v>24898</v>
      </c>
      <c r="B332" t="s">
        <v>26</v>
      </c>
      <c r="C332" t="s">
        <v>14</v>
      </c>
      <c r="D332" s="1">
        <v>80000</v>
      </c>
      <c r="E332">
        <v>0</v>
      </c>
      <c r="F332" t="s">
        <v>15</v>
      </c>
      <c r="G332" t="s">
        <v>24</v>
      </c>
      <c r="H332" t="s">
        <v>17</v>
      </c>
      <c r="I332">
        <v>3</v>
      </c>
      <c r="J332" t="s">
        <v>41</v>
      </c>
      <c r="K332" t="s">
        <v>28</v>
      </c>
      <c r="L332" t="str" cm="1">
        <f t="array" ref="L332">_xlfn.IFS(bike_buyers[[#This Row],[Age]]&gt;= 70, "senior citizen", bike_buyers[[#This Row],[Age]]&gt;=55, "middle age",  bike_buyers[[#This Row],[Age]]&gt;=40,"mature adult ", bike_buyers[[#This Row],[Age]]&gt;=30, "adults", bike_buyers[[#This Row],[Age]]&gt;= 20, "young adults")</f>
        <v>adults</v>
      </c>
      <c r="M332">
        <v>32</v>
      </c>
      <c r="N332" t="s">
        <v>20</v>
      </c>
    </row>
    <row r="333" spans="1:14" x14ac:dyDescent="0.25">
      <c r="A333">
        <v>19508</v>
      </c>
      <c r="B333" t="s">
        <v>13</v>
      </c>
      <c r="C333" t="s">
        <v>21</v>
      </c>
      <c r="D333" s="1">
        <v>10000</v>
      </c>
      <c r="E333">
        <v>0</v>
      </c>
      <c r="F333" t="s">
        <v>33</v>
      </c>
      <c r="G333" t="s">
        <v>29</v>
      </c>
      <c r="H333" t="s">
        <v>20</v>
      </c>
      <c r="I333">
        <v>2</v>
      </c>
      <c r="J333" t="s">
        <v>18</v>
      </c>
      <c r="K333" t="s">
        <v>19</v>
      </c>
      <c r="L333" t="str" cm="1">
        <f t="array" ref="L333">_xlfn.IFS(bike_buyers[[#This Row],[Age]]&gt;= 70, "senior citizen", bike_buyers[[#This Row],[Age]]&gt;=55, "middle age",  bike_buyers[[#This Row],[Age]]&gt;=40,"mature adult ", bike_buyers[[#This Row],[Age]]&gt;=30, "adults", bike_buyers[[#This Row],[Age]]&gt;= 20, "young adults")</f>
        <v>adults</v>
      </c>
      <c r="M333">
        <v>30</v>
      </c>
      <c r="N333" t="s">
        <v>20</v>
      </c>
    </row>
    <row r="334" spans="1:14" x14ac:dyDescent="0.25">
      <c r="A334">
        <v>11489</v>
      </c>
      <c r="B334" t="s">
        <v>26</v>
      </c>
      <c r="C334" t="s">
        <v>14</v>
      </c>
      <c r="D334" s="1">
        <v>20000</v>
      </c>
      <c r="E334">
        <v>0</v>
      </c>
      <c r="F334" t="s">
        <v>33</v>
      </c>
      <c r="G334" t="s">
        <v>29</v>
      </c>
      <c r="H334" t="s">
        <v>20</v>
      </c>
      <c r="I334">
        <v>2</v>
      </c>
      <c r="J334" t="s">
        <v>30</v>
      </c>
      <c r="K334" t="s">
        <v>19</v>
      </c>
      <c r="L334" t="str" cm="1">
        <f t="array" ref="L334">_xlfn.IFS(bike_buyers[[#This Row],[Age]]&gt;= 70, "senior citizen", bike_buyers[[#This Row],[Age]]&gt;=55, "middle age",  bike_buyers[[#This Row],[Age]]&gt;=40,"mature adult ", bike_buyers[[#This Row],[Age]]&gt;=30, "adults", bike_buyers[[#This Row],[Age]]&gt;= 20, "young adults")</f>
        <v>adults</v>
      </c>
      <c r="M334">
        <v>35</v>
      </c>
      <c r="N334" t="s">
        <v>17</v>
      </c>
    </row>
    <row r="335" spans="1:14" x14ac:dyDescent="0.25">
      <c r="A335">
        <v>18160</v>
      </c>
      <c r="B335" t="s">
        <v>13</v>
      </c>
      <c r="C335" t="s">
        <v>21</v>
      </c>
      <c r="D335" s="1">
        <v>130000</v>
      </c>
      <c r="E335">
        <v>3</v>
      </c>
      <c r="F335" t="s">
        <v>31</v>
      </c>
      <c r="G335" t="s">
        <v>24</v>
      </c>
      <c r="H335" t="s">
        <v>17</v>
      </c>
      <c r="I335">
        <v>4</v>
      </c>
      <c r="J335" t="s">
        <v>27</v>
      </c>
      <c r="K335" t="s">
        <v>19</v>
      </c>
      <c r="L335" t="str" cm="1">
        <f t="array" ref="L335">_xlfn.IFS(bike_buyers[[#This Row],[Age]]&gt;= 70, "senior citizen", bike_buyers[[#This Row],[Age]]&gt;=55, "middle age",  bike_buyers[[#This Row],[Age]]&gt;=40,"mature adult ", bike_buyers[[#This Row],[Age]]&gt;=30, "adults", bike_buyers[[#This Row],[Age]]&gt;= 20, "young adults")</f>
        <v xml:space="preserve">mature adult </v>
      </c>
      <c r="M335">
        <v>51</v>
      </c>
      <c r="N335" t="s">
        <v>17</v>
      </c>
    </row>
    <row r="336" spans="1:14" x14ac:dyDescent="0.25">
      <c r="A336">
        <v>25241</v>
      </c>
      <c r="B336" t="s">
        <v>13</v>
      </c>
      <c r="C336" t="s">
        <v>21</v>
      </c>
      <c r="D336" s="1">
        <v>90000</v>
      </c>
      <c r="E336">
        <v>2</v>
      </c>
      <c r="F336" t="s">
        <v>15</v>
      </c>
      <c r="G336" t="s">
        <v>24</v>
      </c>
      <c r="H336" t="s">
        <v>17</v>
      </c>
      <c r="I336">
        <v>1</v>
      </c>
      <c r="J336" t="s">
        <v>27</v>
      </c>
      <c r="K336" t="s">
        <v>28</v>
      </c>
      <c r="L336" t="str" cm="1">
        <f t="array" ref="L336">_xlfn.IFS(bike_buyers[[#This Row],[Age]]&gt;= 70, "senior citizen", bike_buyers[[#This Row],[Age]]&gt;=55, "middle age",  bike_buyers[[#This Row],[Age]]&gt;=40,"mature adult ", bike_buyers[[#This Row],[Age]]&gt;=30, "adults", bike_buyers[[#This Row],[Age]]&gt;= 20, "young adults")</f>
        <v xml:space="preserve">mature adult </v>
      </c>
      <c r="M336">
        <v>47</v>
      </c>
      <c r="N336" t="s">
        <v>20</v>
      </c>
    </row>
    <row r="337" spans="1:14" x14ac:dyDescent="0.25">
      <c r="A337">
        <v>24369</v>
      </c>
      <c r="B337" t="s">
        <v>13</v>
      </c>
      <c r="C337" t="s">
        <v>21</v>
      </c>
      <c r="D337" s="1">
        <v>80000</v>
      </c>
      <c r="E337">
        <v>5</v>
      </c>
      <c r="F337" t="s">
        <v>34</v>
      </c>
      <c r="G337" t="s">
        <v>32</v>
      </c>
      <c r="H337" t="s">
        <v>20</v>
      </c>
      <c r="I337">
        <v>2</v>
      </c>
      <c r="J337" t="s">
        <v>18</v>
      </c>
      <c r="K337" t="s">
        <v>28</v>
      </c>
      <c r="L337" t="str" cm="1">
        <f t="array" ref="L337">_xlfn.IFS(bike_buyers[[#This Row],[Age]]&gt;= 70, "senior citizen", bike_buyers[[#This Row],[Age]]&gt;=55, "middle age",  bike_buyers[[#This Row],[Age]]&gt;=40,"mature adult ", bike_buyers[[#This Row],[Age]]&gt;=30, "adults", bike_buyers[[#This Row],[Age]]&gt;= 20, "young adults")</f>
        <v>adults</v>
      </c>
      <c r="M337">
        <v>39</v>
      </c>
      <c r="N337" t="s">
        <v>20</v>
      </c>
    </row>
    <row r="338" spans="1:14" x14ac:dyDescent="0.25">
      <c r="A338">
        <v>27165</v>
      </c>
      <c r="B338" t="s">
        <v>26</v>
      </c>
      <c r="C338" t="s">
        <v>21</v>
      </c>
      <c r="D338" s="1">
        <v>20000</v>
      </c>
      <c r="E338">
        <v>0</v>
      </c>
      <c r="F338" t="s">
        <v>33</v>
      </c>
      <c r="G338" t="s">
        <v>29</v>
      </c>
      <c r="H338" t="s">
        <v>20</v>
      </c>
      <c r="I338">
        <v>2</v>
      </c>
      <c r="J338" t="s">
        <v>18</v>
      </c>
      <c r="K338" t="s">
        <v>19</v>
      </c>
      <c r="L338" t="str" cm="1">
        <f t="array" ref="L338">_xlfn.IFS(bike_buyers[[#This Row],[Age]]&gt;= 70, "senior citizen", bike_buyers[[#This Row],[Age]]&gt;=55, "middle age",  bike_buyers[[#This Row],[Age]]&gt;=40,"mature adult ", bike_buyers[[#This Row],[Age]]&gt;=30, "adults", bike_buyers[[#This Row],[Age]]&gt;= 20, "young adults")</f>
        <v>adults</v>
      </c>
      <c r="M338">
        <v>34</v>
      </c>
      <c r="N338" t="s">
        <v>20</v>
      </c>
    </row>
    <row r="339" spans="1:14" x14ac:dyDescent="0.25">
      <c r="A339">
        <v>29424</v>
      </c>
      <c r="B339" t="s">
        <v>13</v>
      </c>
      <c r="C339" t="s">
        <v>21</v>
      </c>
      <c r="D339" s="1">
        <v>10000</v>
      </c>
      <c r="E339">
        <v>0</v>
      </c>
      <c r="F339" t="s">
        <v>33</v>
      </c>
      <c r="G339" t="s">
        <v>29</v>
      </c>
      <c r="H339" t="s">
        <v>17</v>
      </c>
      <c r="I339">
        <v>2</v>
      </c>
      <c r="J339" t="s">
        <v>18</v>
      </c>
      <c r="K339" t="s">
        <v>19</v>
      </c>
      <c r="L339" t="str" cm="1">
        <f t="array" ref="L339">_xlfn.IFS(bike_buyers[[#This Row],[Age]]&gt;= 70, "senior citizen", bike_buyers[[#This Row],[Age]]&gt;=55, "middle age",  bike_buyers[[#This Row],[Age]]&gt;=40,"mature adult ", bike_buyers[[#This Row],[Age]]&gt;=30, "adults", bike_buyers[[#This Row],[Age]]&gt;= 20, "young adults")</f>
        <v>adults</v>
      </c>
      <c r="M339">
        <v>32</v>
      </c>
      <c r="N339" t="s">
        <v>20</v>
      </c>
    </row>
    <row r="340" spans="1:14" x14ac:dyDescent="0.25">
      <c r="A340">
        <v>15926</v>
      </c>
      <c r="B340" t="s">
        <v>26</v>
      </c>
      <c r="C340" t="s">
        <v>14</v>
      </c>
      <c r="D340" s="1">
        <v>120000</v>
      </c>
      <c r="E340">
        <v>3</v>
      </c>
      <c r="F340" t="s">
        <v>31</v>
      </c>
      <c r="G340" t="s">
        <v>24</v>
      </c>
      <c r="H340" t="s">
        <v>17</v>
      </c>
      <c r="I340">
        <v>4</v>
      </c>
      <c r="J340" t="s">
        <v>27</v>
      </c>
      <c r="K340" t="s">
        <v>19</v>
      </c>
      <c r="L340" t="str" cm="1">
        <f t="array" ref="L340">_xlfn.IFS(bike_buyers[[#This Row],[Age]]&gt;= 70, "senior citizen", bike_buyers[[#This Row],[Age]]&gt;=55, "middle age",  bike_buyers[[#This Row],[Age]]&gt;=40,"mature adult ", bike_buyers[[#This Row],[Age]]&gt;=30, "adults", bike_buyers[[#This Row],[Age]]&gt;= 20, "young adults")</f>
        <v xml:space="preserve">mature adult </v>
      </c>
      <c r="M340">
        <v>50</v>
      </c>
      <c r="N340" t="s">
        <v>17</v>
      </c>
    </row>
    <row r="341" spans="1:14" x14ac:dyDescent="0.25">
      <c r="A341">
        <v>14554</v>
      </c>
      <c r="B341" t="s">
        <v>13</v>
      </c>
      <c r="C341" t="s">
        <v>21</v>
      </c>
      <c r="D341" s="1">
        <v>20000</v>
      </c>
      <c r="E341">
        <v>1</v>
      </c>
      <c r="F341" t="s">
        <v>15</v>
      </c>
      <c r="G341" t="s">
        <v>23</v>
      </c>
      <c r="H341" t="s">
        <v>17</v>
      </c>
      <c r="I341">
        <v>0</v>
      </c>
      <c r="J341" t="s">
        <v>18</v>
      </c>
      <c r="K341" t="s">
        <v>19</v>
      </c>
      <c r="L341" t="str" cm="1">
        <f t="array" ref="L341">_xlfn.IFS(bike_buyers[[#This Row],[Age]]&gt;= 70, "senior citizen", bike_buyers[[#This Row],[Age]]&gt;=55, "middle age",  bike_buyers[[#This Row],[Age]]&gt;=40,"mature adult ", bike_buyers[[#This Row],[Age]]&gt;=30, "adults", bike_buyers[[#This Row],[Age]]&gt;= 20, "young adults")</f>
        <v>middle age</v>
      </c>
      <c r="M341">
        <v>66</v>
      </c>
      <c r="N341" t="s">
        <v>20</v>
      </c>
    </row>
    <row r="342" spans="1:14" x14ac:dyDescent="0.25">
      <c r="A342">
        <v>16468</v>
      </c>
      <c r="B342" t="s">
        <v>26</v>
      </c>
      <c r="C342" t="s">
        <v>21</v>
      </c>
      <c r="D342" s="1">
        <v>30000</v>
      </c>
      <c r="E342">
        <v>0</v>
      </c>
      <c r="F342" t="s">
        <v>22</v>
      </c>
      <c r="G342" t="s">
        <v>23</v>
      </c>
      <c r="H342" t="s">
        <v>17</v>
      </c>
      <c r="I342">
        <v>1</v>
      </c>
      <c r="J342" t="s">
        <v>25</v>
      </c>
      <c r="K342" t="s">
        <v>19</v>
      </c>
      <c r="L342" t="str" cm="1">
        <f t="array" ref="L342">_xlfn.IFS(bike_buyers[[#This Row],[Age]]&gt;= 70, "senior citizen", bike_buyers[[#This Row],[Age]]&gt;=55, "middle age",  bike_buyers[[#This Row],[Age]]&gt;=40,"mature adult ", bike_buyers[[#This Row],[Age]]&gt;=30, "adults", bike_buyers[[#This Row],[Age]]&gt;= 20, "young adults")</f>
        <v>adults</v>
      </c>
      <c r="M342">
        <v>30</v>
      </c>
      <c r="N342" t="s">
        <v>20</v>
      </c>
    </row>
    <row r="343" spans="1:14" x14ac:dyDescent="0.25">
      <c r="A343">
        <v>19174</v>
      </c>
      <c r="B343" t="s">
        <v>26</v>
      </c>
      <c r="C343" t="s">
        <v>14</v>
      </c>
      <c r="D343" s="1">
        <v>30000</v>
      </c>
      <c r="E343">
        <v>0</v>
      </c>
      <c r="F343" t="s">
        <v>31</v>
      </c>
      <c r="G343" t="s">
        <v>29</v>
      </c>
      <c r="H343" t="s">
        <v>20</v>
      </c>
      <c r="I343">
        <v>1</v>
      </c>
      <c r="J343" t="s">
        <v>25</v>
      </c>
      <c r="K343" t="s">
        <v>19</v>
      </c>
      <c r="L343" t="str" cm="1">
        <f t="array" ref="L343">_xlfn.IFS(bike_buyers[[#This Row],[Age]]&gt;= 70, "senior citizen", bike_buyers[[#This Row],[Age]]&gt;=55, "middle age",  bike_buyers[[#This Row],[Age]]&gt;=40,"mature adult ", bike_buyers[[#This Row],[Age]]&gt;=30, "adults", bike_buyers[[#This Row],[Age]]&gt;= 20, "young adults")</f>
        <v>adults</v>
      </c>
      <c r="M343">
        <v>32</v>
      </c>
      <c r="N343" t="s">
        <v>17</v>
      </c>
    </row>
    <row r="344" spans="1:14" x14ac:dyDescent="0.25">
      <c r="A344">
        <v>19183</v>
      </c>
      <c r="B344" t="s">
        <v>26</v>
      </c>
      <c r="C344" t="s">
        <v>21</v>
      </c>
      <c r="D344" s="1">
        <v>10000</v>
      </c>
      <c r="E344">
        <v>0</v>
      </c>
      <c r="F344" t="s">
        <v>33</v>
      </c>
      <c r="G344" t="s">
        <v>29</v>
      </c>
      <c r="H344" t="s">
        <v>17</v>
      </c>
      <c r="I344">
        <v>2</v>
      </c>
      <c r="J344" t="s">
        <v>30</v>
      </c>
      <c r="K344" t="s">
        <v>19</v>
      </c>
      <c r="L344" t="str" cm="1">
        <f t="array" ref="L344">_xlfn.IFS(bike_buyers[[#This Row],[Age]]&gt;= 70, "senior citizen", bike_buyers[[#This Row],[Age]]&gt;=55, "middle age",  bike_buyers[[#This Row],[Age]]&gt;=40,"mature adult ", bike_buyers[[#This Row],[Age]]&gt;=30, "adults", bike_buyers[[#This Row],[Age]]&gt;= 20, "young adults")</f>
        <v>adults</v>
      </c>
      <c r="M344">
        <v>35</v>
      </c>
      <c r="N344" t="s">
        <v>20</v>
      </c>
    </row>
    <row r="345" spans="1:14" x14ac:dyDescent="0.25">
      <c r="A345">
        <v>13683</v>
      </c>
      <c r="B345" t="s">
        <v>26</v>
      </c>
      <c r="C345" t="s">
        <v>14</v>
      </c>
      <c r="D345" s="1">
        <v>30000</v>
      </c>
      <c r="E345">
        <v>0</v>
      </c>
      <c r="F345" t="s">
        <v>31</v>
      </c>
      <c r="G345" t="s">
        <v>29</v>
      </c>
      <c r="H345" t="s">
        <v>20</v>
      </c>
      <c r="I345">
        <v>1</v>
      </c>
      <c r="J345" t="s">
        <v>25</v>
      </c>
      <c r="K345" t="s">
        <v>19</v>
      </c>
      <c r="L345" t="str" cm="1">
        <f t="array" ref="L345">_xlfn.IFS(bike_buyers[[#This Row],[Age]]&gt;= 70, "senior citizen", bike_buyers[[#This Row],[Age]]&gt;=55, "middle age",  bike_buyers[[#This Row],[Age]]&gt;=40,"mature adult ", bike_buyers[[#This Row],[Age]]&gt;=30, "adults", bike_buyers[[#This Row],[Age]]&gt;= 20, "young adults")</f>
        <v>adults</v>
      </c>
      <c r="M345">
        <v>32</v>
      </c>
      <c r="N345" t="s">
        <v>20</v>
      </c>
    </row>
    <row r="346" spans="1:14" x14ac:dyDescent="0.25">
      <c r="A346">
        <v>17848</v>
      </c>
      <c r="B346" t="s">
        <v>26</v>
      </c>
      <c r="C346" t="s">
        <v>21</v>
      </c>
      <c r="D346" s="1">
        <v>30000</v>
      </c>
      <c r="E346">
        <v>0</v>
      </c>
      <c r="F346" t="s">
        <v>22</v>
      </c>
      <c r="G346" t="s">
        <v>23</v>
      </c>
      <c r="H346" t="s">
        <v>20</v>
      </c>
      <c r="I346">
        <v>1</v>
      </c>
      <c r="J346" t="s">
        <v>25</v>
      </c>
      <c r="K346" t="s">
        <v>19</v>
      </c>
      <c r="L346" t="str" cm="1">
        <f t="array" ref="L346">_xlfn.IFS(bike_buyers[[#This Row],[Age]]&gt;= 70, "senior citizen", bike_buyers[[#This Row],[Age]]&gt;=55, "middle age",  bike_buyers[[#This Row],[Age]]&gt;=40,"mature adult ", bike_buyers[[#This Row],[Age]]&gt;=30, "adults", bike_buyers[[#This Row],[Age]]&gt;= 20, "young adults")</f>
        <v>adults</v>
      </c>
      <c r="M346">
        <v>31</v>
      </c>
      <c r="N346" t="s">
        <v>17</v>
      </c>
    </row>
    <row r="347" spans="1:14" x14ac:dyDescent="0.25">
      <c r="A347">
        <v>17894</v>
      </c>
      <c r="B347" t="s">
        <v>13</v>
      </c>
      <c r="C347" t="s">
        <v>14</v>
      </c>
      <c r="D347" s="1">
        <v>20000</v>
      </c>
      <c r="E347">
        <v>1</v>
      </c>
      <c r="F347" t="s">
        <v>15</v>
      </c>
      <c r="G347" t="s">
        <v>23</v>
      </c>
      <c r="H347" t="s">
        <v>17</v>
      </c>
      <c r="I347">
        <v>0</v>
      </c>
      <c r="J347" t="s">
        <v>18</v>
      </c>
      <c r="K347" t="s">
        <v>19</v>
      </c>
      <c r="L347" t="str" cm="1">
        <f t="array" ref="L347">_xlfn.IFS(bike_buyers[[#This Row],[Age]]&gt;= 70, "senior citizen", bike_buyers[[#This Row],[Age]]&gt;=55, "middle age",  bike_buyers[[#This Row],[Age]]&gt;=40,"mature adult ", bike_buyers[[#This Row],[Age]]&gt;=30, "adults", bike_buyers[[#This Row],[Age]]&gt;= 20, "young adults")</f>
        <v xml:space="preserve">mature adult </v>
      </c>
      <c r="M347">
        <v>50</v>
      </c>
      <c r="N347" t="s">
        <v>17</v>
      </c>
    </row>
    <row r="348" spans="1:14" x14ac:dyDescent="0.25">
      <c r="A348">
        <v>25651</v>
      </c>
      <c r="B348" t="s">
        <v>13</v>
      </c>
      <c r="C348" t="s">
        <v>21</v>
      </c>
      <c r="D348" s="1">
        <v>40000</v>
      </c>
      <c r="E348">
        <v>1</v>
      </c>
      <c r="F348" t="s">
        <v>15</v>
      </c>
      <c r="G348" t="s">
        <v>16</v>
      </c>
      <c r="H348" t="s">
        <v>20</v>
      </c>
      <c r="I348">
        <v>0</v>
      </c>
      <c r="J348" t="s">
        <v>18</v>
      </c>
      <c r="K348" t="s">
        <v>19</v>
      </c>
      <c r="L348" t="str" cm="1">
        <f t="array" ref="L348">_xlfn.IFS(bike_buyers[[#This Row],[Age]]&gt;= 70, "senior citizen", bike_buyers[[#This Row],[Age]]&gt;=55, "middle age",  bike_buyers[[#This Row],[Age]]&gt;=40,"mature adult ", bike_buyers[[#This Row],[Age]]&gt;=30, "adults", bike_buyers[[#This Row],[Age]]&gt;= 20, "young adults")</f>
        <v xml:space="preserve">mature adult </v>
      </c>
      <c r="M348">
        <v>43</v>
      </c>
      <c r="N348" t="s">
        <v>17</v>
      </c>
    </row>
    <row r="349" spans="1:14" x14ac:dyDescent="0.25">
      <c r="A349">
        <v>22936</v>
      </c>
      <c r="B349" t="s">
        <v>26</v>
      </c>
      <c r="C349" t="s">
        <v>14</v>
      </c>
      <c r="D349" s="1">
        <v>60000</v>
      </c>
      <c r="E349">
        <v>1</v>
      </c>
      <c r="F349" t="s">
        <v>22</v>
      </c>
      <c r="G349" t="s">
        <v>16</v>
      </c>
      <c r="H349" t="s">
        <v>20</v>
      </c>
      <c r="I349">
        <v>1</v>
      </c>
      <c r="J349" t="s">
        <v>18</v>
      </c>
      <c r="K349" t="s">
        <v>28</v>
      </c>
      <c r="L349" t="str" cm="1">
        <f t="array" ref="L349">_xlfn.IFS(bike_buyers[[#This Row],[Age]]&gt;= 70, "senior citizen", bike_buyers[[#This Row],[Age]]&gt;=55, "middle age",  bike_buyers[[#This Row],[Age]]&gt;=40,"mature adult ", bike_buyers[[#This Row],[Age]]&gt;=30, "adults", bike_buyers[[#This Row],[Age]]&gt;= 20, "young adults")</f>
        <v xml:space="preserve">mature adult </v>
      </c>
      <c r="M349">
        <v>45</v>
      </c>
      <c r="N349" t="s">
        <v>17</v>
      </c>
    </row>
    <row r="350" spans="1:14" x14ac:dyDescent="0.25">
      <c r="A350">
        <v>23915</v>
      </c>
      <c r="B350" t="s">
        <v>13</v>
      </c>
      <c r="C350" t="s">
        <v>21</v>
      </c>
      <c r="D350" s="1">
        <v>20000</v>
      </c>
      <c r="E350">
        <v>2</v>
      </c>
      <c r="F350" t="s">
        <v>31</v>
      </c>
      <c r="G350" t="s">
        <v>29</v>
      </c>
      <c r="H350" t="s">
        <v>17</v>
      </c>
      <c r="I350">
        <v>2</v>
      </c>
      <c r="J350" t="s">
        <v>18</v>
      </c>
      <c r="K350" t="s">
        <v>19</v>
      </c>
      <c r="L350" t="str" cm="1">
        <f t="array" ref="L350">_xlfn.IFS(bike_buyers[[#This Row],[Age]]&gt;= 70, "senior citizen", bike_buyers[[#This Row],[Age]]&gt;=55, "middle age",  bike_buyers[[#This Row],[Age]]&gt;=40,"mature adult ", bike_buyers[[#This Row],[Age]]&gt;=30, "adults", bike_buyers[[#This Row],[Age]]&gt;= 20, "young adults")</f>
        <v xml:space="preserve">mature adult </v>
      </c>
      <c r="M350">
        <v>42</v>
      </c>
      <c r="N350" t="s">
        <v>20</v>
      </c>
    </row>
    <row r="351" spans="1:14" x14ac:dyDescent="0.25">
      <c r="A351">
        <v>24121</v>
      </c>
      <c r="B351" t="s">
        <v>26</v>
      </c>
      <c r="C351" t="s">
        <v>14</v>
      </c>
      <c r="D351" s="1">
        <v>30000</v>
      </c>
      <c r="E351">
        <v>0</v>
      </c>
      <c r="F351" t="s">
        <v>22</v>
      </c>
      <c r="G351" t="s">
        <v>23</v>
      </c>
      <c r="H351" t="s">
        <v>20</v>
      </c>
      <c r="I351">
        <v>1</v>
      </c>
      <c r="J351" t="s">
        <v>18</v>
      </c>
      <c r="K351" t="s">
        <v>19</v>
      </c>
      <c r="L351" t="str" cm="1">
        <f t="array" ref="L351">_xlfn.IFS(bike_buyers[[#This Row],[Age]]&gt;= 70, "senior citizen", bike_buyers[[#This Row],[Age]]&gt;=55, "middle age",  bike_buyers[[#This Row],[Age]]&gt;=40,"mature adult ", bike_buyers[[#This Row],[Age]]&gt;=30, "adults", bike_buyers[[#This Row],[Age]]&gt;= 20, "young adults")</f>
        <v>young adults</v>
      </c>
      <c r="M351">
        <v>29</v>
      </c>
      <c r="N351" t="s">
        <v>17</v>
      </c>
    </row>
    <row r="352" spans="1:14" x14ac:dyDescent="0.25">
      <c r="A352">
        <v>27878</v>
      </c>
      <c r="B352" t="s">
        <v>26</v>
      </c>
      <c r="C352" t="s">
        <v>21</v>
      </c>
      <c r="D352" s="1">
        <v>20000</v>
      </c>
      <c r="E352">
        <v>0</v>
      </c>
      <c r="F352" t="s">
        <v>22</v>
      </c>
      <c r="G352" t="s">
        <v>29</v>
      </c>
      <c r="H352" t="s">
        <v>20</v>
      </c>
      <c r="I352">
        <v>0</v>
      </c>
      <c r="J352" t="s">
        <v>18</v>
      </c>
      <c r="K352" t="s">
        <v>28</v>
      </c>
      <c r="L352" t="str" cm="1">
        <f t="array" ref="L352">_xlfn.IFS(bike_buyers[[#This Row],[Age]]&gt;= 70, "senior citizen", bike_buyers[[#This Row],[Age]]&gt;=55, "middle age",  bike_buyers[[#This Row],[Age]]&gt;=40,"mature adult ", bike_buyers[[#This Row],[Age]]&gt;=30, "adults", bike_buyers[[#This Row],[Age]]&gt;= 20, "young adults")</f>
        <v>young adults</v>
      </c>
      <c r="M352">
        <v>28</v>
      </c>
      <c r="N352" t="s">
        <v>17</v>
      </c>
    </row>
    <row r="353" spans="1:14" x14ac:dyDescent="0.25">
      <c r="A353">
        <v>13572</v>
      </c>
      <c r="B353" t="s">
        <v>26</v>
      </c>
      <c r="C353" t="s">
        <v>21</v>
      </c>
      <c r="D353" s="1">
        <v>10000</v>
      </c>
      <c r="E353">
        <v>3</v>
      </c>
      <c r="F353" t="s">
        <v>31</v>
      </c>
      <c r="G353" t="s">
        <v>29</v>
      </c>
      <c r="H353" t="s">
        <v>17</v>
      </c>
      <c r="I353">
        <v>0</v>
      </c>
      <c r="J353" t="s">
        <v>18</v>
      </c>
      <c r="K353" t="s">
        <v>19</v>
      </c>
      <c r="L353" t="str" cm="1">
        <f t="array" ref="L353">_xlfn.IFS(bike_buyers[[#This Row],[Age]]&gt;= 70, "senior citizen", bike_buyers[[#This Row],[Age]]&gt;=55, "middle age",  bike_buyers[[#This Row],[Age]]&gt;=40,"mature adult ", bike_buyers[[#This Row],[Age]]&gt;=30, "adults", bike_buyers[[#This Row],[Age]]&gt;= 20, "young adults")</f>
        <v>adults</v>
      </c>
      <c r="M353">
        <v>37</v>
      </c>
      <c r="N353" t="s">
        <v>17</v>
      </c>
    </row>
    <row r="354" spans="1:14" x14ac:dyDescent="0.25">
      <c r="A354">
        <v>27941</v>
      </c>
      <c r="B354" t="s">
        <v>13</v>
      </c>
      <c r="C354" t="s">
        <v>14</v>
      </c>
      <c r="D354" s="1">
        <v>80000</v>
      </c>
      <c r="E354">
        <v>4</v>
      </c>
      <c r="F354" t="s">
        <v>22</v>
      </c>
      <c r="G354" t="s">
        <v>24</v>
      </c>
      <c r="H354" t="s">
        <v>17</v>
      </c>
      <c r="I354">
        <v>2</v>
      </c>
      <c r="J354" t="s">
        <v>25</v>
      </c>
      <c r="K354" t="s">
        <v>19</v>
      </c>
      <c r="L354" t="str" cm="1">
        <f t="array" ref="L354">_xlfn.IFS(bike_buyers[[#This Row],[Age]]&gt;= 70, "senior citizen", bike_buyers[[#This Row],[Age]]&gt;=55, "middle age",  bike_buyers[[#This Row],[Age]]&gt;=40,"mature adult ", bike_buyers[[#This Row],[Age]]&gt;=30, "adults", bike_buyers[[#This Row],[Age]]&gt;= 20, "young adults")</f>
        <v xml:space="preserve">mature adult </v>
      </c>
      <c r="M354">
        <v>53</v>
      </c>
      <c r="N354" t="s">
        <v>20</v>
      </c>
    </row>
    <row r="355" spans="1:14" x14ac:dyDescent="0.25">
      <c r="A355">
        <v>26354</v>
      </c>
      <c r="B355" t="s">
        <v>26</v>
      </c>
      <c r="C355" t="s">
        <v>21</v>
      </c>
      <c r="D355" s="1">
        <v>40000</v>
      </c>
      <c r="E355">
        <v>0</v>
      </c>
      <c r="F355" t="s">
        <v>34</v>
      </c>
      <c r="G355" t="s">
        <v>23</v>
      </c>
      <c r="H355" t="s">
        <v>20</v>
      </c>
      <c r="I355">
        <v>0</v>
      </c>
      <c r="J355" t="s">
        <v>18</v>
      </c>
      <c r="K355" t="s">
        <v>19</v>
      </c>
      <c r="L355" t="str" cm="1">
        <f t="array" ref="L355">_xlfn.IFS(bike_buyers[[#This Row],[Age]]&gt;= 70, "senior citizen", bike_buyers[[#This Row],[Age]]&gt;=55, "middle age",  bike_buyers[[#This Row],[Age]]&gt;=40,"mature adult ", bike_buyers[[#This Row],[Age]]&gt;=30, "adults", bike_buyers[[#This Row],[Age]]&gt;= 20, "young adults")</f>
        <v>adults</v>
      </c>
      <c r="M355">
        <v>38</v>
      </c>
      <c r="N355" t="s">
        <v>17</v>
      </c>
    </row>
    <row r="356" spans="1:14" x14ac:dyDescent="0.25">
      <c r="A356">
        <v>14785</v>
      </c>
      <c r="B356" t="s">
        <v>26</v>
      </c>
      <c r="C356" t="s">
        <v>21</v>
      </c>
      <c r="D356" s="1">
        <v>30000</v>
      </c>
      <c r="E356">
        <v>1</v>
      </c>
      <c r="F356" t="s">
        <v>15</v>
      </c>
      <c r="G356" t="s">
        <v>23</v>
      </c>
      <c r="H356" t="s">
        <v>20</v>
      </c>
      <c r="I356">
        <v>1</v>
      </c>
      <c r="J356" t="s">
        <v>30</v>
      </c>
      <c r="K356" t="s">
        <v>19</v>
      </c>
      <c r="L356" t="str" cm="1">
        <f t="array" ref="L356">_xlfn.IFS(bike_buyers[[#This Row],[Age]]&gt;= 70, "senior citizen", bike_buyers[[#This Row],[Age]]&gt;=55, "middle age",  bike_buyers[[#This Row],[Age]]&gt;=40,"mature adult ", bike_buyers[[#This Row],[Age]]&gt;=30, "adults", bike_buyers[[#This Row],[Age]]&gt;= 20, "young adults")</f>
        <v>adults</v>
      </c>
      <c r="M356">
        <v>39</v>
      </c>
      <c r="N356" t="s">
        <v>20</v>
      </c>
    </row>
    <row r="357" spans="1:14" x14ac:dyDescent="0.25">
      <c r="A357">
        <v>17238</v>
      </c>
      <c r="B357" t="s">
        <v>26</v>
      </c>
      <c r="C357" t="s">
        <v>21</v>
      </c>
      <c r="D357" s="1">
        <v>80000</v>
      </c>
      <c r="E357">
        <v>0</v>
      </c>
      <c r="F357" t="s">
        <v>15</v>
      </c>
      <c r="G357" t="s">
        <v>24</v>
      </c>
      <c r="H357" t="s">
        <v>17</v>
      </c>
      <c r="I357">
        <v>3</v>
      </c>
      <c r="J357" t="s">
        <v>41</v>
      </c>
      <c r="K357" t="s">
        <v>28</v>
      </c>
      <c r="L357" t="str" cm="1">
        <f t="array" ref="L357">_xlfn.IFS(bike_buyers[[#This Row],[Age]]&gt;= 70, "senior citizen", bike_buyers[[#This Row],[Age]]&gt;=55, "middle age",  bike_buyers[[#This Row],[Age]]&gt;=40,"mature adult ", bike_buyers[[#This Row],[Age]]&gt;=30, "adults", bike_buyers[[#This Row],[Age]]&gt;= 20, "young adults")</f>
        <v>adults</v>
      </c>
      <c r="M357">
        <v>32</v>
      </c>
      <c r="N357" t="s">
        <v>20</v>
      </c>
    </row>
    <row r="358" spans="1:14" x14ac:dyDescent="0.25">
      <c r="A358">
        <v>23608</v>
      </c>
      <c r="B358" t="s">
        <v>13</v>
      </c>
      <c r="C358" t="s">
        <v>14</v>
      </c>
      <c r="D358" s="1">
        <v>150000</v>
      </c>
      <c r="E358">
        <v>3</v>
      </c>
      <c r="F358" t="s">
        <v>31</v>
      </c>
      <c r="G358" t="s">
        <v>24</v>
      </c>
      <c r="H358" t="s">
        <v>17</v>
      </c>
      <c r="I358">
        <v>3</v>
      </c>
      <c r="J358" t="s">
        <v>18</v>
      </c>
      <c r="K358" t="s">
        <v>19</v>
      </c>
      <c r="L358" t="str" cm="1">
        <f t="array" ref="L358">_xlfn.IFS(bike_buyers[[#This Row],[Age]]&gt;= 70, "senior citizen", bike_buyers[[#This Row],[Age]]&gt;=55, "middle age",  bike_buyers[[#This Row],[Age]]&gt;=40,"mature adult ", bike_buyers[[#This Row],[Age]]&gt;=30, "adults", bike_buyers[[#This Row],[Age]]&gt;= 20, "young adults")</f>
        <v xml:space="preserve">mature adult </v>
      </c>
      <c r="M358">
        <v>51</v>
      </c>
      <c r="N358" t="s">
        <v>17</v>
      </c>
    </row>
    <row r="359" spans="1:14" x14ac:dyDescent="0.25">
      <c r="A359">
        <v>22538</v>
      </c>
      <c r="B359" t="s">
        <v>26</v>
      </c>
      <c r="C359" t="s">
        <v>14</v>
      </c>
      <c r="D359" s="1">
        <v>10000</v>
      </c>
      <c r="E359">
        <v>0</v>
      </c>
      <c r="F359" t="s">
        <v>33</v>
      </c>
      <c r="G359" t="s">
        <v>29</v>
      </c>
      <c r="H359" t="s">
        <v>17</v>
      </c>
      <c r="I359">
        <v>2</v>
      </c>
      <c r="J359" t="s">
        <v>30</v>
      </c>
      <c r="K359" t="s">
        <v>19</v>
      </c>
      <c r="L359" t="str" cm="1">
        <f t="array" ref="L359">_xlfn.IFS(bike_buyers[[#This Row],[Age]]&gt;= 70, "senior citizen", bike_buyers[[#This Row],[Age]]&gt;=55, "middle age",  bike_buyers[[#This Row],[Age]]&gt;=40,"mature adult ", bike_buyers[[#This Row],[Age]]&gt;=30, "adults", bike_buyers[[#This Row],[Age]]&gt;= 20, "young adults")</f>
        <v>adults</v>
      </c>
      <c r="M359">
        <v>33</v>
      </c>
      <c r="N359" t="s">
        <v>20</v>
      </c>
    </row>
    <row r="360" spans="1:14" x14ac:dyDescent="0.25">
      <c r="A360">
        <v>12332</v>
      </c>
      <c r="B360" t="s">
        <v>13</v>
      </c>
      <c r="C360" t="s">
        <v>21</v>
      </c>
      <c r="D360" s="1">
        <v>90000</v>
      </c>
      <c r="E360">
        <v>4</v>
      </c>
      <c r="F360" t="s">
        <v>31</v>
      </c>
      <c r="G360" t="s">
        <v>32</v>
      </c>
      <c r="H360" t="s">
        <v>17</v>
      </c>
      <c r="I360">
        <v>3</v>
      </c>
      <c r="J360" t="s">
        <v>27</v>
      </c>
      <c r="K360" t="s">
        <v>19</v>
      </c>
      <c r="L360" t="str" cm="1">
        <f t="array" ref="L360">_xlfn.IFS(bike_buyers[[#This Row],[Age]]&gt;= 70, "senior citizen", bike_buyers[[#This Row],[Age]]&gt;=55, "middle age",  bike_buyers[[#This Row],[Age]]&gt;=40,"mature adult ", bike_buyers[[#This Row],[Age]]&gt;=30, "adults", bike_buyers[[#This Row],[Age]]&gt;= 20, "young adults")</f>
        <v>middle age</v>
      </c>
      <c r="M360">
        <v>58</v>
      </c>
      <c r="N360" t="s">
        <v>17</v>
      </c>
    </row>
    <row r="361" spans="1:14" x14ac:dyDescent="0.25">
      <c r="A361">
        <v>17230</v>
      </c>
      <c r="B361" t="s">
        <v>13</v>
      </c>
      <c r="C361" t="s">
        <v>21</v>
      </c>
      <c r="D361" s="1">
        <v>80000</v>
      </c>
      <c r="E361">
        <v>0</v>
      </c>
      <c r="F361" t="s">
        <v>15</v>
      </c>
      <c r="G361" t="s">
        <v>24</v>
      </c>
      <c r="H361" t="s">
        <v>17</v>
      </c>
      <c r="I361">
        <v>3</v>
      </c>
      <c r="J361" t="s">
        <v>41</v>
      </c>
      <c r="K361" t="s">
        <v>28</v>
      </c>
      <c r="L361" t="str" cm="1">
        <f t="array" ref="L361">_xlfn.IFS(bike_buyers[[#This Row],[Age]]&gt;= 70, "senior citizen", bike_buyers[[#This Row],[Age]]&gt;=55, "middle age",  bike_buyers[[#This Row],[Age]]&gt;=40,"mature adult ", bike_buyers[[#This Row],[Age]]&gt;=30, "adults", bike_buyers[[#This Row],[Age]]&gt;= 20, "young adults")</f>
        <v>adults</v>
      </c>
      <c r="M361">
        <v>30</v>
      </c>
      <c r="N361" t="s">
        <v>20</v>
      </c>
    </row>
    <row r="362" spans="1:14" x14ac:dyDescent="0.25">
      <c r="A362">
        <v>13082</v>
      </c>
      <c r="B362" t="s">
        <v>26</v>
      </c>
      <c r="C362" t="s">
        <v>21</v>
      </c>
      <c r="D362" s="1">
        <v>130000</v>
      </c>
      <c r="E362">
        <v>0</v>
      </c>
      <c r="F362" t="s">
        <v>34</v>
      </c>
      <c r="G362" t="s">
        <v>32</v>
      </c>
      <c r="H362" t="s">
        <v>17</v>
      </c>
      <c r="I362">
        <v>0</v>
      </c>
      <c r="J362" t="s">
        <v>25</v>
      </c>
      <c r="K362" t="s">
        <v>28</v>
      </c>
      <c r="L362" t="str" cm="1">
        <f t="array" ref="L362">_xlfn.IFS(bike_buyers[[#This Row],[Age]]&gt;= 70, "senior citizen", bike_buyers[[#This Row],[Age]]&gt;=55, "middle age",  bike_buyers[[#This Row],[Age]]&gt;=40,"mature adult ", bike_buyers[[#This Row],[Age]]&gt;=30, "adults", bike_buyers[[#This Row],[Age]]&gt;= 20, "young adults")</f>
        <v xml:space="preserve">mature adult </v>
      </c>
      <c r="M362">
        <v>48</v>
      </c>
      <c r="N362" t="s">
        <v>17</v>
      </c>
    </row>
    <row r="363" spans="1:14" x14ac:dyDescent="0.25">
      <c r="A363">
        <v>22518</v>
      </c>
      <c r="B363" t="s">
        <v>26</v>
      </c>
      <c r="C363" t="s">
        <v>14</v>
      </c>
      <c r="D363" s="1">
        <v>30000</v>
      </c>
      <c r="E363">
        <v>3</v>
      </c>
      <c r="F363" t="s">
        <v>22</v>
      </c>
      <c r="G363" t="s">
        <v>23</v>
      </c>
      <c r="H363" t="s">
        <v>20</v>
      </c>
      <c r="I363">
        <v>2</v>
      </c>
      <c r="J363" t="s">
        <v>18</v>
      </c>
      <c r="K363" t="s">
        <v>19</v>
      </c>
      <c r="L363" t="str" cm="1">
        <f t="array" ref="L363">_xlfn.IFS(bike_buyers[[#This Row],[Age]]&gt;= 70, "senior citizen", bike_buyers[[#This Row],[Age]]&gt;=55, "middle age",  bike_buyers[[#This Row],[Age]]&gt;=40,"mature adult ", bike_buyers[[#This Row],[Age]]&gt;=30, "adults", bike_buyers[[#This Row],[Age]]&gt;= 20, "young adults")</f>
        <v>young adults</v>
      </c>
      <c r="M363">
        <v>27</v>
      </c>
      <c r="N363" t="s">
        <v>17</v>
      </c>
    </row>
    <row r="364" spans="1:14" x14ac:dyDescent="0.25">
      <c r="A364">
        <v>13687</v>
      </c>
      <c r="B364" t="s">
        <v>13</v>
      </c>
      <c r="C364" t="s">
        <v>21</v>
      </c>
      <c r="D364" s="1">
        <v>40000</v>
      </c>
      <c r="E364">
        <v>1</v>
      </c>
      <c r="F364" t="s">
        <v>15</v>
      </c>
      <c r="G364" t="s">
        <v>16</v>
      </c>
      <c r="H364" t="s">
        <v>17</v>
      </c>
      <c r="I364">
        <v>1</v>
      </c>
      <c r="J364" t="s">
        <v>18</v>
      </c>
      <c r="K364" t="s">
        <v>19</v>
      </c>
      <c r="L364" t="str" cm="1">
        <f t="array" ref="L364">_xlfn.IFS(bike_buyers[[#This Row],[Age]]&gt;= 70, "senior citizen", bike_buyers[[#This Row],[Age]]&gt;=55, "middle age",  bike_buyers[[#This Row],[Age]]&gt;=40,"mature adult ", bike_buyers[[#This Row],[Age]]&gt;=30, "adults", bike_buyers[[#This Row],[Age]]&gt;= 20, "young adults")</f>
        <v>adults</v>
      </c>
      <c r="M364">
        <v>33</v>
      </c>
      <c r="N364" t="s">
        <v>17</v>
      </c>
    </row>
    <row r="365" spans="1:14" x14ac:dyDescent="0.25">
      <c r="A365">
        <v>23571</v>
      </c>
      <c r="B365" t="s">
        <v>13</v>
      </c>
      <c r="C365" t="s">
        <v>14</v>
      </c>
      <c r="D365" s="1">
        <v>40000</v>
      </c>
      <c r="E365">
        <v>2</v>
      </c>
      <c r="F365" t="s">
        <v>15</v>
      </c>
      <c r="G365" t="s">
        <v>32</v>
      </c>
      <c r="H365" t="s">
        <v>17</v>
      </c>
      <c r="I365">
        <v>2</v>
      </c>
      <c r="J365" t="s">
        <v>18</v>
      </c>
      <c r="K365" t="s">
        <v>28</v>
      </c>
      <c r="L365" t="str" cm="1">
        <f t="array" ref="L365">_xlfn.IFS(bike_buyers[[#This Row],[Age]]&gt;= 70, "senior citizen", bike_buyers[[#This Row],[Age]]&gt;=55, "middle age",  bike_buyers[[#This Row],[Age]]&gt;=40,"mature adult ", bike_buyers[[#This Row],[Age]]&gt;=30, "adults", bike_buyers[[#This Row],[Age]]&gt;= 20, "young adults")</f>
        <v>middle age</v>
      </c>
      <c r="M365">
        <v>66</v>
      </c>
      <c r="N365" t="s">
        <v>17</v>
      </c>
    </row>
    <row r="366" spans="1:14" x14ac:dyDescent="0.25">
      <c r="A366">
        <v>19305</v>
      </c>
      <c r="B366" t="s">
        <v>26</v>
      </c>
      <c r="C366" t="s">
        <v>14</v>
      </c>
      <c r="D366" s="1">
        <v>10000</v>
      </c>
      <c r="E366">
        <v>2</v>
      </c>
      <c r="F366" t="s">
        <v>31</v>
      </c>
      <c r="G366" t="s">
        <v>29</v>
      </c>
      <c r="H366" t="s">
        <v>17</v>
      </c>
      <c r="I366">
        <v>1</v>
      </c>
      <c r="J366" t="s">
        <v>18</v>
      </c>
      <c r="K366" t="s">
        <v>19</v>
      </c>
      <c r="L366" t="str" cm="1">
        <f t="array" ref="L366">_xlfn.IFS(bike_buyers[[#This Row],[Age]]&gt;= 70, "senior citizen", bike_buyers[[#This Row],[Age]]&gt;=55, "middle age",  bike_buyers[[#This Row],[Age]]&gt;=40,"mature adult ", bike_buyers[[#This Row],[Age]]&gt;=30, "adults", bike_buyers[[#This Row],[Age]]&gt;= 20, "young adults")</f>
        <v>adults</v>
      </c>
      <c r="M366">
        <v>38</v>
      </c>
      <c r="N366" t="s">
        <v>17</v>
      </c>
    </row>
    <row r="367" spans="1:14" x14ac:dyDescent="0.25">
      <c r="A367">
        <v>22636</v>
      </c>
      <c r="B367" t="s">
        <v>26</v>
      </c>
      <c r="C367" t="s">
        <v>14</v>
      </c>
      <c r="D367" s="1">
        <v>40000</v>
      </c>
      <c r="E367">
        <v>0</v>
      </c>
      <c r="F367" t="s">
        <v>15</v>
      </c>
      <c r="G367" t="s">
        <v>23</v>
      </c>
      <c r="H367" t="s">
        <v>20</v>
      </c>
      <c r="I367">
        <v>0</v>
      </c>
      <c r="J367" t="s">
        <v>18</v>
      </c>
      <c r="K367" t="s">
        <v>19</v>
      </c>
      <c r="L367" t="str" cm="1">
        <f t="array" ref="L367">_xlfn.IFS(bike_buyers[[#This Row],[Age]]&gt;= 70, "senior citizen", bike_buyers[[#This Row],[Age]]&gt;=55, "middle age",  bike_buyers[[#This Row],[Age]]&gt;=40,"mature adult ", bike_buyers[[#This Row],[Age]]&gt;=30, "adults", bike_buyers[[#This Row],[Age]]&gt;= 20, "young adults")</f>
        <v>adults</v>
      </c>
      <c r="M367">
        <v>38</v>
      </c>
      <c r="N367" t="s">
        <v>17</v>
      </c>
    </row>
    <row r="368" spans="1:14" x14ac:dyDescent="0.25">
      <c r="A368">
        <v>17310</v>
      </c>
      <c r="B368" t="s">
        <v>13</v>
      </c>
      <c r="C368" t="s">
        <v>21</v>
      </c>
      <c r="D368" s="1">
        <v>60000</v>
      </c>
      <c r="E368">
        <v>1</v>
      </c>
      <c r="F368" t="s">
        <v>22</v>
      </c>
      <c r="G368" t="s">
        <v>16</v>
      </c>
      <c r="H368" t="s">
        <v>17</v>
      </c>
      <c r="I368">
        <v>1</v>
      </c>
      <c r="J368" t="s">
        <v>18</v>
      </c>
      <c r="K368" t="s">
        <v>28</v>
      </c>
      <c r="L368" t="str" cm="1">
        <f t="array" ref="L368">_xlfn.IFS(bike_buyers[[#This Row],[Age]]&gt;= 70, "senior citizen", bike_buyers[[#This Row],[Age]]&gt;=55, "middle age",  bike_buyers[[#This Row],[Age]]&gt;=40,"mature adult ", bike_buyers[[#This Row],[Age]]&gt;=30, "adults", bike_buyers[[#This Row],[Age]]&gt;= 20, "young adults")</f>
        <v xml:space="preserve">mature adult </v>
      </c>
      <c r="M368">
        <v>45</v>
      </c>
      <c r="N368" t="s">
        <v>17</v>
      </c>
    </row>
    <row r="369" spans="1:14" x14ac:dyDescent="0.25">
      <c r="A369">
        <v>12133</v>
      </c>
      <c r="B369" t="s">
        <v>13</v>
      </c>
      <c r="C369" t="s">
        <v>14</v>
      </c>
      <c r="D369" s="1">
        <v>130000</v>
      </c>
      <c r="E369">
        <v>3</v>
      </c>
      <c r="F369" t="s">
        <v>22</v>
      </c>
      <c r="G369" t="s">
        <v>24</v>
      </c>
      <c r="H369" t="s">
        <v>17</v>
      </c>
      <c r="I369">
        <v>3</v>
      </c>
      <c r="J369" t="s">
        <v>27</v>
      </c>
      <c r="K369" t="s">
        <v>19</v>
      </c>
      <c r="L369" t="str" cm="1">
        <f t="array" ref="L369">_xlfn.IFS(bike_buyers[[#This Row],[Age]]&gt;= 70, "senior citizen", bike_buyers[[#This Row],[Age]]&gt;=55, "middle age",  bike_buyers[[#This Row],[Age]]&gt;=40,"mature adult ", bike_buyers[[#This Row],[Age]]&gt;=30, "adults", bike_buyers[[#This Row],[Age]]&gt;= 20, "young adults")</f>
        <v xml:space="preserve">mature adult </v>
      </c>
      <c r="M369">
        <v>50</v>
      </c>
      <c r="N369" t="s">
        <v>17</v>
      </c>
    </row>
    <row r="370" spans="1:14" x14ac:dyDescent="0.25">
      <c r="A370">
        <v>25918</v>
      </c>
      <c r="B370" t="s">
        <v>26</v>
      </c>
      <c r="C370" t="s">
        <v>14</v>
      </c>
      <c r="D370" s="1">
        <v>30000</v>
      </c>
      <c r="E370">
        <v>2</v>
      </c>
      <c r="F370" t="s">
        <v>22</v>
      </c>
      <c r="G370" t="s">
        <v>23</v>
      </c>
      <c r="H370" t="s">
        <v>20</v>
      </c>
      <c r="I370">
        <v>2</v>
      </c>
      <c r="J370" t="s">
        <v>27</v>
      </c>
      <c r="K370" t="s">
        <v>28</v>
      </c>
      <c r="L370" t="str" cm="1">
        <f t="array" ref="L370">_xlfn.IFS(bike_buyers[[#This Row],[Age]]&gt;= 70, "senior citizen", bike_buyers[[#This Row],[Age]]&gt;=55, "middle age",  bike_buyers[[#This Row],[Age]]&gt;=40,"mature adult ", bike_buyers[[#This Row],[Age]]&gt;=30, "adults", bike_buyers[[#This Row],[Age]]&gt;= 20, "young adults")</f>
        <v>middle age</v>
      </c>
      <c r="M370">
        <v>60</v>
      </c>
      <c r="N370" t="s">
        <v>17</v>
      </c>
    </row>
    <row r="371" spans="1:14" x14ac:dyDescent="0.25">
      <c r="A371">
        <v>25752</v>
      </c>
      <c r="B371" t="s">
        <v>26</v>
      </c>
      <c r="C371" t="s">
        <v>14</v>
      </c>
      <c r="D371" s="1">
        <v>20000</v>
      </c>
      <c r="E371">
        <v>2</v>
      </c>
      <c r="F371" t="s">
        <v>22</v>
      </c>
      <c r="G371" t="s">
        <v>29</v>
      </c>
      <c r="H371" t="s">
        <v>20</v>
      </c>
      <c r="I371">
        <v>1</v>
      </c>
      <c r="J371" t="s">
        <v>18</v>
      </c>
      <c r="K371" t="s">
        <v>19</v>
      </c>
      <c r="L371" t="str" cm="1">
        <f t="array" ref="L371">_xlfn.IFS(bike_buyers[[#This Row],[Age]]&gt;= 70, "senior citizen", bike_buyers[[#This Row],[Age]]&gt;=55, "middle age",  bike_buyers[[#This Row],[Age]]&gt;=40,"mature adult ", bike_buyers[[#This Row],[Age]]&gt;=30, "adults", bike_buyers[[#This Row],[Age]]&gt;= 20, "young adults")</f>
        <v xml:space="preserve">mature adult </v>
      </c>
      <c r="M371">
        <v>53</v>
      </c>
      <c r="N371" t="s">
        <v>17</v>
      </c>
    </row>
    <row r="372" spans="1:14" x14ac:dyDescent="0.25">
      <c r="A372">
        <v>17324</v>
      </c>
      <c r="B372" t="s">
        <v>13</v>
      </c>
      <c r="C372" t="s">
        <v>14</v>
      </c>
      <c r="D372" s="1">
        <v>100000</v>
      </c>
      <c r="E372">
        <v>4</v>
      </c>
      <c r="F372" t="s">
        <v>15</v>
      </c>
      <c r="G372" t="s">
        <v>24</v>
      </c>
      <c r="H372" t="s">
        <v>17</v>
      </c>
      <c r="I372">
        <v>1</v>
      </c>
      <c r="J372" t="s">
        <v>41</v>
      </c>
      <c r="K372" t="s">
        <v>28</v>
      </c>
      <c r="L372" t="str" cm="1">
        <f t="array" ref="L372">_xlfn.IFS(bike_buyers[[#This Row],[Age]]&gt;= 70, "senior citizen", bike_buyers[[#This Row],[Age]]&gt;=55, "middle age",  bike_buyers[[#This Row],[Age]]&gt;=40,"mature adult ", bike_buyers[[#This Row],[Age]]&gt;=30, "adults", bike_buyers[[#This Row],[Age]]&gt;= 20, "young adults")</f>
        <v xml:space="preserve">mature adult </v>
      </c>
      <c r="M372">
        <v>46</v>
      </c>
      <c r="N372" t="s">
        <v>20</v>
      </c>
    </row>
    <row r="373" spans="1:14" x14ac:dyDescent="0.25">
      <c r="A373">
        <v>22918</v>
      </c>
      <c r="B373" t="s">
        <v>26</v>
      </c>
      <c r="C373" t="s">
        <v>21</v>
      </c>
      <c r="D373" s="1">
        <v>80000</v>
      </c>
      <c r="E373">
        <v>5</v>
      </c>
      <c r="F373" t="s">
        <v>34</v>
      </c>
      <c r="G373" t="s">
        <v>32</v>
      </c>
      <c r="H373" t="s">
        <v>17</v>
      </c>
      <c r="I373">
        <v>3</v>
      </c>
      <c r="J373" t="s">
        <v>18</v>
      </c>
      <c r="K373" t="s">
        <v>28</v>
      </c>
      <c r="L373" t="str" cm="1">
        <f t="array" ref="L373">_xlfn.IFS(bike_buyers[[#This Row],[Age]]&gt;= 70, "senior citizen", bike_buyers[[#This Row],[Age]]&gt;=55, "middle age",  bike_buyers[[#This Row],[Age]]&gt;=40,"mature adult ", bike_buyers[[#This Row],[Age]]&gt;=30, "adults", bike_buyers[[#This Row],[Age]]&gt;= 20, "young adults")</f>
        <v xml:space="preserve">mature adult </v>
      </c>
      <c r="M373">
        <v>50</v>
      </c>
      <c r="N373" t="s">
        <v>20</v>
      </c>
    </row>
    <row r="374" spans="1:14" x14ac:dyDescent="0.25">
      <c r="A374">
        <v>12510</v>
      </c>
      <c r="B374" t="s">
        <v>13</v>
      </c>
      <c r="C374" t="s">
        <v>21</v>
      </c>
      <c r="D374" s="1">
        <v>40000</v>
      </c>
      <c r="E374">
        <v>1</v>
      </c>
      <c r="F374" t="s">
        <v>15</v>
      </c>
      <c r="G374" t="s">
        <v>16</v>
      </c>
      <c r="H374" t="s">
        <v>17</v>
      </c>
      <c r="I374">
        <v>1</v>
      </c>
      <c r="J374" t="s">
        <v>18</v>
      </c>
      <c r="K374" t="s">
        <v>19</v>
      </c>
      <c r="L374" t="str" cm="1">
        <f t="array" ref="L374">_xlfn.IFS(bike_buyers[[#This Row],[Age]]&gt;= 70, "senior citizen", bike_buyers[[#This Row],[Age]]&gt;=55, "middle age",  bike_buyers[[#This Row],[Age]]&gt;=40,"mature adult ", bike_buyers[[#This Row],[Age]]&gt;=30, "adults", bike_buyers[[#This Row],[Age]]&gt;= 20, "young adults")</f>
        <v xml:space="preserve">mature adult </v>
      </c>
      <c r="M374">
        <v>43</v>
      </c>
      <c r="N374" t="s">
        <v>17</v>
      </c>
    </row>
    <row r="375" spans="1:14" x14ac:dyDescent="0.25">
      <c r="A375">
        <v>25512</v>
      </c>
      <c r="B375" t="s">
        <v>26</v>
      </c>
      <c r="C375" t="s">
        <v>21</v>
      </c>
      <c r="D375" s="1">
        <v>20000</v>
      </c>
      <c r="E375">
        <v>0</v>
      </c>
      <c r="F375" t="s">
        <v>31</v>
      </c>
      <c r="G375" t="s">
        <v>29</v>
      </c>
      <c r="H375" t="s">
        <v>20</v>
      </c>
      <c r="I375">
        <v>1</v>
      </c>
      <c r="J375" t="s">
        <v>25</v>
      </c>
      <c r="K375" t="s">
        <v>19</v>
      </c>
      <c r="L375" t="str" cm="1">
        <f t="array" ref="L375">_xlfn.IFS(bike_buyers[[#This Row],[Age]]&gt;= 70, "senior citizen", bike_buyers[[#This Row],[Age]]&gt;=55, "middle age",  bike_buyers[[#This Row],[Age]]&gt;=40,"mature adult ", bike_buyers[[#This Row],[Age]]&gt;=30, "adults", bike_buyers[[#This Row],[Age]]&gt;= 20, "young adults")</f>
        <v>adults</v>
      </c>
      <c r="M375">
        <v>30</v>
      </c>
      <c r="N375" t="s">
        <v>20</v>
      </c>
    </row>
    <row r="376" spans="1:14" x14ac:dyDescent="0.25">
      <c r="A376">
        <v>16179</v>
      </c>
      <c r="B376" t="s">
        <v>26</v>
      </c>
      <c r="C376" t="s">
        <v>14</v>
      </c>
      <c r="D376" s="1">
        <v>80000</v>
      </c>
      <c r="E376">
        <v>5</v>
      </c>
      <c r="F376" t="s">
        <v>15</v>
      </c>
      <c r="G376" t="s">
        <v>24</v>
      </c>
      <c r="H376" t="s">
        <v>17</v>
      </c>
      <c r="I376">
        <v>4</v>
      </c>
      <c r="J376" t="s">
        <v>30</v>
      </c>
      <c r="K376" t="s">
        <v>28</v>
      </c>
      <c r="L376" t="str" cm="1">
        <f t="array" ref="L376">_xlfn.IFS(bike_buyers[[#This Row],[Age]]&gt;= 70, "senior citizen", bike_buyers[[#This Row],[Age]]&gt;=55, "middle age",  bike_buyers[[#This Row],[Age]]&gt;=40,"mature adult ", bike_buyers[[#This Row],[Age]]&gt;=30, "adults", bike_buyers[[#This Row],[Age]]&gt;= 20, "young adults")</f>
        <v>adults</v>
      </c>
      <c r="M376">
        <v>38</v>
      </c>
      <c r="N376" t="s">
        <v>20</v>
      </c>
    </row>
    <row r="377" spans="1:14" x14ac:dyDescent="0.25">
      <c r="A377">
        <v>15628</v>
      </c>
      <c r="B377" t="s">
        <v>13</v>
      </c>
      <c r="C377" t="s">
        <v>14</v>
      </c>
      <c r="D377" s="1">
        <v>40000</v>
      </c>
      <c r="E377">
        <v>1</v>
      </c>
      <c r="F377" t="s">
        <v>15</v>
      </c>
      <c r="G377" t="s">
        <v>16</v>
      </c>
      <c r="H377" t="s">
        <v>17</v>
      </c>
      <c r="I377">
        <v>1</v>
      </c>
      <c r="J377" t="s">
        <v>18</v>
      </c>
      <c r="K377" t="s">
        <v>19</v>
      </c>
      <c r="L377" t="str" cm="1">
        <f t="array" ref="L377">_xlfn.IFS(bike_buyers[[#This Row],[Age]]&gt;= 70, "senior citizen", bike_buyers[[#This Row],[Age]]&gt;=55, "middle age",  bike_buyers[[#This Row],[Age]]&gt;=40,"mature adult ", bike_buyers[[#This Row],[Age]]&gt;=30, "adults", bike_buyers[[#This Row],[Age]]&gt;= 20, "young adults")</f>
        <v>senior citizen</v>
      </c>
      <c r="M377">
        <v>89</v>
      </c>
      <c r="N377" t="s">
        <v>20</v>
      </c>
    </row>
    <row r="378" spans="1:14" x14ac:dyDescent="0.25">
      <c r="A378">
        <v>20977</v>
      </c>
      <c r="B378" t="s">
        <v>13</v>
      </c>
      <c r="C378" t="s">
        <v>21</v>
      </c>
      <c r="D378" s="1">
        <v>20000</v>
      </c>
      <c r="E378">
        <v>1</v>
      </c>
      <c r="F378" t="s">
        <v>15</v>
      </c>
      <c r="G378" t="s">
        <v>23</v>
      </c>
      <c r="H378" t="s">
        <v>17</v>
      </c>
      <c r="I378">
        <v>0</v>
      </c>
      <c r="J378" t="s">
        <v>18</v>
      </c>
      <c r="K378" t="s">
        <v>19</v>
      </c>
      <c r="L378" t="str" cm="1">
        <f t="array" ref="L378">_xlfn.IFS(bike_buyers[[#This Row],[Age]]&gt;= 70, "senior citizen", bike_buyers[[#This Row],[Age]]&gt;=55, "middle age",  bike_buyers[[#This Row],[Age]]&gt;=40,"mature adult ", bike_buyers[[#This Row],[Age]]&gt;=30, "adults", bike_buyers[[#This Row],[Age]]&gt;= 20, "young adults")</f>
        <v>middle age</v>
      </c>
      <c r="M378">
        <v>64</v>
      </c>
      <c r="N378" t="s">
        <v>17</v>
      </c>
    </row>
    <row r="379" spans="1:14" x14ac:dyDescent="0.25">
      <c r="A379">
        <v>18140</v>
      </c>
      <c r="B379" t="s">
        <v>13</v>
      </c>
      <c r="C379" t="s">
        <v>21</v>
      </c>
      <c r="D379" s="1">
        <v>130000</v>
      </c>
      <c r="E379">
        <v>3</v>
      </c>
      <c r="F379" t="s">
        <v>22</v>
      </c>
      <c r="G379" t="s">
        <v>24</v>
      </c>
      <c r="H379" t="s">
        <v>20</v>
      </c>
      <c r="I379">
        <v>3</v>
      </c>
      <c r="J379" t="s">
        <v>27</v>
      </c>
      <c r="K379" t="s">
        <v>19</v>
      </c>
      <c r="L379" t="str" cm="1">
        <f t="array" ref="L379">_xlfn.IFS(bike_buyers[[#This Row],[Age]]&gt;= 70, "senior citizen", bike_buyers[[#This Row],[Age]]&gt;=55, "middle age",  bike_buyers[[#This Row],[Age]]&gt;=40,"mature adult ", bike_buyers[[#This Row],[Age]]&gt;=30, "adults", bike_buyers[[#This Row],[Age]]&gt;= 20, "young adults")</f>
        <v xml:space="preserve">mature adult </v>
      </c>
      <c r="M379">
        <v>51</v>
      </c>
      <c r="N379" t="s">
        <v>17</v>
      </c>
    </row>
    <row r="380" spans="1:14" x14ac:dyDescent="0.25">
      <c r="A380">
        <v>20417</v>
      </c>
      <c r="B380" t="s">
        <v>13</v>
      </c>
      <c r="C380" t="s">
        <v>21</v>
      </c>
      <c r="D380" s="1">
        <v>30000</v>
      </c>
      <c r="E380">
        <v>3</v>
      </c>
      <c r="F380" t="s">
        <v>22</v>
      </c>
      <c r="G380" t="s">
        <v>23</v>
      </c>
      <c r="H380" t="s">
        <v>20</v>
      </c>
      <c r="I380">
        <v>2</v>
      </c>
      <c r="J380" t="s">
        <v>27</v>
      </c>
      <c r="K380" t="s">
        <v>28</v>
      </c>
      <c r="L380" t="str" cm="1">
        <f t="array" ref="L380">_xlfn.IFS(bike_buyers[[#This Row],[Age]]&gt;= 70, "senior citizen", bike_buyers[[#This Row],[Age]]&gt;=55, "middle age",  bike_buyers[[#This Row],[Age]]&gt;=40,"mature adult ", bike_buyers[[#This Row],[Age]]&gt;=30, "adults", bike_buyers[[#This Row],[Age]]&gt;= 20, "young adults")</f>
        <v>middle age</v>
      </c>
      <c r="M380">
        <v>56</v>
      </c>
      <c r="N380" t="s">
        <v>20</v>
      </c>
    </row>
    <row r="381" spans="1:14" x14ac:dyDescent="0.25">
      <c r="A381">
        <v>18267</v>
      </c>
      <c r="B381" t="s">
        <v>13</v>
      </c>
      <c r="C381" t="s">
        <v>21</v>
      </c>
      <c r="D381" s="1">
        <v>60000</v>
      </c>
      <c r="E381">
        <v>3</v>
      </c>
      <c r="F381" t="s">
        <v>15</v>
      </c>
      <c r="G381" t="s">
        <v>24</v>
      </c>
      <c r="H381" t="s">
        <v>17</v>
      </c>
      <c r="I381">
        <v>2</v>
      </c>
      <c r="J381" t="s">
        <v>27</v>
      </c>
      <c r="K381" t="s">
        <v>28</v>
      </c>
      <c r="L381" t="str" cm="1">
        <f t="array" ref="L381">_xlfn.IFS(bike_buyers[[#This Row],[Age]]&gt;= 70, "senior citizen", bike_buyers[[#This Row],[Age]]&gt;=55, "middle age",  bike_buyers[[#This Row],[Age]]&gt;=40,"mature adult ", bike_buyers[[#This Row],[Age]]&gt;=30, "adults", bike_buyers[[#This Row],[Age]]&gt;= 20, "young adults")</f>
        <v xml:space="preserve">mature adult </v>
      </c>
      <c r="M381">
        <v>43</v>
      </c>
      <c r="N381" t="s">
        <v>20</v>
      </c>
    </row>
    <row r="382" spans="1:14" x14ac:dyDescent="0.25">
      <c r="A382">
        <v>13620</v>
      </c>
      <c r="B382" t="s">
        <v>26</v>
      </c>
      <c r="C382" t="s">
        <v>21</v>
      </c>
      <c r="D382" s="1">
        <v>70000</v>
      </c>
      <c r="E382">
        <v>0</v>
      </c>
      <c r="F382" t="s">
        <v>15</v>
      </c>
      <c r="G382" t="s">
        <v>24</v>
      </c>
      <c r="H382" t="s">
        <v>20</v>
      </c>
      <c r="I382">
        <v>3</v>
      </c>
      <c r="J382" t="s">
        <v>41</v>
      </c>
      <c r="K382" t="s">
        <v>28</v>
      </c>
      <c r="L382" t="str" cm="1">
        <f t="array" ref="L382">_xlfn.IFS(bike_buyers[[#This Row],[Age]]&gt;= 70, "senior citizen", bike_buyers[[#This Row],[Age]]&gt;=55, "middle age",  bike_buyers[[#This Row],[Age]]&gt;=40,"mature adult ", bike_buyers[[#This Row],[Age]]&gt;=30, "adults", bike_buyers[[#This Row],[Age]]&gt;= 20, "young adults")</f>
        <v>adults</v>
      </c>
      <c r="M382">
        <v>30</v>
      </c>
      <c r="N382" t="s">
        <v>17</v>
      </c>
    </row>
    <row r="383" spans="1:14" x14ac:dyDescent="0.25">
      <c r="A383">
        <v>22974</v>
      </c>
      <c r="B383" t="s">
        <v>13</v>
      </c>
      <c r="C383" t="s">
        <v>14</v>
      </c>
      <c r="D383" s="1">
        <v>30000</v>
      </c>
      <c r="E383">
        <v>2</v>
      </c>
      <c r="F383" t="s">
        <v>22</v>
      </c>
      <c r="G383" t="s">
        <v>23</v>
      </c>
      <c r="H383" t="s">
        <v>17</v>
      </c>
      <c r="I383">
        <v>2</v>
      </c>
      <c r="J383" t="s">
        <v>27</v>
      </c>
      <c r="K383" t="s">
        <v>28</v>
      </c>
      <c r="L383" t="str" cm="1">
        <f t="array" ref="L383">_xlfn.IFS(bike_buyers[[#This Row],[Age]]&gt;= 70, "senior citizen", bike_buyers[[#This Row],[Age]]&gt;=55, "middle age",  bike_buyers[[#This Row],[Age]]&gt;=40,"mature adult ", bike_buyers[[#This Row],[Age]]&gt;=30, "adults", bike_buyers[[#This Row],[Age]]&gt;= 20, "young adults")</f>
        <v>middle age</v>
      </c>
      <c r="M383">
        <v>69</v>
      </c>
      <c r="N383" t="s">
        <v>20</v>
      </c>
    </row>
    <row r="384" spans="1:14" x14ac:dyDescent="0.25">
      <c r="A384">
        <v>13586</v>
      </c>
      <c r="B384" t="s">
        <v>13</v>
      </c>
      <c r="C384" t="s">
        <v>21</v>
      </c>
      <c r="D384" s="1">
        <v>80000</v>
      </c>
      <c r="E384">
        <v>4</v>
      </c>
      <c r="F384" t="s">
        <v>22</v>
      </c>
      <c r="G384" t="s">
        <v>24</v>
      </c>
      <c r="H384" t="s">
        <v>17</v>
      </c>
      <c r="I384">
        <v>2</v>
      </c>
      <c r="J384" t="s">
        <v>41</v>
      </c>
      <c r="K384" t="s">
        <v>19</v>
      </c>
      <c r="L384" t="str" cm="1">
        <f t="array" ref="L384">_xlfn.IFS(bike_buyers[[#This Row],[Age]]&gt;= 70, "senior citizen", bike_buyers[[#This Row],[Age]]&gt;=55, "middle age",  bike_buyers[[#This Row],[Age]]&gt;=40,"mature adult ", bike_buyers[[#This Row],[Age]]&gt;=30, "adults", bike_buyers[[#This Row],[Age]]&gt;= 20, "young adults")</f>
        <v xml:space="preserve">mature adult </v>
      </c>
      <c r="M384">
        <v>53</v>
      </c>
      <c r="N384" t="s">
        <v>20</v>
      </c>
    </row>
    <row r="385" spans="1:14" x14ac:dyDescent="0.25">
      <c r="A385">
        <v>17978</v>
      </c>
      <c r="B385" t="s">
        <v>13</v>
      </c>
      <c r="C385" t="s">
        <v>21</v>
      </c>
      <c r="D385" s="1">
        <v>40000</v>
      </c>
      <c r="E385">
        <v>0</v>
      </c>
      <c r="F385" t="s">
        <v>34</v>
      </c>
      <c r="G385" t="s">
        <v>23</v>
      </c>
      <c r="H385" t="s">
        <v>17</v>
      </c>
      <c r="I385">
        <v>0</v>
      </c>
      <c r="J385" t="s">
        <v>18</v>
      </c>
      <c r="K385" t="s">
        <v>19</v>
      </c>
      <c r="L385" t="str" cm="1">
        <f t="array" ref="L385">_xlfn.IFS(bike_buyers[[#This Row],[Age]]&gt;= 70, "senior citizen", bike_buyers[[#This Row],[Age]]&gt;=55, "middle age",  bike_buyers[[#This Row],[Age]]&gt;=40,"mature adult ", bike_buyers[[#This Row],[Age]]&gt;=30, "adults", bike_buyers[[#This Row],[Age]]&gt;= 20, "young adults")</f>
        <v>adults</v>
      </c>
      <c r="M385">
        <v>37</v>
      </c>
      <c r="N385" t="s">
        <v>17</v>
      </c>
    </row>
    <row r="386" spans="1:14" x14ac:dyDescent="0.25">
      <c r="A386">
        <v>12581</v>
      </c>
      <c r="B386" t="s">
        <v>26</v>
      </c>
      <c r="C386" t="s">
        <v>14</v>
      </c>
      <c r="D386" s="1">
        <v>10000</v>
      </c>
      <c r="E386">
        <v>0</v>
      </c>
      <c r="F386" t="s">
        <v>22</v>
      </c>
      <c r="G386" t="s">
        <v>29</v>
      </c>
      <c r="H386" t="s">
        <v>20</v>
      </c>
      <c r="I386">
        <v>1</v>
      </c>
      <c r="J386" t="s">
        <v>18</v>
      </c>
      <c r="K386" t="s">
        <v>28</v>
      </c>
      <c r="L386" t="str" cm="1">
        <f t="array" ref="L386">_xlfn.IFS(bike_buyers[[#This Row],[Age]]&gt;= 70, "senior citizen", bike_buyers[[#This Row],[Age]]&gt;=55, "middle age",  bike_buyers[[#This Row],[Age]]&gt;=40,"mature adult ", bike_buyers[[#This Row],[Age]]&gt;=30, "adults", bike_buyers[[#This Row],[Age]]&gt;= 20, "young adults")</f>
        <v>young adults</v>
      </c>
      <c r="M386">
        <v>28</v>
      </c>
      <c r="N386" t="s">
        <v>17</v>
      </c>
    </row>
    <row r="387" spans="1:14" x14ac:dyDescent="0.25">
      <c r="A387">
        <v>18018</v>
      </c>
      <c r="B387" t="s">
        <v>26</v>
      </c>
      <c r="C387" t="s">
        <v>21</v>
      </c>
      <c r="D387" s="1">
        <v>30000</v>
      </c>
      <c r="E387">
        <v>3</v>
      </c>
      <c r="F387" t="s">
        <v>22</v>
      </c>
      <c r="G387" t="s">
        <v>23</v>
      </c>
      <c r="H387" t="s">
        <v>17</v>
      </c>
      <c r="I387">
        <v>0</v>
      </c>
      <c r="J387" t="s">
        <v>18</v>
      </c>
      <c r="K387" t="s">
        <v>19</v>
      </c>
      <c r="L387" t="str" cm="1">
        <f t="array" ref="L387">_xlfn.IFS(bike_buyers[[#This Row],[Age]]&gt;= 70, "senior citizen", bike_buyers[[#This Row],[Age]]&gt;=55, "middle age",  bike_buyers[[#This Row],[Age]]&gt;=40,"mature adult ", bike_buyers[[#This Row],[Age]]&gt;=30, "adults", bike_buyers[[#This Row],[Age]]&gt;= 20, "young adults")</f>
        <v xml:space="preserve">mature adult </v>
      </c>
      <c r="M387">
        <v>43</v>
      </c>
      <c r="N387" t="s">
        <v>20</v>
      </c>
    </row>
    <row r="388" spans="1:14" x14ac:dyDescent="0.25">
      <c r="A388">
        <v>28957</v>
      </c>
      <c r="B388" t="s">
        <v>26</v>
      </c>
      <c r="C388" t="s">
        <v>14</v>
      </c>
      <c r="D388" s="1">
        <v>120000</v>
      </c>
      <c r="E388">
        <v>0</v>
      </c>
      <c r="F388" t="s">
        <v>33</v>
      </c>
      <c r="G388" t="s">
        <v>24</v>
      </c>
      <c r="H388" t="s">
        <v>17</v>
      </c>
      <c r="I388">
        <v>4</v>
      </c>
      <c r="J388" t="s">
        <v>41</v>
      </c>
      <c r="K388" t="s">
        <v>28</v>
      </c>
      <c r="L388" t="str" cm="1">
        <f t="array" ref="L388">_xlfn.IFS(bike_buyers[[#This Row],[Age]]&gt;= 70, "senior citizen", bike_buyers[[#This Row],[Age]]&gt;=55, "middle age",  bike_buyers[[#This Row],[Age]]&gt;=40,"mature adult ", bike_buyers[[#This Row],[Age]]&gt;=30, "adults", bike_buyers[[#This Row],[Age]]&gt;= 20, "young adults")</f>
        <v>adults</v>
      </c>
      <c r="M388">
        <v>34</v>
      </c>
      <c r="N388" t="s">
        <v>17</v>
      </c>
    </row>
    <row r="389" spans="1:14" x14ac:dyDescent="0.25">
      <c r="A389">
        <v>13690</v>
      </c>
      <c r="B389" t="s">
        <v>26</v>
      </c>
      <c r="C389" t="s">
        <v>14</v>
      </c>
      <c r="D389" s="1">
        <v>20000</v>
      </c>
      <c r="E389">
        <v>0</v>
      </c>
      <c r="F389" t="s">
        <v>33</v>
      </c>
      <c r="G389" t="s">
        <v>29</v>
      </c>
      <c r="H389" t="s">
        <v>20</v>
      </c>
      <c r="I389">
        <v>2</v>
      </c>
      <c r="J389" t="s">
        <v>30</v>
      </c>
      <c r="K389" t="s">
        <v>19</v>
      </c>
      <c r="L389" t="str" cm="1">
        <f t="array" ref="L389">_xlfn.IFS(bike_buyers[[#This Row],[Age]]&gt;= 70, "senior citizen", bike_buyers[[#This Row],[Age]]&gt;=55, "middle age",  bike_buyers[[#This Row],[Age]]&gt;=40,"mature adult ", bike_buyers[[#This Row],[Age]]&gt;=30, "adults", bike_buyers[[#This Row],[Age]]&gt;= 20, "young adults")</f>
        <v>adults</v>
      </c>
      <c r="M389">
        <v>34</v>
      </c>
      <c r="N389" t="s">
        <v>17</v>
      </c>
    </row>
    <row r="390" spans="1:14" x14ac:dyDescent="0.25">
      <c r="A390">
        <v>12568</v>
      </c>
      <c r="B390" t="s">
        <v>13</v>
      </c>
      <c r="C390" t="s">
        <v>14</v>
      </c>
      <c r="D390" s="1">
        <v>30000</v>
      </c>
      <c r="E390">
        <v>1</v>
      </c>
      <c r="F390" t="s">
        <v>15</v>
      </c>
      <c r="G390" t="s">
        <v>23</v>
      </c>
      <c r="H390" t="s">
        <v>17</v>
      </c>
      <c r="I390">
        <v>0</v>
      </c>
      <c r="J390" t="s">
        <v>18</v>
      </c>
      <c r="K390" t="s">
        <v>19</v>
      </c>
      <c r="L390" t="str" cm="1">
        <f t="array" ref="L390">_xlfn.IFS(bike_buyers[[#This Row],[Age]]&gt;= 70, "senior citizen", bike_buyers[[#This Row],[Age]]&gt;=55, "middle age",  bike_buyers[[#This Row],[Age]]&gt;=40,"mature adult ", bike_buyers[[#This Row],[Age]]&gt;=30, "adults", bike_buyers[[#This Row],[Age]]&gt;= 20, "young adults")</f>
        <v>middle age</v>
      </c>
      <c r="M390">
        <v>64</v>
      </c>
      <c r="N390" t="s">
        <v>20</v>
      </c>
    </row>
    <row r="391" spans="1:14" x14ac:dyDescent="0.25">
      <c r="A391">
        <v>13122</v>
      </c>
      <c r="B391" t="s">
        <v>13</v>
      </c>
      <c r="C391" t="s">
        <v>14</v>
      </c>
      <c r="D391" s="1">
        <v>80000</v>
      </c>
      <c r="E391">
        <v>0</v>
      </c>
      <c r="F391" t="s">
        <v>15</v>
      </c>
      <c r="G391" t="s">
        <v>24</v>
      </c>
      <c r="H391" t="s">
        <v>17</v>
      </c>
      <c r="I391">
        <v>1</v>
      </c>
      <c r="J391" t="s">
        <v>30</v>
      </c>
      <c r="K391" t="s">
        <v>28</v>
      </c>
      <c r="L391" t="str" cm="1">
        <f t="array" ref="L391">_xlfn.IFS(bike_buyers[[#This Row],[Age]]&gt;= 70, "senior citizen", bike_buyers[[#This Row],[Age]]&gt;=55, "middle age",  bike_buyers[[#This Row],[Age]]&gt;=40,"mature adult ", bike_buyers[[#This Row],[Age]]&gt;=30, "adults", bike_buyers[[#This Row],[Age]]&gt;= 20, "young adults")</f>
        <v xml:space="preserve">mature adult </v>
      </c>
      <c r="M391">
        <v>41</v>
      </c>
      <c r="N391" t="s">
        <v>17</v>
      </c>
    </row>
    <row r="392" spans="1:14" x14ac:dyDescent="0.25">
      <c r="A392">
        <v>21184</v>
      </c>
      <c r="B392" t="s">
        <v>26</v>
      </c>
      <c r="C392" t="s">
        <v>21</v>
      </c>
      <c r="D392" s="1">
        <v>70000</v>
      </c>
      <c r="E392">
        <v>0</v>
      </c>
      <c r="F392" t="s">
        <v>15</v>
      </c>
      <c r="G392" t="s">
        <v>24</v>
      </c>
      <c r="H392" t="s">
        <v>20</v>
      </c>
      <c r="I392">
        <v>1</v>
      </c>
      <c r="J392" t="s">
        <v>27</v>
      </c>
      <c r="K392" t="s">
        <v>28</v>
      </c>
      <c r="L392" t="str" cm="1">
        <f t="array" ref="L392">_xlfn.IFS(bike_buyers[[#This Row],[Age]]&gt;= 70, "senior citizen", bike_buyers[[#This Row],[Age]]&gt;=55, "middle age",  bike_buyers[[#This Row],[Age]]&gt;=40,"mature adult ", bike_buyers[[#This Row],[Age]]&gt;=30, "adults", bike_buyers[[#This Row],[Age]]&gt;= 20, "young adults")</f>
        <v>adults</v>
      </c>
      <c r="M392">
        <v>38</v>
      </c>
      <c r="N392" t="s">
        <v>20</v>
      </c>
    </row>
    <row r="393" spans="1:14" x14ac:dyDescent="0.25">
      <c r="A393">
        <v>26150</v>
      </c>
      <c r="B393" t="s">
        <v>26</v>
      </c>
      <c r="C393" t="s">
        <v>14</v>
      </c>
      <c r="D393" s="1">
        <v>70000</v>
      </c>
      <c r="E393">
        <v>0</v>
      </c>
      <c r="F393" t="s">
        <v>15</v>
      </c>
      <c r="G393" t="s">
        <v>24</v>
      </c>
      <c r="H393" t="s">
        <v>20</v>
      </c>
      <c r="I393">
        <v>1</v>
      </c>
      <c r="J393" t="s">
        <v>18</v>
      </c>
      <c r="K393" t="s">
        <v>28</v>
      </c>
      <c r="L393" t="str" cm="1">
        <f t="array" ref="L393">_xlfn.IFS(bike_buyers[[#This Row],[Age]]&gt;= 70, "senior citizen", bike_buyers[[#This Row],[Age]]&gt;=55, "middle age",  bike_buyers[[#This Row],[Age]]&gt;=40,"mature adult ", bike_buyers[[#This Row],[Age]]&gt;=30, "adults", bike_buyers[[#This Row],[Age]]&gt;= 20, "young adults")</f>
        <v xml:space="preserve">mature adult </v>
      </c>
      <c r="M393">
        <v>41</v>
      </c>
      <c r="N393" t="s">
        <v>17</v>
      </c>
    </row>
    <row r="394" spans="1:14" x14ac:dyDescent="0.25">
      <c r="A394">
        <v>24151</v>
      </c>
      <c r="B394" t="s">
        <v>26</v>
      </c>
      <c r="C394" t="s">
        <v>21</v>
      </c>
      <c r="D394" s="1">
        <v>20000</v>
      </c>
      <c r="E394">
        <v>1</v>
      </c>
      <c r="F394" t="s">
        <v>15</v>
      </c>
      <c r="G394" t="s">
        <v>23</v>
      </c>
      <c r="H394" t="s">
        <v>20</v>
      </c>
      <c r="I394">
        <v>0</v>
      </c>
      <c r="J394" t="s">
        <v>18</v>
      </c>
      <c r="K394" t="s">
        <v>19</v>
      </c>
      <c r="L394" t="str" cm="1">
        <f t="array" ref="L394">_xlfn.IFS(bike_buyers[[#This Row],[Age]]&gt;= 70, "senior citizen", bike_buyers[[#This Row],[Age]]&gt;=55, "middle age",  bike_buyers[[#This Row],[Age]]&gt;=40,"mature adult ", bike_buyers[[#This Row],[Age]]&gt;=30, "adults", bike_buyers[[#This Row],[Age]]&gt;= 20, "young adults")</f>
        <v xml:space="preserve">mature adult </v>
      </c>
      <c r="M394">
        <v>51</v>
      </c>
      <c r="N394" t="s">
        <v>20</v>
      </c>
    </row>
    <row r="395" spans="1:14" x14ac:dyDescent="0.25">
      <c r="A395">
        <v>23962</v>
      </c>
      <c r="B395" t="s">
        <v>13</v>
      </c>
      <c r="C395" t="s">
        <v>14</v>
      </c>
      <c r="D395" s="1">
        <v>10000</v>
      </c>
      <c r="E395">
        <v>0</v>
      </c>
      <c r="F395" t="s">
        <v>33</v>
      </c>
      <c r="G395" t="s">
        <v>29</v>
      </c>
      <c r="H395" t="s">
        <v>17</v>
      </c>
      <c r="I395">
        <v>2</v>
      </c>
      <c r="J395" t="s">
        <v>30</v>
      </c>
      <c r="K395" t="s">
        <v>19</v>
      </c>
      <c r="L395" t="str" cm="1">
        <f t="array" ref="L395">_xlfn.IFS(bike_buyers[[#This Row],[Age]]&gt;= 70, "senior citizen", bike_buyers[[#This Row],[Age]]&gt;=55, "middle age",  bike_buyers[[#This Row],[Age]]&gt;=40,"mature adult ", bike_buyers[[#This Row],[Age]]&gt;=30, "adults", bike_buyers[[#This Row],[Age]]&gt;= 20, "young adults")</f>
        <v>adults</v>
      </c>
      <c r="M395">
        <v>32</v>
      </c>
      <c r="N395" t="s">
        <v>20</v>
      </c>
    </row>
    <row r="396" spans="1:14" x14ac:dyDescent="0.25">
      <c r="A396">
        <v>17793</v>
      </c>
      <c r="B396" t="s">
        <v>13</v>
      </c>
      <c r="C396" t="s">
        <v>14</v>
      </c>
      <c r="D396" s="1">
        <v>40000</v>
      </c>
      <c r="E396">
        <v>0</v>
      </c>
      <c r="F396" t="s">
        <v>15</v>
      </c>
      <c r="G396" t="s">
        <v>23</v>
      </c>
      <c r="H396" t="s">
        <v>17</v>
      </c>
      <c r="I396">
        <v>0</v>
      </c>
      <c r="J396" t="s">
        <v>18</v>
      </c>
      <c r="K396" t="s">
        <v>19</v>
      </c>
      <c r="L396" t="str" cm="1">
        <f t="array" ref="L396">_xlfn.IFS(bike_buyers[[#This Row],[Age]]&gt;= 70, "senior citizen", bike_buyers[[#This Row],[Age]]&gt;=55, "middle age",  bike_buyers[[#This Row],[Age]]&gt;=40,"mature adult ", bike_buyers[[#This Row],[Age]]&gt;=30, "adults", bike_buyers[[#This Row],[Age]]&gt;= 20, "young adults")</f>
        <v>adults</v>
      </c>
      <c r="M396">
        <v>38</v>
      </c>
      <c r="N396" t="s">
        <v>17</v>
      </c>
    </row>
    <row r="397" spans="1:14" x14ac:dyDescent="0.25">
      <c r="A397">
        <v>14926</v>
      </c>
      <c r="B397" t="s">
        <v>13</v>
      </c>
      <c r="C397" t="s">
        <v>21</v>
      </c>
      <c r="D397" s="1">
        <v>30000</v>
      </c>
      <c r="E397">
        <v>1</v>
      </c>
      <c r="F397" t="s">
        <v>15</v>
      </c>
      <c r="G397" t="s">
        <v>23</v>
      </c>
      <c r="H397" t="s">
        <v>17</v>
      </c>
      <c r="I397">
        <v>0</v>
      </c>
      <c r="J397" t="s">
        <v>18</v>
      </c>
      <c r="K397" t="s">
        <v>19</v>
      </c>
      <c r="L397" t="str" cm="1">
        <f t="array" ref="L397">_xlfn.IFS(bike_buyers[[#This Row],[Age]]&gt;= 70, "senior citizen", bike_buyers[[#This Row],[Age]]&gt;=55, "middle age",  bike_buyers[[#This Row],[Age]]&gt;=40,"mature adult ", bike_buyers[[#This Row],[Age]]&gt;=30, "adults", bike_buyers[[#This Row],[Age]]&gt;= 20, "young adults")</f>
        <v>adults</v>
      </c>
      <c r="M397">
        <v>38</v>
      </c>
      <c r="N397" t="s">
        <v>17</v>
      </c>
    </row>
    <row r="398" spans="1:14" x14ac:dyDescent="0.25">
      <c r="A398">
        <v>16163</v>
      </c>
      <c r="B398" t="s">
        <v>26</v>
      </c>
      <c r="C398" t="s">
        <v>21</v>
      </c>
      <c r="D398" s="1">
        <v>60000</v>
      </c>
      <c r="E398">
        <v>2</v>
      </c>
      <c r="F398" t="s">
        <v>15</v>
      </c>
      <c r="G398" t="s">
        <v>24</v>
      </c>
      <c r="H398" t="s">
        <v>17</v>
      </c>
      <c r="I398">
        <v>1</v>
      </c>
      <c r="J398" t="s">
        <v>25</v>
      </c>
      <c r="K398" t="s">
        <v>28</v>
      </c>
      <c r="L398" t="str" cm="1">
        <f t="array" ref="L398">_xlfn.IFS(bike_buyers[[#This Row],[Age]]&gt;= 70, "senior citizen", bike_buyers[[#This Row],[Age]]&gt;=55, "middle age",  bike_buyers[[#This Row],[Age]]&gt;=40,"mature adult ", bike_buyers[[#This Row],[Age]]&gt;=30, "adults", bike_buyers[[#This Row],[Age]]&gt;= 20, "young adults")</f>
        <v>adults</v>
      </c>
      <c r="M398">
        <v>38</v>
      </c>
      <c r="N398" t="s">
        <v>17</v>
      </c>
    </row>
    <row r="399" spans="1:14" x14ac:dyDescent="0.25">
      <c r="A399">
        <v>21365</v>
      </c>
      <c r="B399" t="s">
        <v>13</v>
      </c>
      <c r="C399" t="s">
        <v>14</v>
      </c>
      <c r="D399" s="1">
        <v>10000</v>
      </c>
      <c r="E399">
        <v>2</v>
      </c>
      <c r="F399" t="s">
        <v>33</v>
      </c>
      <c r="G399" t="s">
        <v>23</v>
      </c>
      <c r="H399" t="s">
        <v>17</v>
      </c>
      <c r="I399">
        <v>2</v>
      </c>
      <c r="J399" t="s">
        <v>27</v>
      </c>
      <c r="K399" t="s">
        <v>28</v>
      </c>
      <c r="L399" t="str" cm="1">
        <f t="array" ref="L399">_xlfn.IFS(bike_buyers[[#This Row],[Age]]&gt;= 70, "senior citizen", bike_buyers[[#This Row],[Age]]&gt;=55, "middle age",  bike_buyers[[#This Row],[Age]]&gt;=40,"mature adult ", bike_buyers[[#This Row],[Age]]&gt;=30, "adults", bike_buyers[[#This Row],[Age]]&gt;= 20, "young adults")</f>
        <v>middle age</v>
      </c>
      <c r="M399">
        <v>58</v>
      </c>
      <c r="N399" t="s">
        <v>20</v>
      </c>
    </row>
    <row r="400" spans="1:14" x14ac:dyDescent="0.25">
      <c r="A400">
        <v>27771</v>
      </c>
      <c r="B400" t="s">
        <v>26</v>
      </c>
      <c r="C400" t="s">
        <v>21</v>
      </c>
      <c r="D400" s="1">
        <v>30000</v>
      </c>
      <c r="E400">
        <v>1</v>
      </c>
      <c r="F400" t="s">
        <v>15</v>
      </c>
      <c r="G400" t="s">
        <v>23</v>
      </c>
      <c r="H400" t="s">
        <v>17</v>
      </c>
      <c r="I400">
        <v>1</v>
      </c>
      <c r="J400" t="s">
        <v>30</v>
      </c>
      <c r="K400" t="s">
        <v>19</v>
      </c>
      <c r="L400" t="str" cm="1">
        <f t="array" ref="L400">_xlfn.IFS(bike_buyers[[#This Row],[Age]]&gt;= 70, "senior citizen", bike_buyers[[#This Row],[Age]]&gt;=55, "middle age",  bike_buyers[[#This Row],[Age]]&gt;=40,"mature adult ", bike_buyers[[#This Row],[Age]]&gt;=30, "adults", bike_buyers[[#This Row],[Age]]&gt;= 20, "young adults")</f>
        <v>adults</v>
      </c>
      <c r="M400">
        <v>39</v>
      </c>
      <c r="N400" t="s">
        <v>17</v>
      </c>
    </row>
    <row r="401" spans="1:14" x14ac:dyDescent="0.25">
      <c r="A401">
        <v>26167</v>
      </c>
      <c r="B401" t="s">
        <v>26</v>
      </c>
      <c r="C401" t="s">
        <v>14</v>
      </c>
      <c r="D401" s="1">
        <v>40000</v>
      </c>
      <c r="E401">
        <v>2</v>
      </c>
      <c r="F401" t="s">
        <v>15</v>
      </c>
      <c r="G401" t="s">
        <v>32</v>
      </c>
      <c r="H401" t="s">
        <v>20</v>
      </c>
      <c r="I401">
        <v>1</v>
      </c>
      <c r="J401" t="s">
        <v>27</v>
      </c>
      <c r="K401" t="s">
        <v>28</v>
      </c>
      <c r="L401" t="str" cm="1">
        <f t="array" ref="L401">_xlfn.IFS(bike_buyers[[#This Row],[Age]]&gt;= 70, "senior citizen", bike_buyers[[#This Row],[Age]]&gt;=55, "middle age",  bike_buyers[[#This Row],[Age]]&gt;=40,"mature adult ", bike_buyers[[#This Row],[Age]]&gt;=30, "adults", bike_buyers[[#This Row],[Age]]&gt;= 20, "young adults")</f>
        <v xml:space="preserve">mature adult </v>
      </c>
      <c r="M401">
        <v>53</v>
      </c>
      <c r="N401" t="s">
        <v>17</v>
      </c>
    </row>
    <row r="402" spans="1:14" x14ac:dyDescent="0.25">
      <c r="A402">
        <v>25792</v>
      </c>
      <c r="B402" t="s">
        <v>26</v>
      </c>
      <c r="C402" t="s">
        <v>14</v>
      </c>
      <c r="D402" s="1">
        <v>110000</v>
      </c>
      <c r="E402">
        <v>3</v>
      </c>
      <c r="F402" t="s">
        <v>15</v>
      </c>
      <c r="G402" t="s">
        <v>32</v>
      </c>
      <c r="H402" t="s">
        <v>17</v>
      </c>
      <c r="I402">
        <v>4</v>
      </c>
      <c r="J402" t="s">
        <v>41</v>
      </c>
      <c r="K402" t="s">
        <v>19</v>
      </c>
      <c r="L402" t="str" cm="1">
        <f t="array" ref="L402">_xlfn.IFS(bike_buyers[[#This Row],[Age]]&gt;= 70, "senior citizen", bike_buyers[[#This Row],[Age]]&gt;=55, "middle age",  bike_buyers[[#This Row],[Age]]&gt;=40,"mature adult ", bike_buyers[[#This Row],[Age]]&gt;=30, "adults", bike_buyers[[#This Row],[Age]]&gt;= 20, "young adults")</f>
        <v xml:space="preserve">mature adult </v>
      </c>
      <c r="M402">
        <v>53</v>
      </c>
      <c r="N402" t="s">
        <v>20</v>
      </c>
    </row>
    <row r="403" spans="1:14" x14ac:dyDescent="0.25">
      <c r="A403">
        <v>11555</v>
      </c>
      <c r="B403" t="s">
        <v>13</v>
      </c>
      <c r="C403" t="s">
        <v>14</v>
      </c>
      <c r="D403" s="1">
        <v>40000</v>
      </c>
      <c r="E403">
        <v>1</v>
      </c>
      <c r="F403" t="s">
        <v>15</v>
      </c>
      <c r="G403" t="s">
        <v>23</v>
      </c>
      <c r="H403" t="s">
        <v>17</v>
      </c>
      <c r="I403">
        <v>0</v>
      </c>
      <c r="J403" t="s">
        <v>18</v>
      </c>
      <c r="K403" t="s">
        <v>19</v>
      </c>
      <c r="L403" t="str" cm="1">
        <f t="array" ref="L403">_xlfn.IFS(bike_buyers[[#This Row],[Age]]&gt;= 70, "senior citizen", bike_buyers[[#This Row],[Age]]&gt;=55, "middle age",  bike_buyers[[#This Row],[Age]]&gt;=40,"mature adult ", bike_buyers[[#This Row],[Age]]&gt;=30, "adults", bike_buyers[[#This Row],[Age]]&gt;= 20, "young adults")</f>
        <v>senior citizen</v>
      </c>
      <c r="M403">
        <v>80</v>
      </c>
      <c r="N403" t="s">
        <v>20</v>
      </c>
    </row>
    <row r="404" spans="1:14" x14ac:dyDescent="0.25">
      <c r="A404">
        <v>22381</v>
      </c>
      <c r="B404" t="s">
        <v>13</v>
      </c>
      <c r="C404" t="s">
        <v>21</v>
      </c>
      <c r="D404" s="1">
        <v>10000</v>
      </c>
      <c r="E404">
        <v>1</v>
      </c>
      <c r="F404" t="s">
        <v>34</v>
      </c>
      <c r="G404" t="s">
        <v>29</v>
      </c>
      <c r="H404" t="s">
        <v>17</v>
      </c>
      <c r="I404">
        <v>0</v>
      </c>
      <c r="J404" t="s">
        <v>18</v>
      </c>
      <c r="K404" t="s">
        <v>19</v>
      </c>
      <c r="L404" t="str" cm="1">
        <f t="array" ref="L404">_xlfn.IFS(bike_buyers[[#This Row],[Age]]&gt;= 70, "senior citizen", bike_buyers[[#This Row],[Age]]&gt;=55, "middle age",  bike_buyers[[#This Row],[Age]]&gt;=40,"mature adult ", bike_buyers[[#This Row],[Age]]&gt;=30, "adults", bike_buyers[[#This Row],[Age]]&gt;= 20, "young adults")</f>
        <v xml:space="preserve">mature adult </v>
      </c>
      <c r="M404">
        <v>44</v>
      </c>
      <c r="N404" t="s">
        <v>20</v>
      </c>
    </row>
    <row r="405" spans="1:14" x14ac:dyDescent="0.25">
      <c r="A405">
        <v>17882</v>
      </c>
      <c r="B405" t="s">
        <v>13</v>
      </c>
      <c r="C405" t="s">
        <v>21</v>
      </c>
      <c r="D405" s="1">
        <v>20000</v>
      </c>
      <c r="E405">
        <v>1</v>
      </c>
      <c r="F405" t="s">
        <v>34</v>
      </c>
      <c r="G405" t="s">
        <v>23</v>
      </c>
      <c r="H405" t="s">
        <v>17</v>
      </c>
      <c r="I405">
        <v>0</v>
      </c>
      <c r="J405" t="s">
        <v>18</v>
      </c>
      <c r="K405" t="s">
        <v>19</v>
      </c>
      <c r="L405" t="str" cm="1">
        <f t="array" ref="L405">_xlfn.IFS(bike_buyers[[#This Row],[Age]]&gt;= 70, "senior citizen", bike_buyers[[#This Row],[Age]]&gt;=55, "middle age",  bike_buyers[[#This Row],[Age]]&gt;=40,"mature adult ", bike_buyers[[#This Row],[Age]]&gt;=30, "adults", bike_buyers[[#This Row],[Age]]&gt;= 20, "young adults")</f>
        <v xml:space="preserve">mature adult </v>
      </c>
      <c r="M405">
        <v>44</v>
      </c>
      <c r="N405" t="s">
        <v>20</v>
      </c>
    </row>
    <row r="406" spans="1:14" x14ac:dyDescent="0.25">
      <c r="A406">
        <v>22174</v>
      </c>
      <c r="B406" t="s">
        <v>13</v>
      </c>
      <c r="C406" t="s">
        <v>21</v>
      </c>
      <c r="D406" s="1">
        <v>30000</v>
      </c>
      <c r="E406">
        <v>3</v>
      </c>
      <c r="F406" t="s">
        <v>31</v>
      </c>
      <c r="G406" t="s">
        <v>16</v>
      </c>
      <c r="H406" t="s">
        <v>17</v>
      </c>
      <c r="I406">
        <v>2</v>
      </c>
      <c r="J406" t="s">
        <v>27</v>
      </c>
      <c r="K406" t="s">
        <v>28</v>
      </c>
      <c r="L406" t="str" cm="1">
        <f t="array" ref="L406">_xlfn.IFS(bike_buyers[[#This Row],[Age]]&gt;= 70, "senior citizen", bike_buyers[[#This Row],[Age]]&gt;=55, "middle age",  bike_buyers[[#This Row],[Age]]&gt;=40,"mature adult ", bike_buyers[[#This Row],[Age]]&gt;=30, "adults", bike_buyers[[#This Row],[Age]]&gt;= 20, "young adults")</f>
        <v xml:space="preserve">mature adult </v>
      </c>
      <c r="M406">
        <v>54</v>
      </c>
      <c r="N406" t="s">
        <v>17</v>
      </c>
    </row>
    <row r="407" spans="1:14" x14ac:dyDescent="0.25">
      <c r="A407">
        <v>22439</v>
      </c>
      <c r="B407" t="s">
        <v>13</v>
      </c>
      <c r="C407" t="s">
        <v>14</v>
      </c>
      <c r="D407" s="1">
        <v>30000</v>
      </c>
      <c r="E407">
        <v>0</v>
      </c>
      <c r="F407" t="s">
        <v>15</v>
      </c>
      <c r="G407" t="s">
        <v>23</v>
      </c>
      <c r="H407" t="s">
        <v>17</v>
      </c>
      <c r="I407">
        <v>0</v>
      </c>
      <c r="J407" t="s">
        <v>18</v>
      </c>
      <c r="K407" t="s">
        <v>19</v>
      </c>
      <c r="L407" t="str" cm="1">
        <f t="array" ref="L407">_xlfn.IFS(bike_buyers[[#This Row],[Age]]&gt;= 70, "senior citizen", bike_buyers[[#This Row],[Age]]&gt;=55, "middle age",  bike_buyers[[#This Row],[Age]]&gt;=40,"mature adult ", bike_buyers[[#This Row],[Age]]&gt;=30, "adults", bike_buyers[[#This Row],[Age]]&gt;= 20, "young adults")</f>
        <v>adults</v>
      </c>
      <c r="M407">
        <v>37</v>
      </c>
      <c r="N407" t="s">
        <v>17</v>
      </c>
    </row>
    <row r="408" spans="1:14" x14ac:dyDescent="0.25">
      <c r="A408">
        <v>18012</v>
      </c>
      <c r="B408" t="s">
        <v>13</v>
      </c>
      <c r="C408" t="s">
        <v>14</v>
      </c>
      <c r="D408" s="1">
        <v>40000</v>
      </c>
      <c r="E408">
        <v>1</v>
      </c>
      <c r="F408" t="s">
        <v>15</v>
      </c>
      <c r="G408" t="s">
        <v>16</v>
      </c>
      <c r="H408" t="s">
        <v>17</v>
      </c>
      <c r="I408">
        <v>0</v>
      </c>
      <c r="J408" t="s">
        <v>18</v>
      </c>
      <c r="K408" t="s">
        <v>19</v>
      </c>
      <c r="L408" t="str" cm="1">
        <f t="array" ref="L408">_xlfn.IFS(bike_buyers[[#This Row],[Age]]&gt;= 70, "senior citizen", bike_buyers[[#This Row],[Age]]&gt;=55, "middle age",  bike_buyers[[#This Row],[Age]]&gt;=40,"mature adult ", bike_buyers[[#This Row],[Age]]&gt;=30, "adults", bike_buyers[[#This Row],[Age]]&gt;= 20, "young adults")</f>
        <v xml:space="preserve">mature adult </v>
      </c>
      <c r="M408">
        <v>41</v>
      </c>
      <c r="N408" t="s">
        <v>20</v>
      </c>
    </row>
    <row r="409" spans="1:14" x14ac:dyDescent="0.25">
      <c r="A409">
        <v>27582</v>
      </c>
      <c r="B409" t="s">
        <v>26</v>
      </c>
      <c r="C409" t="s">
        <v>14</v>
      </c>
      <c r="D409" s="1">
        <v>90000</v>
      </c>
      <c r="E409">
        <v>2</v>
      </c>
      <c r="F409" t="s">
        <v>15</v>
      </c>
      <c r="G409" t="s">
        <v>24</v>
      </c>
      <c r="H409" t="s">
        <v>20</v>
      </c>
      <c r="I409">
        <v>0</v>
      </c>
      <c r="J409" t="s">
        <v>18</v>
      </c>
      <c r="K409" t="s">
        <v>28</v>
      </c>
      <c r="L409" t="str" cm="1">
        <f t="array" ref="L409">_xlfn.IFS(bike_buyers[[#This Row],[Age]]&gt;= 70, "senior citizen", bike_buyers[[#This Row],[Age]]&gt;=55, "middle age",  bike_buyers[[#This Row],[Age]]&gt;=40,"mature adult ", bike_buyers[[#This Row],[Age]]&gt;=30, "adults", bike_buyers[[#This Row],[Age]]&gt;= 20, "young adults")</f>
        <v>adults</v>
      </c>
      <c r="M409">
        <v>36</v>
      </c>
      <c r="N409" t="s">
        <v>17</v>
      </c>
    </row>
    <row r="410" spans="1:14" x14ac:dyDescent="0.25">
      <c r="A410">
        <v>12744</v>
      </c>
      <c r="B410" t="s">
        <v>26</v>
      </c>
      <c r="C410" t="s">
        <v>14</v>
      </c>
      <c r="D410" s="1">
        <v>40000</v>
      </c>
      <c r="E410">
        <v>2</v>
      </c>
      <c r="F410" t="s">
        <v>22</v>
      </c>
      <c r="G410" t="s">
        <v>23</v>
      </c>
      <c r="H410" t="s">
        <v>17</v>
      </c>
      <c r="I410">
        <v>0</v>
      </c>
      <c r="J410" t="s">
        <v>18</v>
      </c>
      <c r="K410" t="s">
        <v>19</v>
      </c>
      <c r="L410" t="str" cm="1">
        <f t="array" ref="L410">_xlfn.IFS(bike_buyers[[#This Row],[Age]]&gt;= 70, "senior citizen", bike_buyers[[#This Row],[Age]]&gt;=55, "middle age",  bike_buyers[[#This Row],[Age]]&gt;=40,"mature adult ", bike_buyers[[#This Row],[Age]]&gt;=30, "adults", bike_buyers[[#This Row],[Age]]&gt;= 20, "young adults")</f>
        <v>adults</v>
      </c>
      <c r="M410">
        <v>33</v>
      </c>
      <c r="N410" t="s">
        <v>20</v>
      </c>
    </row>
    <row r="411" spans="1:14" x14ac:dyDescent="0.25">
      <c r="A411">
        <v>22821</v>
      </c>
      <c r="B411" t="s">
        <v>13</v>
      </c>
      <c r="C411" t="s">
        <v>14</v>
      </c>
      <c r="D411" s="1">
        <v>130000</v>
      </c>
      <c r="E411">
        <v>3</v>
      </c>
      <c r="F411" t="s">
        <v>22</v>
      </c>
      <c r="G411" t="s">
        <v>24</v>
      </c>
      <c r="H411" t="s">
        <v>17</v>
      </c>
      <c r="I411">
        <v>4</v>
      </c>
      <c r="J411" t="s">
        <v>18</v>
      </c>
      <c r="K411" t="s">
        <v>19</v>
      </c>
      <c r="L411" t="str" cm="1">
        <f t="array" ref="L411">_xlfn.IFS(bike_buyers[[#This Row],[Age]]&gt;= 70, "senior citizen", bike_buyers[[#This Row],[Age]]&gt;=55, "middle age",  bike_buyers[[#This Row],[Age]]&gt;=40,"mature adult ", bike_buyers[[#This Row],[Age]]&gt;=30, "adults", bike_buyers[[#This Row],[Age]]&gt;= 20, "young adults")</f>
        <v xml:space="preserve">mature adult </v>
      </c>
      <c r="M411">
        <v>52</v>
      </c>
      <c r="N411" t="s">
        <v>20</v>
      </c>
    </row>
    <row r="412" spans="1:14" x14ac:dyDescent="0.25">
      <c r="A412">
        <v>20171</v>
      </c>
      <c r="B412" t="s">
        <v>13</v>
      </c>
      <c r="C412" t="s">
        <v>14</v>
      </c>
      <c r="D412" s="1">
        <v>20000</v>
      </c>
      <c r="E412">
        <v>2</v>
      </c>
      <c r="F412" t="s">
        <v>22</v>
      </c>
      <c r="G412" t="s">
        <v>29</v>
      </c>
      <c r="H412" t="s">
        <v>17</v>
      </c>
      <c r="I412">
        <v>1</v>
      </c>
      <c r="J412" t="s">
        <v>18</v>
      </c>
      <c r="K412" t="s">
        <v>19</v>
      </c>
      <c r="L412" t="str" cm="1">
        <f t="array" ref="L412">_xlfn.IFS(bike_buyers[[#This Row],[Age]]&gt;= 70, "senior citizen", bike_buyers[[#This Row],[Age]]&gt;=55, "middle age",  bike_buyers[[#This Row],[Age]]&gt;=40,"mature adult ", bike_buyers[[#This Row],[Age]]&gt;=30, "adults", bike_buyers[[#This Row],[Age]]&gt;= 20, "young adults")</f>
        <v xml:space="preserve">mature adult </v>
      </c>
      <c r="M412">
        <v>46</v>
      </c>
      <c r="N412" t="s">
        <v>17</v>
      </c>
    </row>
    <row r="413" spans="1:14" x14ac:dyDescent="0.25">
      <c r="A413">
        <v>11116</v>
      </c>
      <c r="B413" t="s">
        <v>13</v>
      </c>
      <c r="C413" t="s">
        <v>21</v>
      </c>
      <c r="D413" s="1">
        <v>70000</v>
      </c>
      <c r="E413">
        <v>5</v>
      </c>
      <c r="F413" t="s">
        <v>22</v>
      </c>
      <c r="G413" t="s">
        <v>16</v>
      </c>
      <c r="H413" t="s">
        <v>17</v>
      </c>
      <c r="I413">
        <v>2</v>
      </c>
      <c r="J413" t="s">
        <v>27</v>
      </c>
      <c r="K413" t="s">
        <v>28</v>
      </c>
      <c r="L413" t="str" cm="1">
        <f t="array" ref="L413">_xlfn.IFS(bike_buyers[[#This Row],[Age]]&gt;= 70, "senior citizen", bike_buyers[[#This Row],[Age]]&gt;=55, "middle age",  bike_buyers[[#This Row],[Age]]&gt;=40,"mature adult ", bike_buyers[[#This Row],[Age]]&gt;=30, "adults", bike_buyers[[#This Row],[Age]]&gt;= 20, "young adults")</f>
        <v xml:space="preserve">mature adult </v>
      </c>
      <c r="M413">
        <v>43</v>
      </c>
      <c r="N413" t="s">
        <v>20</v>
      </c>
    </row>
    <row r="414" spans="1:14" x14ac:dyDescent="0.25">
      <c r="A414">
        <v>20053</v>
      </c>
      <c r="B414" t="s">
        <v>26</v>
      </c>
      <c r="C414" t="s">
        <v>21</v>
      </c>
      <c r="D414" s="1">
        <v>40000</v>
      </c>
      <c r="E414">
        <v>2</v>
      </c>
      <c r="F414" t="s">
        <v>22</v>
      </c>
      <c r="G414" t="s">
        <v>23</v>
      </c>
      <c r="H414" t="s">
        <v>17</v>
      </c>
      <c r="I414">
        <v>0</v>
      </c>
      <c r="J414" t="s">
        <v>18</v>
      </c>
      <c r="K414" t="s">
        <v>19</v>
      </c>
      <c r="L414" t="str" cm="1">
        <f t="array" ref="L414">_xlfn.IFS(bike_buyers[[#This Row],[Age]]&gt;= 70, "senior citizen", bike_buyers[[#This Row],[Age]]&gt;=55, "middle age",  bike_buyers[[#This Row],[Age]]&gt;=40,"mature adult ", bike_buyers[[#This Row],[Age]]&gt;=30, "adults", bike_buyers[[#This Row],[Age]]&gt;= 20, "young adults")</f>
        <v>adults</v>
      </c>
      <c r="M414">
        <v>34</v>
      </c>
      <c r="N414" t="s">
        <v>20</v>
      </c>
    </row>
    <row r="415" spans="1:14" x14ac:dyDescent="0.25">
      <c r="A415">
        <v>25266</v>
      </c>
      <c r="B415" t="s">
        <v>26</v>
      </c>
      <c r="C415" t="s">
        <v>14</v>
      </c>
      <c r="D415" s="1">
        <v>30000</v>
      </c>
      <c r="E415">
        <v>2</v>
      </c>
      <c r="F415" t="s">
        <v>22</v>
      </c>
      <c r="G415" t="s">
        <v>23</v>
      </c>
      <c r="H415" t="s">
        <v>20</v>
      </c>
      <c r="I415">
        <v>2</v>
      </c>
      <c r="J415" t="s">
        <v>27</v>
      </c>
      <c r="K415" t="s">
        <v>28</v>
      </c>
      <c r="L415" t="str" cm="1">
        <f t="array" ref="L415">_xlfn.IFS(bike_buyers[[#This Row],[Age]]&gt;= 70, "senior citizen", bike_buyers[[#This Row],[Age]]&gt;=55, "middle age",  bike_buyers[[#This Row],[Age]]&gt;=40,"mature adult ", bike_buyers[[#This Row],[Age]]&gt;=30, "adults", bike_buyers[[#This Row],[Age]]&gt;= 20, "young adults")</f>
        <v>middle age</v>
      </c>
      <c r="M415">
        <v>67</v>
      </c>
      <c r="N415" t="s">
        <v>20</v>
      </c>
    </row>
    <row r="416" spans="1:14" x14ac:dyDescent="0.25">
      <c r="A416">
        <v>17960</v>
      </c>
      <c r="B416" t="s">
        <v>13</v>
      </c>
      <c r="C416" t="s">
        <v>14</v>
      </c>
      <c r="D416" s="1">
        <v>40000</v>
      </c>
      <c r="E416">
        <v>0</v>
      </c>
      <c r="F416" t="s">
        <v>34</v>
      </c>
      <c r="G416" t="s">
        <v>23</v>
      </c>
      <c r="H416" t="s">
        <v>17</v>
      </c>
      <c r="I416">
        <v>0</v>
      </c>
      <c r="J416" t="s">
        <v>18</v>
      </c>
      <c r="K416" t="s">
        <v>19</v>
      </c>
      <c r="L416" t="str" cm="1">
        <f t="array" ref="L416">_xlfn.IFS(bike_buyers[[#This Row],[Age]]&gt;= 70, "senior citizen", bike_buyers[[#This Row],[Age]]&gt;=55, "middle age",  bike_buyers[[#This Row],[Age]]&gt;=40,"mature adult ", bike_buyers[[#This Row],[Age]]&gt;=30, "adults", bike_buyers[[#This Row],[Age]]&gt;= 20, "young adults")</f>
        <v>adults</v>
      </c>
      <c r="M416">
        <v>35</v>
      </c>
      <c r="N416" t="s">
        <v>17</v>
      </c>
    </row>
    <row r="417" spans="1:14" x14ac:dyDescent="0.25">
      <c r="A417">
        <v>13961</v>
      </c>
      <c r="B417" t="s">
        <v>13</v>
      </c>
      <c r="C417" t="s">
        <v>14</v>
      </c>
      <c r="D417" s="1">
        <v>80000</v>
      </c>
      <c r="E417">
        <v>5</v>
      </c>
      <c r="F417" t="s">
        <v>34</v>
      </c>
      <c r="G417" t="s">
        <v>32</v>
      </c>
      <c r="H417" t="s">
        <v>17</v>
      </c>
      <c r="I417">
        <v>3</v>
      </c>
      <c r="J417" t="s">
        <v>18</v>
      </c>
      <c r="K417" t="s">
        <v>28</v>
      </c>
      <c r="L417" t="str" cm="1">
        <f t="array" ref="L417">_xlfn.IFS(bike_buyers[[#This Row],[Age]]&gt;= 70, "senior citizen", bike_buyers[[#This Row],[Age]]&gt;=55, "middle age",  bike_buyers[[#This Row],[Age]]&gt;=40,"mature adult ", bike_buyers[[#This Row],[Age]]&gt;=30, "adults", bike_buyers[[#This Row],[Age]]&gt;= 20, "young adults")</f>
        <v xml:space="preserve">mature adult </v>
      </c>
      <c r="M417">
        <v>40</v>
      </c>
      <c r="N417" t="s">
        <v>20</v>
      </c>
    </row>
    <row r="418" spans="1:14" x14ac:dyDescent="0.25">
      <c r="A418">
        <v>11897</v>
      </c>
      <c r="B418" t="s">
        <v>26</v>
      </c>
      <c r="C418" t="s">
        <v>21</v>
      </c>
      <c r="D418" s="1">
        <v>60000</v>
      </c>
      <c r="E418">
        <v>2</v>
      </c>
      <c r="F418" t="s">
        <v>15</v>
      </c>
      <c r="G418" t="s">
        <v>24</v>
      </c>
      <c r="H418" t="s">
        <v>20</v>
      </c>
      <c r="I418">
        <v>1</v>
      </c>
      <c r="J418" t="s">
        <v>18</v>
      </c>
      <c r="K418" t="s">
        <v>28</v>
      </c>
      <c r="L418" t="str" cm="1">
        <f t="array" ref="L418">_xlfn.IFS(bike_buyers[[#This Row],[Age]]&gt;= 70, "senior citizen", bike_buyers[[#This Row],[Age]]&gt;=55, "middle age",  bike_buyers[[#This Row],[Age]]&gt;=40,"mature adult ", bike_buyers[[#This Row],[Age]]&gt;=30, "adults", bike_buyers[[#This Row],[Age]]&gt;= 20, "young adults")</f>
        <v>adults</v>
      </c>
      <c r="M418">
        <v>37</v>
      </c>
      <c r="N418" t="s">
        <v>17</v>
      </c>
    </row>
    <row r="419" spans="1:14" x14ac:dyDescent="0.25">
      <c r="A419">
        <v>11139</v>
      </c>
      <c r="B419" t="s">
        <v>26</v>
      </c>
      <c r="C419" t="s">
        <v>14</v>
      </c>
      <c r="D419" s="1">
        <v>30000</v>
      </c>
      <c r="E419">
        <v>2</v>
      </c>
      <c r="F419" t="s">
        <v>22</v>
      </c>
      <c r="G419" t="s">
        <v>23</v>
      </c>
      <c r="H419" t="s">
        <v>20</v>
      </c>
      <c r="I419">
        <v>2</v>
      </c>
      <c r="J419" t="s">
        <v>27</v>
      </c>
      <c r="K419" t="s">
        <v>28</v>
      </c>
      <c r="L419" t="str" cm="1">
        <f t="array" ref="L419">_xlfn.IFS(bike_buyers[[#This Row],[Age]]&gt;= 70, "senior citizen", bike_buyers[[#This Row],[Age]]&gt;=55, "middle age",  bike_buyers[[#This Row],[Age]]&gt;=40,"mature adult ", bike_buyers[[#This Row],[Age]]&gt;=30, "adults", bike_buyers[[#This Row],[Age]]&gt;= 20, "young adults")</f>
        <v>middle age</v>
      </c>
      <c r="M419">
        <v>67</v>
      </c>
      <c r="N419" t="s">
        <v>20</v>
      </c>
    </row>
    <row r="420" spans="1:14" x14ac:dyDescent="0.25">
      <c r="A420">
        <v>11576</v>
      </c>
      <c r="B420" t="s">
        <v>13</v>
      </c>
      <c r="C420" t="s">
        <v>21</v>
      </c>
      <c r="D420" s="1">
        <v>30000</v>
      </c>
      <c r="E420">
        <v>1</v>
      </c>
      <c r="F420" t="s">
        <v>15</v>
      </c>
      <c r="G420" t="s">
        <v>16</v>
      </c>
      <c r="H420" t="s">
        <v>17</v>
      </c>
      <c r="I420">
        <v>2</v>
      </c>
      <c r="J420" t="s">
        <v>18</v>
      </c>
      <c r="K420" t="s">
        <v>19</v>
      </c>
      <c r="L420" t="str" cm="1">
        <f t="array" ref="L420">_xlfn.IFS(bike_buyers[[#This Row],[Age]]&gt;= 70, "senior citizen", bike_buyers[[#This Row],[Age]]&gt;=55, "middle age",  bike_buyers[[#This Row],[Age]]&gt;=40,"mature adult ", bike_buyers[[#This Row],[Age]]&gt;=30, "adults", bike_buyers[[#This Row],[Age]]&gt;= 20, "young adults")</f>
        <v xml:space="preserve">mature adult </v>
      </c>
      <c r="M420">
        <v>41</v>
      </c>
      <c r="N420" t="s">
        <v>17</v>
      </c>
    </row>
    <row r="421" spans="1:14" x14ac:dyDescent="0.25">
      <c r="A421">
        <v>19255</v>
      </c>
      <c r="B421" t="s">
        <v>26</v>
      </c>
      <c r="C421" t="s">
        <v>21</v>
      </c>
      <c r="D421" s="1">
        <v>10000</v>
      </c>
      <c r="E421">
        <v>2</v>
      </c>
      <c r="F421" t="s">
        <v>22</v>
      </c>
      <c r="G421" t="s">
        <v>29</v>
      </c>
      <c r="H421" t="s">
        <v>17</v>
      </c>
      <c r="I421">
        <v>1</v>
      </c>
      <c r="J421" t="s">
        <v>18</v>
      </c>
      <c r="K421" t="s">
        <v>19</v>
      </c>
      <c r="L421" t="str" cm="1">
        <f t="array" ref="L421">_xlfn.IFS(bike_buyers[[#This Row],[Age]]&gt;= 70, "senior citizen", bike_buyers[[#This Row],[Age]]&gt;=55, "middle age",  bike_buyers[[#This Row],[Age]]&gt;=40,"mature adult ", bike_buyers[[#This Row],[Age]]&gt;=30, "adults", bike_buyers[[#This Row],[Age]]&gt;= 20, "young adults")</f>
        <v xml:space="preserve">mature adult </v>
      </c>
      <c r="M421">
        <v>51</v>
      </c>
      <c r="N421" t="s">
        <v>17</v>
      </c>
    </row>
    <row r="422" spans="1:14" x14ac:dyDescent="0.25">
      <c r="A422">
        <v>18153</v>
      </c>
      <c r="B422" t="s">
        <v>13</v>
      </c>
      <c r="C422" t="s">
        <v>14</v>
      </c>
      <c r="D422" s="1">
        <v>100000</v>
      </c>
      <c r="E422">
        <v>2</v>
      </c>
      <c r="F422" t="s">
        <v>15</v>
      </c>
      <c r="G422" t="s">
        <v>32</v>
      </c>
      <c r="H422" t="s">
        <v>17</v>
      </c>
      <c r="I422">
        <v>4</v>
      </c>
      <c r="J422" t="s">
        <v>41</v>
      </c>
      <c r="K422" t="s">
        <v>19</v>
      </c>
      <c r="L422" t="str" cm="1">
        <f t="array" ref="L422">_xlfn.IFS(bike_buyers[[#This Row],[Age]]&gt;= 70, "senior citizen", bike_buyers[[#This Row],[Age]]&gt;=55, "middle age",  bike_buyers[[#This Row],[Age]]&gt;=40,"mature adult ", bike_buyers[[#This Row],[Age]]&gt;=30, "adults", bike_buyers[[#This Row],[Age]]&gt;= 20, "young adults")</f>
        <v>middle age</v>
      </c>
      <c r="M422">
        <v>59</v>
      </c>
      <c r="N422" t="s">
        <v>20</v>
      </c>
    </row>
    <row r="423" spans="1:14" x14ac:dyDescent="0.25">
      <c r="A423">
        <v>14547</v>
      </c>
      <c r="B423" t="s">
        <v>13</v>
      </c>
      <c r="C423" t="s">
        <v>21</v>
      </c>
      <c r="D423" s="1">
        <v>10000</v>
      </c>
      <c r="E423">
        <v>2</v>
      </c>
      <c r="F423" t="s">
        <v>22</v>
      </c>
      <c r="G423" t="s">
        <v>29</v>
      </c>
      <c r="H423" t="s">
        <v>17</v>
      </c>
      <c r="I423">
        <v>0</v>
      </c>
      <c r="J423" t="s">
        <v>30</v>
      </c>
      <c r="K423" t="s">
        <v>19</v>
      </c>
      <c r="L423" t="str" cm="1">
        <f t="array" ref="L423">_xlfn.IFS(bike_buyers[[#This Row],[Age]]&gt;= 70, "senior citizen", bike_buyers[[#This Row],[Age]]&gt;=55, "middle age",  bike_buyers[[#This Row],[Age]]&gt;=40,"mature adult ", bike_buyers[[#This Row],[Age]]&gt;=30, "adults", bike_buyers[[#This Row],[Age]]&gt;= 20, "young adults")</f>
        <v xml:space="preserve">mature adult </v>
      </c>
      <c r="M423">
        <v>51</v>
      </c>
      <c r="N423" t="s">
        <v>20</v>
      </c>
    </row>
    <row r="424" spans="1:14" x14ac:dyDescent="0.25">
      <c r="A424">
        <v>24901</v>
      </c>
      <c r="B424" t="s">
        <v>26</v>
      </c>
      <c r="C424" t="s">
        <v>21</v>
      </c>
      <c r="D424" s="1">
        <v>110000</v>
      </c>
      <c r="E424">
        <v>0</v>
      </c>
      <c r="F424" t="s">
        <v>22</v>
      </c>
      <c r="G424" t="s">
        <v>32</v>
      </c>
      <c r="H424" t="s">
        <v>20</v>
      </c>
      <c r="I424">
        <v>3</v>
      </c>
      <c r="J424" t="s">
        <v>41</v>
      </c>
      <c r="K424" t="s">
        <v>28</v>
      </c>
      <c r="L424" t="str" cm="1">
        <f t="array" ref="L424">_xlfn.IFS(bike_buyers[[#This Row],[Age]]&gt;= 70, "senior citizen", bike_buyers[[#This Row],[Age]]&gt;=55, "middle age",  bike_buyers[[#This Row],[Age]]&gt;=40,"mature adult ", bike_buyers[[#This Row],[Age]]&gt;=30, "adults", bike_buyers[[#This Row],[Age]]&gt;= 20, "young adults")</f>
        <v>adults</v>
      </c>
      <c r="M424">
        <v>32</v>
      </c>
      <c r="N424" t="s">
        <v>17</v>
      </c>
    </row>
    <row r="425" spans="1:14" x14ac:dyDescent="0.25">
      <c r="A425">
        <v>27169</v>
      </c>
      <c r="B425" t="s">
        <v>26</v>
      </c>
      <c r="C425" t="s">
        <v>21</v>
      </c>
      <c r="D425" s="1">
        <v>30000</v>
      </c>
      <c r="E425">
        <v>0</v>
      </c>
      <c r="F425" t="s">
        <v>31</v>
      </c>
      <c r="G425" t="s">
        <v>29</v>
      </c>
      <c r="H425" t="s">
        <v>17</v>
      </c>
      <c r="I425">
        <v>1</v>
      </c>
      <c r="J425" t="s">
        <v>25</v>
      </c>
      <c r="K425" t="s">
        <v>19</v>
      </c>
      <c r="L425" t="str" cm="1">
        <f t="array" ref="L425">_xlfn.IFS(bike_buyers[[#This Row],[Age]]&gt;= 70, "senior citizen", bike_buyers[[#This Row],[Age]]&gt;=55, "middle age",  bike_buyers[[#This Row],[Age]]&gt;=40,"mature adult ", bike_buyers[[#This Row],[Age]]&gt;=30, "adults", bike_buyers[[#This Row],[Age]]&gt;= 20, "young adults")</f>
        <v>adults</v>
      </c>
      <c r="M425">
        <v>34</v>
      </c>
      <c r="N425" t="s">
        <v>17</v>
      </c>
    </row>
    <row r="426" spans="1:14" x14ac:dyDescent="0.25">
      <c r="A426">
        <v>14805</v>
      </c>
      <c r="B426" t="s">
        <v>26</v>
      </c>
      <c r="C426" t="s">
        <v>14</v>
      </c>
      <c r="D426" s="1">
        <v>10000</v>
      </c>
      <c r="E426">
        <v>3</v>
      </c>
      <c r="F426" t="s">
        <v>33</v>
      </c>
      <c r="G426" t="s">
        <v>29</v>
      </c>
      <c r="H426" t="s">
        <v>17</v>
      </c>
      <c r="I426">
        <v>2</v>
      </c>
      <c r="J426" t="s">
        <v>18</v>
      </c>
      <c r="K426" t="s">
        <v>19</v>
      </c>
      <c r="L426" t="str" cm="1">
        <f t="array" ref="L426">_xlfn.IFS(bike_buyers[[#This Row],[Age]]&gt;= 70, "senior citizen", bike_buyers[[#This Row],[Age]]&gt;=55, "middle age",  bike_buyers[[#This Row],[Age]]&gt;=40,"mature adult ", bike_buyers[[#This Row],[Age]]&gt;=30, "adults", bike_buyers[[#This Row],[Age]]&gt;= 20, "young adults")</f>
        <v xml:space="preserve">mature adult </v>
      </c>
      <c r="M426">
        <v>43</v>
      </c>
      <c r="N426" t="s">
        <v>20</v>
      </c>
    </row>
    <row r="427" spans="1:14" x14ac:dyDescent="0.25">
      <c r="A427">
        <v>15822</v>
      </c>
      <c r="B427" t="s">
        <v>13</v>
      </c>
      <c r="C427" t="s">
        <v>21</v>
      </c>
      <c r="D427" s="1">
        <v>40000</v>
      </c>
      <c r="E427">
        <v>2</v>
      </c>
      <c r="F427" t="s">
        <v>15</v>
      </c>
      <c r="G427" t="s">
        <v>32</v>
      </c>
      <c r="H427" t="s">
        <v>17</v>
      </c>
      <c r="I427">
        <v>2</v>
      </c>
      <c r="J427" t="s">
        <v>18</v>
      </c>
      <c r="K427" t="s">
        <v>28</v>
      </c>
      <c r="L427" t="str" cm="1">
        <f t="array" ref="L427">_xlfn.IFS(bike_buyers[[#This Row],[Age]]&gt;= 70, "senior citizen", bike_buyers[[#This Row],[Age]]&gt;=55, "middle age",  bike_buyers[[#This Row],[Age]]&gt;=40,"mature adult ", bike_buyers[[#This Row],[Age]]&gt;=30, "adults", bike_buyers[[#This Row],[Age]]&gt;= 20, "young adults")</f>
        <v>middle age</v>
      </c>
      <c r="M427">
        <v>67</v>
      </c>
      <c r="N427" t="s">
        <v>20</v>
      </c>
    </row>
    <row r="428" spans="1:14" x14ac:dyDescent="0.25">
      <c r="A428">
        <v>19389</v>
      </c>
      <c r="B428" t="s">
        <v>26</v>
      </c>
      <c r="C428" t="s">
        <v>21</v>
      </c>
      <c r="D428" s="1">
        <v>30000</v>
      </c>
      <c r="E428">
        <v>0</v>
      </c>
      <c r="F428" t="s">
        <v>22</v>
      </c>
      <c r="G428" t="s">
        <v>23</v>
      </c>
      <c r="H428" t="s">
        <v>20</v>
      </c>
      <c r="I428">
        <v>1</v>
      </c>
      <c r="J428" t="s">
        <v>25</v>
      </c>
      <c r="K428" t="s">
        <v>19</v>
      </c>
      <c r="L428" t="str" cm="1">
        <f t="array" ref="L428">_xlfn.IFS(bike_buyers[[#This Row],[Age]]&gt;= 70, "senior citizen", bike_buyers[[#This Row],[Age]]&gt;=55, "middle age",  bike_buyers[[#This Row],[Age]]&gt;=40,"mature adult ", bike_buyers[[#This Row],[Age]]&gt;=30, "adults", bike_buyers[[#This Row],[Age]]&gt;= 20, "young adults")</f>
        <v>young adults</v>
      </c>
      <c r="M428">
        <v>28</v>
      </c>
      <c r="N428" t="s">
        <v>20</v>
      </c>
    </row>
    <row r="429" spans="1:14" x14ac:dyDescent="0.25">
      <c r="A429">
        <v>17048</v>
      </c>
      <c r="B429" t="s">
        <v>26</v>
      </c>
      <c r="C429" t="s">
        <v>14</v>
      </c>
      <c r="D429" s="1">
        <v>90000</v>
      </c>
      <c r="E429">
        <v>1</v>
      </c>
      <c r="F429" t="s">
        <v>34</v>
      </c>
      <c r="G429" t="s">
        <v>32</v>
      </c>
      <c r="H429" t="s">
        <v>17</v>
      </c>
      <c r="I429">
        <v>0</v>
      </c>
      <c r="J429" t="s">
        <v>18</v>
      </c>
      <c r="K429" t="s">
        <v>28</v>
      </c>
      <c r="L429" t="str" cm="1">
        <f t="array" ref="L429">_xlfn.IFS(bike_buyers[[#This Row],[Age]]&gt;= 70, "senior citizen", bike_buyers[[#This Row],[Age]]&gt;=55, "middle age",  bike_buyers[[#This Row],[Age]]&gt;=40,"mature adult ", bike_buyers[[#This Row],[Age]]&gt;=30, "adults", bike_buyers[[#This Row],[Age]]&gt;= 20, "young adults")</f>
        <v>adults</v>
      </c>
      <c r="M429">
        <v>36</v>
      </c>
      <c r="N429" t="s">
        <v>17</v>
      </c>
    </row>
    <row r="430" spans="1:14" x14ac:dyDescent="0.25">
      <c r="A430">
        <v>22204</v>
      </c>
      <c r="B430" t="s">
        <v>13</v>
      </c>
      <c r="C430" t="s">
        <v>21</v>
      </c>
      <c r="D430" s="1">
        <v>110000</v>
      </c>
      <c r="E430">
        <v>4</v>
      </c>
      <c r="F430" t="s">
        <v>15</v>
      </c>
      <c r="G430" t="s">
        <v>32</v>
      </c>
      <c r="H430" t="s">
        <v>17</v>
      </c>
      <c r="I430">
        <v>3</v>
      </c>
      <c r="J430" t="s">
        <v>25</v>
      </c>
      <c r="K430" t="s">
        <v>28</v>
      </c>
      <c r="L430" t="str" cm="1">
        <f t="array" ref="L430">_xlfn.IFS(bike_buyers[[#This Row],[Age]]&gt;= 70, "senior citizen", bike_buyers[[#This Row],[Age]]&gt;=55, "middle age",  bike_buyers[[#This Row],[Age]]&gt;=40,"mature adult ", bike_buyers[[#This Row],[Age]]&gt;=30, "adults", bike_buyers[[#This Row],[Age]]&gt;= 20, "young adults")</f>
        <v xml:space="preserve">mature adult </v>
      </c>
      <c r="M430">
        <v>48</v>
      </c>
      <c r="N430" t="s">
        <v>20</v>
      </c>
    </row>
    <row r="431" spans="1:14" x14ac:dyDescent="0.25">
      <c r="A431">
        <v>12718</v>
      </c>
      <c r="B431" t="s">
        <v>26</v>
      </c>
      <c r="C431" t="s">
        <v>14</v>
      </c>
      <c r="D431" s="1">
        <v>30000</v>
      </c>
      <c r="E431">
        <v>0</v>
      </c>
      <c r="F431" t="s">
        <v>22</v>
      </c>
      <c r="G431" t="s">
        <v>23</v>
      </c>
      <c r="H431" t="s">
        <v>17</v>
      </c>
      <c r="I431">
        <v>1</v>
      </c>
      <c r="J431" t="s">
        <v>25</v>
      </c>
      <c r="K431" t="s">
        <v>19</v>
      </c>
      <c r="L431" t="str" cm="1">
        <f t="array" ref="L431">_xlfn.IFS(bike_buyers[[#This Row],[Age]]&gt;= 70, "senior citizen", bike_buyers[[#This Row],[Age]]&gt;=55, "middle age",  bike_buyers[[#This Row],[Age]]&gt;=40,"mature adult ", bike_buyers[[#This Row],[Age]]&gt;=30, "adults", bike_buyers[[#This Row],[Age]]&gt;= 20, "young adults")</f>
        <v>adults</v>
      </c>
      <c r="M431">
        <v>31</v>
      </c>
      <c r="N431" t="s">
        <v>20</v>
      </c>
    </row>
    <row r="432" spans="1:14" x14ac:dyDescent="0.25">
      <c r="A432">
        <v>15019</v>
      </c>
      <c r="B432" t="s">
        <v>26</v>
      </c>
      <c r="C432" t="s">
        <v>14</v>
      </c>
      <c r="D432" s="1">
        <v>30000</v>
      </c>
      <c r="E432">
        <v>3</v>
      </c>
      <c r="F432" t="s">
        <v>31</v>
      </c>
      <c r="G432" t="s">
        <v>16</v>
      </c>
      <c r="H432" t="s">
        <v>17</v>
      </c>
      <c r="I432">
        <v>2</v>
      </c>
      <c r="J432" t="s">
        <v>27</v>
      </c>
      <c r="K432" t="s">
        <v>28</v>
      </c>
      <c r="L432" t="str" cm="1">
        <f t="array" ref="L432">_xlfn.IFS(bike_buyers[[#This Row],[Age]]&gt;= 70, "senior citizen", bike_buyers[[#This Row],[Age]]&gt;=55, "middle age",  bike_buyers[[#This Row],[Age]]&gt;=40,"mature adult ", bike_buyers[[#This Row],[Age]]&gt;=30, "adults", bike_buyers[[#This Row],[Age]]&gt;= 20, "young adults")</f>
        <v>middle age</v>
      </c>
      <c r="M432">
        <v>55</v>
      </c>
      <c r="N432" t="s">
        <v>20</v>
      </c>
    </row>
    <row r="433" spans="1:14" x14ac:dyDescent="0.25">
      <c r="A433">
        <v>28488</v>
      </c>
      <c r="B433" t="s">
        <v>26</v>
      </c>
      <c r="C433" t="s">
        <v>21</v>
      </c>
      <c r="D433" s="1">
        <v>20000</v>
      </c>
      <c r="E433">
        <v>0</v>
      </c>
      <c r="F433" t="s">
        <v>22</v>
      </c>
      <c r="G433" t="s">
        <v>29</v>
      </c>
      <c r="H433" t="s">
        <v>17</v>
      </c>
      <c r="I433">
        <v>0</v>
      </c>
      <c r="J433" t="s">
        <v>18</v>
      </c>
      <c r="K433" t="s">
        <v>28</v>
      </c>
      <c r="L433" t="str" cm="1">
        <f t="array" ref="L433">_xlfn.IFS(bike_buyers[[#This Row],[Age]]&gt;= 70, "senior citizen", bike_buyers[[#This Row],[Age]]&gt;=55, "middle age",  bike_buyers[[#This Row],[Age]]&gt;=40,"mature adult ", bike_buyers[[#This Row],[Age]]&gt;=30, "adults", bike_buyers[[#This Row],[Age]]&gt;= 20, "young adults")</f>
        <v>young adults</v>
      </c>
      <c r="M433">
        <v>28</v>
      </c>
      <c r="N433" t="s">
        <v>17</v>
      </c>
    </row>
    <row r="434" spans="1:14" x14ac:dyDescent="0.25">
      <c r="A434">
        <v>21891</v>
      </c>
      <c r="B434" t="s">
        <v>13</v>
      </c>
      <c r="C434" t="s">
        <v>14</v>
      </c>
      <c r="D434" s="1">
        <v>110000</v>
      </c>
      <c r="E434">
        <v>0</v>
      </c>
      <c r="F434" t="s">
        <v>31</v>
      </c>
      <c r="G434" t="s">
        <v>32</v>
      </c>
      <c r="H434" t="s">
        <v>17</v>
      </c>
      <c r="I434">
        <v>3</v>
      </c>
      <c r="J434" t="s">
        <v>41</v>
      </c>
      <c r="K434" t="s">
        <v>28</v>
      </c>
      <c r="L434" t="str" cm="1">
        <f t="array" ref="L434">_xlfn.IFS(bike_buyers[[#This Row],[Age]]&gt;= 70, "senior citizen", bike_buyers[[#This Row],[Age]]&gt;=55, "middle age",  bike_buyers[[#This Row],[Age]]&gt;=40,"mature adult ", bike_buyers[[#This Row],[Age]]&gt;=30, "adults", bike_buyers[[#This Row],[Age]]&gt;= 20, "young adults")</f>
        <v>adults</v>
      </c>
      <c r="M434">
        <v>34</v>
      </c>
      <c r="N434" t="s">
        <v>17</v>
      </c>
    </row>
    <row r="435" spans="1:14" x14ac:dyDescent="0.25">
      <c r="A435">
        <v>27814</v>
      </c>
      <c r="B435" t="s">
        <v>26</v>
      </c>
      <c r="C435" t="s">
        <v>14</v>
      </c>
      <c r="D435" s="1">
        <v>30000</v>
      </c>
      <c r="E435">
        <v>3</v>
      </c>
      <c r="F435" t="s">
        <v>22</v>
      </c>
      <c r="G435" t="s">
        <v>23</v>
      </c>
      <c r="H435" t="s">
        <v>20</v>
      </c>
      <c r="I435">
        <v>1</v>
      </c>
      <c r="J435" t="s">
        <v>18</v>
      </c>
      <c r="K435" t="s">
        <v>19</v>
      </c>
      <c r="L435" t="str" cm="1">
        <f t="array" ref="L435">_xlfn.IFS(bike_buyers[[#This Row],[Age]]&gt;= 70, "senior citizen", bike_buyers[[#This Row],[Age]]&gt;=55, "middle age",  bike_buyers[[#This Row],[Age]]&gt;=40,"mature adult ", bike_buyers[[#This Row],[Age]]&gt;=30, "adults", bike_buyers[[#This Row],[Age]]&gt;= 20, "young adults")</f>
        <v>young adults</v>
      </c>
      <c r="M435">
        <v>26</v>
      </c>
      <c r="N435" t="s">
        <v>20</v>
      </c>
    </row>
    <row r="436" spans="1:14" x14ac:dyDescent="0.25">
      <c r="A436">
        <v>22175</v>
      </c>
      <c r="B436" t="s">
        <v>13</v>
      </c>
      <c r="C436" t="s">
        <v>14</v>
      </c>
      <c r="D436" s="1">
        <v>30000</v>
      </c>
      <c r="E436">
        <v>3</v>
      </c>
      <c r="F436" t="s">
        <v>31</v>
      </c>
      <c r="G436" t="s">
        <v>16</v>
      </c>
      <c r="H436" t="s">
        <v>17</v>
      </c>
      <c r="I436">
        <v>2</v>
      </c>
      <c r="J436" t="s">
        <v>27</v>
      </c>
      <c r="K436" t="s">
        <v>28</v>
      </c>
      <c r="L436" t="str" cm="1">
        <f t="array" ref="L436">_xlfn.IFS(bike_buyers[[#This Row],[Age]]&gt;= 70, "senior citizen", bike_buyers[[#This Row],[Age]]&gt;=55, "middle age",  bike_buyers[[#This Row],[Age]]&gt;=40,"mature adult ", bike_buyers[[#This Row],[Age]]&gt;=30, "adults", bike_buyers[[#This Row],[Age]]&gt;= 20, "young adults")</f>
        <v xml:space="preserve">mature adult </v>
      </c>
      <c r="M436">
        <v>53</v>
      </c>
      <c r="N436" t="s">
        <v>17</v>
      </c>
    </row>
    <row r="437" spans="1:14" x14ac:dyDescent="0.25">
      <c r="A437">
        <v>29447</v>
      </c>
      <c r="B437" t="s">
        <v>26</v>
      </c>
      <c r="C437" t="s">
        <v>14</v>
      </c>
      <c r="D437" s="1">
        <v>10000</v>
      </c>
      <c r="E437">
        <v>2</v>
      </c>
      <c r="F437" t="s">
        <v>15</v>
      </c>
      <c r="G437" t="s">
        <v>23</v>
      </c>
      <c r="H437" t="s">
        <v>20</v>
      </c>
      <c r="I437">
        <v>1</v>
      </c>
      <c r="J437" t="s">
        <v>25</v>
      </c>
      <c r="K437" t="s">
        <v>19</v>
      </c>
      <c r="L437" t="str" cm="1">
        <f t="array" ref="L437">_xlfn.IFS(bike_buyers[[#This Row],[Age]]&gt;= 70, "senior citizen", bike_buyers[[#This Row],[Age]]&gt;=55, "middle age",  bike_buyers[[#This Row],[Age]]&gt;=40,"mature adult ", bike_buyers[[#This Row],[Age]]&gt;=30, "adults", bike_buyers[[#This Row],[Age]]&gt;= 20, "young adults")</f>
        <v>middle age</v>
      </c>
      <c r="M437">
        <v>68</v>
      </c>
      <c r="N437" t="s">
        <v>20</v>
      </c>
    </row>
    <row r="438" spans="1:14" x14ac:dyDescent="0.25">
      <c r="A438">
        <v>19784</v>
      </c>
      <c r="B438" t="s">
        <v>13</v>
      </c>
      <c r="C438" t="s">
        <v>14</v>
      </c>
      <c r="D438" s="1">
        <v>80000</v>
      </c>
      <c r="E438">
        <v>2</v>
      </c>
      <c r="F438" t="s">
        <v>31</v>
      </c>
      <c r="G438" t="s">
        <v>16</v>
      </c>
      <c r="H438" t="s">
        <v>17</v>
      </c>
      <c r="I438">
        <v>2</v>
      </c>
      <c r="J438" t="s">
        <v>27</v>
      </c>
      <c r="K438" t="s">
        <v>28</v>
      </c>
      <c r="L438" t="str" cm="1">
        <f t="array" ref="L438">_xlfn.IFS(bike_buyers[[#This Row],[Age]]&gt;= 70, "senior citizen", bike_buyers[[#This Row],[Age]]&gt;=55, "middle age",  bike_buyers[[#This Row],[Age]]&gt;=40,"mature adult ", bike_buyers[[#This Row],[Age]]&gt;=30, "adults", bike_buyers[[#This Row],[Age]]&gt;= 20, "young adults")</f>
        <v xml:space="preserve">mature adult </v>
      </c>
      <c r="M438">
        <v>50</v>
      </c>
      <c r="N438" t="s">
        <v>17</v>
      </c>
    </row>
    <row r="439" spans="1:14" x14ac:dyDescent="0.25">
      <c r="A439">
        <v>27824</v>
      </c>
      <c r="B439" t="s">
        <v>26</v>
      </c>
      <c r="C439" t="s">
        <v>14</v>
      </c>
      <c r="D439" s="1">
        <v>30000</v>
      </c>
      <c r="E439">
        <v>3</v>
      </c>
      <c r="F439" t="s">
        <v>22</v>
      </c>
      <c r="G439" t="s">
        <v>23</v>
      </c>
      <c r="H439" t="s">
        <v>17</v>
      </c>
      <c r="I439">
        <v>2</v>
      </c>
      <c r="J439" t="s">
        <v>18</v>
      </c>
      <c r="K439" t="s">
        <v>19</v>
      </c>
      <c r="L439" t="str" cm="1">
        <f t="array" ref="L439">_xlfn.IFS(bike_buyers[[#This Row],[Age]]&gt;= 70, "senior citizen", bike_buyers[[#This Row],[Age]]&gt;=55, "middle age",  bike_buyers[[#This Row],[Age]]&gt;=40,"mature adult ", bike_buyers[[#This Row],[Age]]&gt;=30, "adults", bike_buyers[[#This Row],[Age]]&gt;= 20, "young adults")</f>
        <v>young adults</v>
      </c>
      <c r="M439">
        <v>28</v>
      </c>
      <c r="N439" t="s">
        <v>17</v>
      </c>
    </row>
    <row r="440" spans="1:14" x14ac:dyDescent="0.25">
      <c r="A440">
        <v>24093</v>
      </c>
      <c r="B440" t="s">
        <v>26</v>
      </c>
      <c r="C440" t="s">
        <v>14</v>
      </c>
      <c r="D440" s="1">
        <v>80000</v>
      </c>
      <c r="E440">
        <v>0</v>
      </c>
      <c r="F440" t="s">
        <v>34</v>
      </c>
      <c r="G440" t="s">
        <v>16</v>
      </c>
      <c r="H440" t="s">
        <v>20</v>
      </c>
      <c r="I440">
        <v>0</v>
      </c>
      <c r="J440" t="s">
        <v>18</v>
      </c>
      <c r="K440" t="s">
        <v>19</v>
      </c>
      <c r="L440" t="str" cm="1">
        <f t="array" ref="L440">_xlfn.IFS(bike_buyers[[#This Row],[Age]]&gt;= 70, "senior citizen", bike_buyers[[#This Row],[Age]]&gt;=55, "middle age",  bike_buyers[[#This Row],[Age]]&gt;=40,"mature adult ", bike_buyers[[#This Row],[Age]]&gt;=30, "adults", bike_buyers[[#This Row],[Age]]&gt;= 20, "young adults")</f>
        <v xml:space="preserve">mature adult </v>
      </c>
      <c r="M440">
        <v>40</v>
      </c>
      <c r="N440" t="s">
        <v>17</v>
      </c>
    </row>
    <row r="441" spans="1:14" x14ac:dyDescent="0.25">
      <c r="A441">
        <v>19618</v>
      </c>
      <c r="B441" t="s">
        <v>13</v>
      </c>
      <c r="C441" t="s">
        <v>21</v>
      </c>
      <c r="D441" s="1">
        <v>70000</v>
      </c>
      <c r="E441">
        <v>5</v>
      </c>
      <c r="F441" t="s">
        <v>22</v>
      </c>
      <c r="G441" t="s">
        <v>16</v>
      </c>
      <c r="H441" t="s">
        <v>17</v>
      </c>
      <c r="I441">
        <v>2</v>
      </c>
      <c r="J441" t="s">
        <v>18</v>
      </c>
      <c r="K441" t="s">
        <v>28</v>
      </c>
      <c r="L441" t="str" cm="1">
        <f t="array" ref="L441">_xlfn.IFS(bike_buyers[[#This Row],[Age]]&gt;= 70, "senior citizen", bike_buyers[[#This Row],[Age]]&gt;=55, "middle age",  bike_buyers[[#This Row],[Age]]&gt;=40,"mature adult ", bike_buyers[[#This Row],[Age]]&gt;=30, "adults", bike_buyers[[#This Row],[Age]]&gt;= 20, "young adults")</f>
        <v xml:space="preserve">mature adult </v>
      </c>
      <c r="M441">
        <v>44</v>
      </c>
      <c r="N441" t="s">
        <v>20</v>
      </c>
    </row>
    <row r="442" spans="1:14" x14ac:dyDescent="0.25">
      <c r="A442">
        <v>21561</v>
      </c>
      <c r="B442" t="s">
        <v>26</v>
      </c>
      <c r="C442" t="s">
        <v>21</v>
      </c>
      <c r="D442" s="1">
        <v>90000</v>
      </c>
      <c r="E442">
        <v>0</v>
      </c>
      <c r="F442" t="s">
        <v>15</v>
      </c>
      <c r="G442" t="s">
        <v>24</v>
      </c>
      <c r="H442" t="s">
        <v>20</v>
      </c>
      <c r="I442">
        <v>3</v>
      </c>
      <c r="J442" t="s">
        <v>41</v>
      </c>
      <c r="K442" t="s">
        <v>28</v>
      </c>
      <c r="L442" t="str" cm="1">
        <f t="array" ref="L442">_xlfn.IFS(bike_buyers[[#This Row],[Age]]&gt;= 70, "senior citizen", bike_buyers[[#This Row],[Age]]&gt;=55, "middle age",  bike_buyers[[#This Row],[Age]]&gt;=40,"mature adult ", bike_buyers[[#This Row],[Age]]&gt;=30, "adults", bike_buyers[[#This Row],[Age]]&gt;= 20, "young adults")</f>
        <v>adults</v>
      </c>
      <c r="M442">
        <v>34</v>
      </c>
      <c r="N442" t="s">
        <v>17</v>
      </c>
    </row>
    <row r="443" spans="1:14" x14ac:dyDescent="0.25">
      <c r="A443">
        <v>11061</v>
      </c>
      <c r="B443" t="s">
        <v>13</v>
      </c>
      <c r="C443" t="s">
        <v>21</v>
      </c>
      <c r="D443" s="1">
        <v>70000</v>
      </c>
      <c r="E443">
        <v>2</v>
      </c>
      <c r="F443" t="s">
        <v>22</v>
      </c>
      <c r="G443" t="s">
        <v>16</v>
      </c>
      <c r="H443" t="s">
        <v>17</v>
      </c>
      <c r="I443">
        <v>2</v>
      </c>
      <c r="J443" t="s">
        <v>27</v>
      </c>
      <c r="K443" t="s">
        <v>28</v>
      </c>
      <c r="L443" t="str" cm="1">
        <f t="array" ref="L443">_xlfn.IFS(bike_buyers[[#This Row],[Age]]&gt;= 70, "senior citizen", bike_buyers[[#This Row],[Age]]&gt;=55, "middle age",  bike_buyers[[#This Row],[Age]]&gt;=40,"mature adult ", bike_buyers[[#This Row],[Age]]&gt;=30, "adults", bike_buyers[[#This Row],[Age]]&gt;= 20, "young adults")</f>
        <v xml:space="preserve">mature adult </v>
      </c>
      <c r="M443">
        <v>52</v>
      </c>
      <c r="N443" t="s">
        <v>17</v>
      </c>
    </row>
    <row r="444" spans="1:14" x14ac:dyDescent="0.25">
      <c r="A444">
        <v>26651</v>
      </c>
      <c r="B444" t="s">
        <v>26</v>
      </c>
      <c r="C444" t="s">
        <v>21</v>
      </c>
      <c r="D444" s="1">
        <v>80000</v>
      </c>
      <c r="E444">
        <v>4</v>
      </c>
      <c r="F444" t="s">
        <v>34</v>
      </c>
      <c r="G444" t="s">
        <v>32</v>
      </c>
      <c r="H444" t="s">
        <v>17</v>
      </c>
      <c r="I444">
        <v>0</v>
      </c>
      <c r="J444" t="s">
        <v>18</v>
      </c>
      <c r="K444" t="s">
        <v>28</v>
      </c>
      <c r="L444" t="str" cm="1">
        <f t="array" ref="L444">_xlfn.IFS(bike_buyers[[#This Row],[Age]]&gt;= 70, "senior citizen", bike_buyers[[#This Row],[Age]]&gt;=55, "middle age",  bike_buyers[[#This Row],[Age]]&gt;=40,"mature adult ", bike_buyers[[#This Row],[Age]]&gt;=30, "adults", bike_buyers[[#This Row],[Age]]&gt;= 20, "young adults")</f>
        <v>adults</v>
      </c>
      <c r="M444">
        <v>36</v>
      </c>
      <c r="N444" t="s">
        <v>17</v>
      </c>
    </row>
    <row r="445" spans="1:14" x14ac:dyDescent="0.25">
      <c r="A445">
        <v>21108</v>
      </c>
      <c r="B445" t="s">
        <v>13</v>
      </c>
      <c r="C445" t="s">
        <v>14</v>
      </c>
      <c r="D445" s="1">
        <v>40000</v>
      </c>
      <c r="E445">
        <v>1</v>
      </c>
      <c r="F445" t="s">
        <v>15</v>
      </c>
      <c r="G445" t="s">
        <v>16</v>
      </c>
      <c r="H445" t="s">
        <v>17</v>
      </c>
      <c r="I445">
        <v>1</v>
      </c>
      <c r="J445" t="s">
        <v>18</v>
      </c>
      <c r="K445" t="s">
        <v>19</v>
      </c>
      <c r="L445" t="str" cm="1">
        <f t="array" ref="L445">_xlfn.IFS(bike_buyers[[#This Row],[Age]]&gt;= 70, "senior citizen", bike_buyers[[#This Row],[Age]]&gt;=55, "middle age",  bike_buyers[[#This Row],[Age]]&gt;=40,"mature adult ", bike_buyers[[#This Row],[Age]]&gt;=30, "adults", bike_buyers[[#This Row],[Age]]&gt;= 20, "young adults")</f>
        <v xml:space="preserve">mature adult </v>
      </c>
      <c r="M445">
        <v>43</v>
      </c>
      <c r="N445" t="s">
        <v>17</v>
      </c>
    </row>
    <row r="446" spans="1:14" x14ac:dyDescent="0.25">
      <c r="A446">
        <v>12731</v>
      </c>
      <c r="B446" t="s">
        <v>26</v>
      </c>
      <c r="C446" t="s">
        <v>21</v>
      </c>
      <c r="D446" s="1">
        <v>30000</v>
      </c>
      <c r="E446">
        <v>0</v>
      </c>
      <c r="F446" t="s">
        <v>31</v>
      </c>
      <c r="G446" t="s">
        <v>29</v>
      </c>
      <c r="H446" t="s">
        <v>20</v>
      </c>
      <c r="I446">
        <v>1</v>
      </c>
      <c r="J446" t="s">
        <v>30</v>
      </c>
      <c r="K446" t="s">
        <v>19</v>
      </c>
      <c r="L446" t="str" cm="1">
        <f t="array" ref="L446">_xlfn.IFS(bike_buyers[[#This Row],[Age]]&gt;= 70, "senior citizen", bike_buyers[[#This Row],[Age]]&gt;=55, "middle age",  bike_buyers[[#This Row],[Age]]&gt;=40,"mature adult ", bike_buyers[[#This Row],[Age]]&gt;=30, "adults", bike_buyers[[#This Row],[Age]]&gt;= 20, "young adults")</f>
        <v>adults</v>
      </c>
      <c r="M446">
        <v>32</v>
      </c>
      <c r="N446" t="s">
        <v>20</v>
      </c>
    </row>
    <row r="447" spans="1:14" x14ac:dyDescent="0.25">
      <c r="A447">
        <v>25307</v>
      </c>
      <c r="B447" t="s">
        <v>13</v>
      </c>
      <c r="C447" t="s">
        <v>14</v>
      </c>
      <c r="D447" s="1">
        <v>40000</v>
      </c>
      <c r="E447">
        <v>1</v>
      </c>
      <c r="F447" t="s">
        <v>15</v>
      </c>
      <c r="G447" t="s">
        <v>16</v>
      </c>
      <c r="H447" t="s">
        <v>17</v>
      </c>
      <c r="I447">
        <v>1</v>
      </c>
      <c r="J447" t="s">
        <v>30</v>
      </c>
      <c r="K447" t="s">
        <v>19</v>
      </c>
      <c r="L447" t="str" cm="1">
        <f t="array" ref="L447">_xlfn.IFS(bike_buyers[[#This Row],[Age]]&gt;= 70, "senior citizen", bike_buyers[[#This Row],[Age]]&gt;=55, "middle age",  bike_buyers[[#This Row],[Age]]&gt;=40,"mature adult ", bike_buyers[[#This Row],[Age]]&gt;=30, "adults", bike_buyers[[#This Row],[Age]]&gt;= 20, "young adults")</f>
        <v>adults</v>
      </c>
      <c r="M447">
        <v>32</v>
      </c>
      <c r="N447" t="s">
        <v>17</v>
      </c>
    </row>
    <row r="448" spans="1:14" x14ac:dyDescent="0.25">
      <c r="A448">
        <v>14278</v>
      </c>
      <c r="B448" t="s">
        <v>13</v>
      </c>
      <c r="C448" t="s">
        <v>14</v>
      </c>
      <c r="D448" s="1">
        <v>130000</v>
      </c>
      <c r="E448">
        <v>0</v>
      </c>
      <c r="F448" t="s">
        <v>34</v>
      </c>
      <c r="G448" t="s">
        <v>32</v>
      </c>
      <c r="H448" t="s">
        <v>17</v>
      </c>
      <c r="I448">
        <v>1</v>
      </c>
      <c r="J448" t="s">
        <v>41</v>
      </c>
      <c r="K448" t="s">
        <v>28</v>
      </c>
      <c r="L448" t="str" cm="1">
        <f t="array" ref="L448">_xlfn.IFS(bike_buyers[[#This Row],[Age]]&gt;= 70, "senior citizen", bike_buyers[[#This Row],[Age]]&gt;=55, "middle age",  bike_buyers[[#This Row],[Age]]&gt;=40,"mature adult ", bike_buyers[[#This Row],[Age]]&gt;=30, "adults", bike_buyers[[#This Row],[Age]]&gt;= 20, "young adults")</f>
        <v xml:space="preserve">mature adult </v>
      </c>
      <c r="M448">
        <v>48</v>
      </c>
      <c r="N448" t="s">
        <v>20</v>
      </c>
    </row>
    <row r="449" spans="1:14" x14ac:dyDescent="0.25">
      <c r="A449">
        <v>20711</v>
      </c>
      <c r="B449" t="s">
        <v>13</v>
      </c>
      <c r="C449" t="s">
        <v>14</v>
      </c>
      <c r="D449" s="1">
        <v>40000</v>
      </c>
      <c r="E449">
        <v>1</v>
      </c>
      <c r="F449" t="s">
        <v>15</v>
      </c>
      <c r="G449" t="s">
        <v>16</v>
      </c>
      <c r="H449" t="s">
        <v>17</v>
      </c>
      <c r="I449">
        <v>0</v>
      </c>
      <c r="J449" t="s">
        <v>30</v>
      </c>
      <c r="K449" t="s">
        <v>19</v>
      </c>
      <c r="L449" t="str" cm="1">
        <f t="array" ref="L449">_xlfn.IFS(bike_buyers[[#This Row],[Age]]&gt;= 70, "senior citizen", bike_buyers[[#This Row],[Age]]&gt;=55, "middle age",  bike_buyers[[#This Row],[Age]]&gt;=40,"mature adult ", bike_buyers[[#This Row],[Age]]&gt;=30, "adults", bike_buyers[[#This Row],[Age]]&gt;= 20, "young adults")</f>
        <v>adults</v>
      </c>
      <c r="M449">
        <v>32</v>
      </c>
      <c r="N449" t="s">
        <v>17</v>
      </c>
    </row>
    <row r="450" spans="1:14" x14ac:dyDescent="0.25">
      <c r="A450">
        <v>11383</v>
      </c>
      <c r="B450" t="s">
        <v>13</v>
      </c>
      <c r="C450" t="s">
        <v>14</v>
      </c>
      <c r="D450" s="1">
        <v>30000</v>
      </c>
      <c r="E450">
        <v>3</v>
      </c>
      <c r="F450" t="s">
        <v>34</v>
      </c>
      <c r="G450" t="s">
        <v>23</v>
      </c>
      <c r="H450" t="s">
        <v>17</v>
      </c>
      <c r="I450">
        <v>0</v>
      </c>
      <c r="J450" t="s">
        <v>18</v>
      </c>
      <c r="K450" t="s">
        <v>19</v>
      </c>
      <c r="L450" t="str" cm="1">
        <f t="array" ref="L450">_xlfn.IFS(bike_buyers[[#This Row],[Age]]&gt;= 70, "senior citizen", bike_buyers[[#This Row],[Age]]&gt;=55, "middle age",  bike_buyers[[#This Row],[Age]]&gt;=40,"mature adult ", bike_buyers[[#This Row],[Age]]&gt;=30, "adults", bike_buyers[[#This Row],[Age]]&gt;= 20, "young adults")</f>
        <v xml:space="preserve">mature adult </v>
      </c>
      <c r="M450">
        <v>46</v>
      </c>
      <c r="N450" t="s">
        <v>20</v>
      </c>
    </row>
    <row r="451" spans="1:14" x14ac:dyDescent="0.25">
      <c r="A451">
        <v>12497</v>
      </c>
      <c r="B451" t="s">
        <v>13</v>
      </c>
      <c r="C451" t="s">
        <v>14</v>
      </c>
      <c r="D451" s="1">
        <v>40000</v>
      </c>
      <c r="E451">
        <v>1</v>
      </c>
      <c r="F451" t="s">
        <v>15</v>
      </c>
      <c r="G451" t="s">
        <v>16</v>
      </c>
      <c r="H451" t="s">
        <v>17</v>
      </c>
      <c r="I451">
        <v>0</v>
      </c>
      <c r="J451" t="s">
        <v>18</v>
      </c>
      <c r="K451" t="s">
        <v>19</v>
      </c>
      <c r="L451" t="str" cm="1">
        <f t="array" ref="L451">_xlfn.IFS(bike_buyers[[#This Row],[Age]]&gt;= 70, "senior citizen", bike_buyers[[#This Row],[Age]]&gt;=55, "middle age",  bike_buyers[[#This Row],[Age]]&gt;=40,"mature adult ", bike_buyers[[#This Row],[Age]]&gt;=30, "adults", bike_buyers[[#This Row],[Age]]&gt;= 20, "young adults")</f>
        <v xml:space="preserve">mature adult </v>
      </c>
      <c r="M451">
        <v>42</v>
      </c>
      <c r="N451" t="s">
        <v>20</v>
      </c>
    </row>
    <row r="452" spans="1:14" x14ac:dyDescent="0.25">
      <c r="A452">
        <v>16559</v>
      </c>
      <c r="B452" t="s">
        <v>26</v>
      </c>
      <c r="C452" t="s">
        <v>14</v>
      </c>
      <c r="D452" s="1">
        <v>10000</v>
      </c>
      <c r="E452">
        <v>2</v>
      </c>
      <c r="F452" t="s">
        <v>31</v>
      </c>
      <c r="G452" t="s">
        <v>29</v>
      </c>
      <c r="H452" t="s">
        <v>17</v>
      </c>
      <c r="I452">
        <v>0</v>
      </c>
      <c r="J452" t="s">
        <v>18</v>
      </c>
      <c r="K452" t="s">
        <v>19</v>
      </c>
      <c r="L452" t="str" cm="1">
        <f t="array" ref="L452">_xlfn.IFS(bike_buyers[[#This Row],[Age]]&gt;= 70, "senior citizen", bike_buyers[[#This Row],[Age]]&gt;=55, "middle age",  bike_buyers[[#This Row],[Age]]&gt;=40,"mature adult ", bike_buyers[[#This Row],[Age]]&gt;=30, "adults", bike_buyers[[#This Row],[Age]]&gt;= 20, "young adults")</f>
        <v>adults</v>
      </c>
      <c r="M452">
        <v>36</v>
      </c>
      <c r="N452" t="s">
        <v>17</v>
      </c>
    </row>
    <row r="453" spans="1:14" x14ac:dyDescent="0.25">
      <c r="A453">
        <v>11585</v>
      </c>
      <c r="B453" t="s">
        <v>13</v>
      </c>
      <c r="C453" t="s">
        <v>14</v>
      </c>
      <c r="D453" s="1">
        <v>40000</v>
      </c>
      <c r="E453">
        <v>1</v>
      </c>
      <c r="F453" t="s">
        <v>15</v>
      </c>
      <c r="G453" t="s">
        <v>16</v>
      </c>
      <c r="H453" t="s">
        <v>17</v>
      </c>
      <c r="I453">
        <v>0</v>
      </c>
      <c r="J453" t="s">
        <v>18</v>
      </c>
      <c r="K453" t="s">
        <v>19</v>
      </c>
      <c r="L453" t="str" cm="1">
        <f t="array" ref="L453">_xlfn.IFS(bike_buyers[[#This Row],[Age]]&gt;= 70, "senior citizen", bike_buyers[[#This Row],[Age]]&gt;=55, "middle age",  bike_buyers[[#This Row],[Age]]&gt;=40,"mature adult ", bike_buyers[[#This Row],[Age]]&gt;=30, "adults", bike_buyers[[#This Row],[Age]]&gt;= 20, "young adults")</f>
        <v xml:space="preserve">mature adult </v>
      </c>
      <c r="M453">
        <v>41</v>
      </c>
      <c r="N453" t="s">
        <v>20</v>
      </c>
    </row>
    <row r="454" spans="1:14" x14ac:dyDescent="0.25">
      <c r="A454">
        <v>20277</v>
      </c>
      <c r="B454" t="s">
        <v>13</v>
      </c>
      <c r="C454" t="s">
        <v>14</v>
      </c>
      <c r="D454" s="1">
        <v>30000</v>
      </c>
      <c r="E454">
        <v>2</v>
      </c>
      <c r="F454" t="s">
        <v>22</v>
      </c>
      <c r="G454" t="s">
        <v>23</v>
      </c>
      <c r="H454" t="s">
        <v>20</v>
      </c>
      <c r="I454">
        <v>2</v>
      </c>
      <c r="J454" t="s">
        <v>18</v>
      </c>
      <c r="K454" t="s">
        <v>28</v>
      </c>
      <c r="L454" t="str" cm="1">
        <f t="array" ref="L454">_xlfn.IFS(bike_buyers[[#This Row],[Age]]&gt;= 70, "senior citizen", bike_buyers[[#This Row],[Age]]&gt;=55, "middle age",  bike_buyers[[#This Row],[Age]]&gt;=40,"mature adult ", bike_buyers[[#This Row],[Age]]&gt;=30, "adults", bike_buyers[[#This Row],[Age]]&gt;= 20, "young adults")</f>
        <v>middle age</v>
      </c>
      <c r="M454">
        <v>69</v>
      </c>
      <c r="N454" t="s">
        <v>20</v>
      </c>
    </row>
    <row r="455" spans="1:14" x14ac:dyDescent="0.25">
      <c r="A455">
        <v>26765</v>
      </c>
      <c r="B455" t="s">
        <v>26</v>
      </c>
      <c r="C455" t="s">
        <v>14</v>
      </c>
      <c r="D455" s="1">
        <v>70000</v>
      </c>
      <c r="E455">
        <v>5</v>
      </c>
      <c r="F455" t="s">
        <v>22</v>
      </c>
      <c r="G455" t="s">
        <v>16</v>
      </c>
      <c r="H455" t="s">
        <v>17</v>
      </c>
      <c r="I455">
        <v>2</v>
      </c>
      <c r="J455" t="s">
        <v>27</v>
      </c>
      <c r="K455" t="s">
        <v>28</v>
      </c>
      <c r="L455" t="str" cm="1">
        <f t="array" ref="L455">_xlfn.IFS(bike_buyers[[#This Row],[Age]]&gt;= 70, "senior citizen", bike_buyers[[#This Row],[Age]]&gt;=55, "middle age",  bike_buyers[[#This Row],[Age]]&gt;=40,"mature adult ", bike_buyers[[#This Row],[Age]]&gt;=30, "adults", bike_buyers[[#This Row],[Age]]&gt;= 20, "young adults")</f>
        <v xml:space="preserve">mature adult </v>
      </c>
      <c r="M455">
        <v>45</v>
      </c>
      <c r="N455" t="s">
        <v>20</v>
      </c>
    </row>
    <row r="456" spans="1:14" x14ac:dyDescent="0.25">
      <c r="A456">
        <v>12389</v>
      </c>
      <c r="B456" t="s">
        <v>26</v>
      </c>
      <c r="C456" t="s">
        <v>21</v>
      </c>
      <c r="D456" s="1">
        <v>30000</v>
      </c>
      <c r="E456">
        <v>0</v>
      </c>
      <c r="F456" t="s">
        <v>31</v>
      </c>
      <c r="G456" t="s">
        <v>29</v>
      </c>
      <c r="H456" t="s">
        <v>20</v>
      </c>
      <c r="I456">
        <v>1</v>
      </c>
      <c r="J456" t="s">
        <v>25</v>
      </c>
      <c r="K456" t="s">
        <v>19</v>
      </c>
      <c r="L456" t="str" cm="1">
        <f t="array" ref="L456">_xlfn.IFS(bike_buyers[[#This Row],[Age]]&gt;= 70, "senior citizen", bike_buyers[[#This Row],[Age]]&gt;=55, "middle age",  bike_buyers[[#This Row],[Age]]&gt;=40,"mature adult ", bike_buyers[[#This Row],[Age]]&gt;=30, "adults", bike_buyers[[#This Row],[Age]]&gt;= 20, "young adults")</f>
        <v>adults</v>
      </c>
      <c r="M456">
        <v>34</v>
      </c>
      <c r="N456" t="s">
        <v>20</v>
      </c>
    </row>
    <row r="457" spans="1:14" x14ac:dyDescent="0.25">
      <c r="A457">
        <v>13585</v>
      </c>
      <c r="B457" t="s">
        <v>13</v>
      </c>
      <c r="C457" t="s">
        <v>14</v>
      </c>
      <c r="D457" s="1">
        <v>80000</v>
      </c>
      <c r="E457">
        <v>4</v>
      </c>
      <c r="F457" t="s">
        <v>22</v>
      </c>
      <c r="G457" t="s">
        <v>24</v>
      </c>
      <c r="H457" t="s">
        <v>20</v>
      </c>
      <c r="I457">
        <v>1</v>
      </c>
      <c r="J457" t="s">
        <v>25</v>
      </c>
      <c r="K457" t="s">
        <v>19</v>
      </c>
      <c r="L457" t="str" cm="1">
        <f t="array" ref="L457">_xlfn.IFS(bike_buyers[[#This Row],[Age]]&gt;= 70, "senior citizen", bike_buyers[[#This Row],[Age]]&gt;=55, "middle age",  bike_buyers[[#This Row],[Age]]&gt;=40,"mature adult ", bike_buyers[[#This Row],[Age]]&gt;=30, "adults", bike_buyers[[#This Row],[Age]]&gt;= 20, "young adults")</f>
        <v xml:space="preserve">mature adult </v>
      </c>
      <c r="M457">
        <v>53</v>
      </c>
      <c r="N457" t="s">
        <v>17</v>
      </c>
    </row>
    <row r="458" spans="1:14" x14ac:dyDescent="0.25">
      <c r="A458">
        <v>26385</v>
      </c>
      <c r="B458" t="s">
        <v>26</v>
      </c>
      <c r="C458" t="s">
        <v>21</v>
      </c>
      <c r="D458" s="1">
        <v>120000</v>
      </c>
      <c r="E458">
        <v>3</v>
      </c>
      <c r="F458" t="s">
        <v>31</v>
      </c>
      <c r="G458" t="s">
        <v>24</v>
      </c>
      <c r="H458" t="s">
        <v>20</v>
      </c>
      <c r="I458">
        <v>4</v>
      </c>
      <c r="J458" t="s">
        <v>27</v>
      </c>
      <c r="K458" t="s">
        <v>19</v>
      </c>
      <c r="L458" t="str" cm="1">
        <f t="array" ref="L458">_xlfn.IFS(bike_buyers[[#This Row],[Age]]&gt;= 70, "senior citizen", bike_buyers[[#This Row],[Age]]&gt;=55, "middle age",  bike_buyers[[#This Row],[Age]]&gt;=40,"mature adult ", bike_buyers[[#This Row],[Age]]&gt;=30, "adults", bike_buyers[[#This Row],[Age]]&gt;= 20, "young adults")</f>
        <v xml:space="preserve">mature adult </v>
      </c>
      <c r="M458">
        <v>50</v>
      </c>
      <c r="N458" t="s">
        <v>20</v>
      </c>
    </row>
    <row r="459" spans="1:14" x14ac:dyDescent="0.25">
      <c r="A459">
        <v>12236</v>
      </c>
      <c r="B459" t="s">
        <v>13</v>
      </c>
      <c r="C459" t="s">
        <v>14</v>
      </c>
      <c r="D459" s="1">
        <v>20000</v>
      </c>
      <c r="E459">
        <v>1</v>
      </c>
      <c r="F459" t="s">
        <v>22</v>
      </c>
      <c r="G459" t="s">
        <v>29</v>
      </c>
      <c r="H459" t="s">
        <v>17</v>
      </c>
      <c r="I459">
        <v>0</v>
      </c>
      <c r="J459" t="s">
        <v>18</v>
      </c>
      <c r="K459" t="s">
        <v>19</v>
      </c>
      <c r="L459" t="str" cm="1">
        <f t="array" ref="L459">_xlfn.IFS(bike_buyers[[#This Row],[Age]]&gt;= 70, "senior citizen", bike_buyers[[#This Row],[Age]]&gt;=55, "middle age",  bike_buyers[[#This Row],[Age]]&gt;=40,"mature adult ", bike_buyers[[#This Row],[Age]]&gt;=30, "adults", bike_buyers[[#This Row],[Age]]&gt;= 20, "young adults")</f>
        <v>middle age</v>
      </c>
      <c r="M459">
        <v>65</v>
      </c>
      <c r="N459" t="s">
        <v>20</v>
      </c>
    </row>
    <row r="460" spans="1:14" x14ac:dyDescent="0.25">
      <c r="A460">
        <v>21560</v>
      </c>
      <c r="B460" t="s">
        <v>13</v>
      </c>
      <c r="C460" t="s">
        <v>21</v>
      </c>
      <c r="D460" s="1">
        <v>120000</v>
      </c>
      <c r="E460">
        <v>0</v>
      </c>
      <c r="F460" t="s">
        <v>33</v>
      </c>
      <c r="G460" t="s">
        <v>24</v>
      </c>
      <c r="H460" t="s">
        <v>17</v>
      </c>
      <c r="I460">
        <v>4</v>
      </c>
      <c r="J460" t="s">
        <v>41</v>
      </c>
      <c r="K460" t="s">
        <v>28</v>
      </c>
      <c r="L460" t="str" cm="1">
        <f t="array" ref="L460">_xlfn.IFS(bike_buyers[[#This Row],[Age]]&gt;= 70, "senior citizen", bike_buyers[[#This Row],[Age]]&gt;=55, "middle age",  bike_buyers[[#This Row],[Age]]&gt;=40,"mature adult ", bike_buyers[[#This Row],[Age]]&gt;=30, "adults", bike_buyers[[#This Row],[Age]]&gt;= 20, "young adults")</f>
        <v>adults</v>
      </c>
      <c r="M460">
        <v>32</v>
      </c>
      <c r="N460" t="s">
        <v>17</v>
      </c>
    </row>
    <row r="461" spans="1:14" x14ac:dyDescent="0.25">
      <c r="A461">
        <v>21554</v>
      </c>
      <c r="B461" t="s">
        <v>26</v>
      </c>
      <c r="C461" t="s">
        <v>14</v>
      </c>
      <c r="D461" s="1">
        <v>80000</v>
      </c>
      <c r="E461">
        <v>0</v>
      </c>
      <c r="F461" t="s">
        <v>15</v>
      </c>
      <c r="G461" t="s">
        <v>24</v>
      </c>
      <c r="H461" t="s">
        <v>20</v>
      </c>
      <c r="I461">
        <v>3</v>
      </c>
      <c r="J461" t="s">
        <v>41</v>
      </c>
      <c r="K461" t="s">
        <v>28</v>
      </c>
      <c r="L461" t="str" cm="1">
        <f t="array" ref="L461">_xlfn.IFS(bike_buyers[[#This Row],[Age]]&gt;= 70, "senior citizen", bike_buyers[[#This Row],[Age]]&gt;=55, "middle age",  bike_buyers[[#This Row],[Age]]&gt;=40,"mature adult ", bike_buyers[[#This Row],[Age]]&gt;=30, "adults", bike_buyers[[#This Row],[Age]]&gt;= 20, "young adults")</f>
        <v>adults</v>
      </c>
      <c r="M461">
        <v>33</v>
      </c>
      <c r="N461" t="s">
        <v>20</v>
      </c>
    </row>
    <row r="462" spans="1:14" x14ac:dyDescent="0.25">
      <c r="A462">
        <v>13662</v>
      </c>
      <c r="B462" t="s">
        <v>26</v>
      </c>
      <c r="C462" t="s">
        <v>21</v>
      </c>
      <c r="D462" s="1">
        <v>20000</v>
      </c>
      <c r="E462">
        <v>0</v>
      </c>
      <c r="F462" t="s">
        <v>33</v>
      </c>
      <c r="G462" t="s">
        <v>29</v>
      </c>
      <c r="H462" t="s">
        <v>17</v>
      </c>
      <c r="I462">
        <v>2</v>
      </c>
      <c r="J462" t="s">
        <v>30</v>
      </c>
      <c r="K462" t="s">
        <v>19</v>
      </c>
      <c r="L462" t="str" cm="1">
        <f t="array" ref="L462">_xlfn.IFS(bike_buyers[[#This Row],[Age]]&gt;= 70, "senior citizen", bike_buyers[[#This Row],[Age]]&gt;=55, "middle age",  bike_buyers[[#This Row],[Age]]&gt;=40,"mature adult ", bike_buyers[[#This Row],[Age]]&gt;=30, "adults", bike_buyers[[#This Row],[Age]]&gt;= 20, "young adults")</f>
        <v>adults</v>
      </c>
      <c r="M462">
        <v>31</v>
      </c>
      <c r="N462" t="s">
        <v>17</v>
      </c>
    </row>
    <row r="463" spans="1:14" x14ac:dyDescent="0.25">
      <c r="A463">
        <v>13089</v>
      </c>
      <c r="B463" t="s">
        <v>13</v>
      </c>
      <c r="C463" t="s">
        <v>14</v>
      </c>
      <c r="D463" s="1">
        <v>120000</v>
      </c>
      <c r="E463">
        <v>1</v>
      </c>
      <c r="F463" t="s">
        <v>15</v>
      </c>
      <c r="G463" t="s">
        <v>32</v>
      </c>
      <c r="H463" t="s">
        <v>17</v>
      </c>
      <c r="I463">
        <v>2</v>
      </c>
      <c r="J463" t="s">
        <v>18</v>
      </c>
      <c r="K463" t="s">
        <v>28</v>
      </c>
      <c r="L463" t="str" cm="1">
        <f t="array" ref="L463">_xlfn.IFS(bike_buyers[[#This Row],[Age]]&gt;= 70, "senior citizen", bike_buyers[[#This Row],[Age]]&gt;=55, "middle age",  bike_buyers[[#This Row],[Age]]&gt;=40,"mature adult ", bike_buyers[[#This Row],[Age]]&gt;=30, "adults", bike_buyers[[#This Row],[Age]]&gt;= 20, "young adults")</f>
        <v xml:space="preserve">mature adult </v>
      </c>
      <c r="M463">
        <v>46</v>
      </c>
      <c r="N463" t="s">
        <v>17</v>
      </c>
    </row>
    <row r="464" spans="1:14" x14ac:dyDescent="0.25">
      <c r="A464">
        <v>14791</v>
      </c>
      <c r="B464" t="s">
        <v>13</v>
      </c>
      <c r="C464" t="s">
        <v>14</v>
      </c>
      <c r="D464" s="1">
        <v>40000</v>
      </c>
      <c r="E464">
        <v>0</v>
      </c>
      <c r="F464" t="s">
        <v>15</v>
      </c>
      <c r="G464" t="s">
        <v>23</v>
      </c>
      <c r="H464" t="s">
        <v>17</v>
      </c>
      <c r="I464">
        <v>0</v>
      </c>
      <c r="J464" t="s">
        <v>18</v>
      </c>
      <c r="K464" t="s">
        <v>19</v>
      </c>
      <c r="L464" t="str" cm="1">
        <f t="array" ref="L464">_xlfn.IFS(bike_buyers[[#This Row],[Age]]&gt;= 70, "senior citizen", bike_buyers[[#This Row],[Age]]&gt;=55, "middle age",  bike_buyers[[#This Row],[Age]]&gt;=40,"mature adult ", bike_buyers[[#This Row],[Age]]&gt;=30, "adults", bike_buyers[[#This Row],[Age]]&gt;= 20, "young adults")</f>
        <v>adults</v>
      </c>
      <c r="M464">
        <v>39</v>
      </c>
      <c r="N464" t="s">
        <v>17</v>
      </c>
    </row>
    <row r="465" spans="1:14" x14ac:dyDescent="0.25">
      <c r="A465">
        <v>19331</v>
      </c>
      <c r="B465" t="s">
        <v>26</v>
      </c>
      <c r="C465" t="s">
        <v>21</v>
      </c>
      <c r="D465" s="1">
        <v>20000</v>
      </c>
      <c r="E465">
        <v>2</v>
      </c>
      <c r="F465" t="s">
        <v>31</v>
      </c>
      <c r="G465" t="s">
        <v>29</v>
      </c>
      <c r="H465" t="s">
        <v>17</v>
      </c>
      <c r="I465">
        <v>1</v>
      </c>
      <c r="J465" t="s">
        <v>18</v>
      </c>
      <c r="K465" t="s">
        <v>19</v>
      </c>
      <c r="L465" t="str" cm="1">
        <f t="array" ref="L465">_xlfn.IFS(bike_buyers[[#This Row],[Age]]&gt;= 70, "senior citizen", bike_buyers[[#This Row],[Age]]&gt;=55, "middle age",  bike_buyers[[#This Row],[Age]]&gt;=40,"mature adult ", bike_buyers[[#This Row],[Age]]&gt;=30, "adults", bike_buyers[[#This Row],[Age]]&gt;= 20, "young adults")</f>
        <v xml:space="preserve">mature adult </v>
      </c>
      <c r="M465">
        <v>40</v>
      </c>
      <c r="N465" t="s">
        <v>20</v>
      </c>
    </row>
    <row r="466" spans="1:14" x14ac:dyDescent="0.25">
      <c r="A466">
        <v>17754</v>
      </c>
      <c r="B466" t="s">
        <v>26</v>
      </c>
      <c r="C466" t="s">
        <v>14</v>
      </c>
      <c r="D466" s="1">
        <v>30000</v>
      </c>
      <c r="E466">
        <v>3</v>
      </c>
      <c r="F466" t="s">
        <v>15</v>
      </c>
      <c r="G466" t="s">
        <v>23</v>
      </c>
      <c r="H466" t="s">
        <v>17</v>
      </c>
      <c r="I466">
        <v>0</v>
      </c>
      <c r="J466" t="s">
        <v>18</v>
      </c>
      <c r="K466" t="s">
        <v>19</v>
      </c>
      <c r="L466" t="str" cm="1">
        <f t="array" ref="L466">_xlfn.IFS(bike_buyers[[#This Row],[Age]]&gt;= 70, "senior citizen", bike_buyers[[#This Row],[Age]]&gt;=55, "middle age",  bike_buyers[[#This Row],[Age]]&gt;=40,"mature adult ", bike_buyers[[#This Row],[Age]]&gt;=30, "adults", bike_buyers[[#This Row],[Age]]&gt;= 20, "young adults")</f>
        <v xml:space="preserve">mature adult </v>
      </c>
      <c r="M466">
        <v>46</v>
      </c>
      <c r="N466" t="s">
        <v>17</v>
      </c>
    </row>
    <row r="467" spans="1:14" x14ac:dyDescent="0.25">
      <c r="A467">
        <v>11149</v>
      </c>
      <c r="B467" t="s">
        <v>13</v>
      </c>
      <c r="C467" t="s">
        <v>21</v>
      </c>
      <c r="D467" s="1">
        <v>40000</v>
      </c>
      <c r="E467">
        <v>2</v>
      </c>
      <c r="F467" t="s">
        <v>15</v>
      </c>
      <c r="G467" t="s">
        <v>32</v>
      </c>
      <c r="H467" t="s">
        <v>17</v>
      </c>
      <c r="I467">
        <v>2</v>
      </c>
      <c r="J467" t="s">
        <v>18</v>
      </c>
      <c r="K467" t="s">
        <v>28</v>
      </c>
      <c r="L467" t="str" cm="1">
        <f t="array" ref="L467">_xlfn.IFS(bike_buyers[[#This Row],[Age]]&gt;= 70, "senior citizen", bike_buyers[[#This Row],[Age]]&gt;=55, "middle age",  bike_buyers[[#This Row],[Age]]&gt;=40,"mature adult ", bike_buyers[[#This Row],[Age]]&gt;=30, "adults", bike_buyers[[#This Row],[Age]]&gt;= 20, "young adults")</f>
        <v>middle age</v>
      </c>
      <c r="M467">
        <v>65</v>
      </c>
      <c r="N467" t="s">
        <v>20</v>
      </c>
    </row>
    <row r="468" spans="1:14" x14ac:dyDescent="0.25">
      <c r="A468">
        <v>16549</v>
      </c>
      <c r="B468" t="s">
        <v>26</v>
      </c>
      <c r="C468" t="s">
        <v>14</v>
      </c>
      <c r="D468" s="1">
        <v>30000</v>
      </c>
      <c r="E468">
        <v>3</v>
      </c>
      <c r="F468" t="s">
        <v>15</v>
      </c>
      <c r="G468" t="s">
        <v>23</v>
      </c>
      <c r="H468" t="s">
        <v>17</v>
      </c>
      <c r="I468">
        <v>0</v>
      </c>
      <c r="J468" t="s">
        <v>18</v>
      </c>
      <c r="K468" t="s">
        <v>19</v>
      </c>
      <c r="L468" t="str" cm="1">
        <f t="array" ref="L468">_xlfn.IFS(bike_buyers[[#This Row],[Age]]&gt;= 70, "senior citizen", bike_buyers[[#This Row],[Age]]&gt;=55, "middle age",  bike_buyers[[#This Row],[Age]]&gt;=40,"mature adult ", bike_buyers[[#This Row],[Age]]&gt;=30, "adults", bike_buyers[[#This Row],[Age]]&gt;= 20, "young adults")</f>
        <v xml:space="preserve">mature adult </v>
      </c>
      <c r="M468">
        <v>47</v>
      </c>
      <c r="N468" t="s">
        <v>17</v>
      </c>
    </row>
    <row r="469" spans="1:14" x14ac:dyDescent="0.25">
      <c r="A469">
        <v>24305</v>
      </c>
      <c r="B469" t="s">
        <v>26</v>
      </c>
      <c r="C469" t="s">
        <v>21</v>
      </c>
      <c r="D469" s="1">
        <v>100000</v>
      </c>
      <c r="E469">
        <v>1</v>
      </c>
      <c r="F469" t="s">
        <v>15</v>
      </c>
      <c r="G469" t="s">
        <v>32</v>
      </c>
      <c r="H469" t="s">
        <v>20</v>
      </c>
      <c r="I469">
        <v>3</v>
      </c>
      <c r="J469" t="s">
        <v>18</v>
      </c>
      <c r="K469" t="s">
        <v>28</v>
      </c>
      <c r="L469" t="str" cm="1">
        <f t="array" ref="L469">_xlfn.IFS(bike_buyers[[#This Row],[Age]]&gt;= 70, "senior citizen", bike_buyers[[#This Row],[Age]]&gt;=55, "middle age",  bike_buyers[[#This Row],[Age]]&gt;=40,"mature adult ", bike_buyers[[#This Row],[Age]]&gt;=30, "adults", bike_buyers[[#This Row],[Age]]&gt;= 20, "young adults")</f>
        <v xml:space="preserve">mature adult </v>
      </c>
      <c r="M469">
        <v>46</v>
      </c>
      <c r="N469" t="s">
        <v>17</v>
      </c>
    </row>
    <row r="470" spans="1:14" x14ac:dyDescent="0.25">
      <c r="A470">
        <v>18253</v>
      </c>
      <c r="B470" t="s">
        <v>13</v>
      </c>
      <c r="C470" t="s">
        <v>14</v>
      </c>
      <c r="D470" s="1">
        <v>80000</v>
      </c>
      <c r="E470">
        <v>5</v>
      </c>
      <c r="F470" t="s">
        <v>34</v>
      </c>
      <c r="G470" t="s">
        <v>32</v>
      </c>
      <c r="H470" t="s">
        <v>17</v>
      </c>
      <c r="I470">
        <v>3</v>
      </c>
      <c r="J470" t="s">
        <v>18</v>
      </c>
      <c r="K470" t="s">
        <v>28</v>
      </c>
      <c r="L470" t="str" cm="1">
        <f t="array" ref="L470">_xlfn.IFS(bike_buyers[[#This Row],[Age]]&gt;= 70, "senior citizen", bike_buyers[[#This Row],[Age]]&gt;=55, "middle age",  bike_buyers[[#This Row],[Age]]&gt;=40,"mature adult ", bike_buyers[[#This Row],[Age]]&gt;=30, "adults", bike_buyers[[#This Row],[Age]]&gt;= 20, "young adults")</f>
        <v xml:space="preserve">mature adult </v>
      </c>
      <c r="M470">
        <v>40</v>
      </c>
      <c r="N470" t="s">
        <v>20</v>
      </c>
    </row>
    <row r="471" spans="1:14" x14ac:dyDescent="0.25">
      <c r="A471">
        <v>20147</v>
      </c>
      <c r="B471" t="s">
        <v>13</v>
      </c>
      <c r="C471" t="s">
        <v>14</v>
      </c>
      <c r="D471" s="1">
        <v>30000</v>
      </c>
      <c r="E471">
        <v>1</v>
      </c>
      <c r="F471" t="s">
        <v>15</v>
      </c>
      <c r="G471" t="s">
        <v>23</v>
      </c>
      <c r="H471" t="s">
        <v>17</v>
      </c>
      <c r="I471">
        <v>0</v>
      </c>
      <c r="J471" t="s">
        <v>18</v>
      </c>
      <c r="K471" t="s">
        <v>19</v>
      </c>
      <c r="L471" t="str" cm="1">
        <f t="array" ref="L471">_xlfn.IFS(bike_buyers[[#This Row],[Age]]&gt;= 70, "senior citizen", bike_buyers[[#This Row],[Age]]&gt;=55, "middle age",  bike_buyers[[#This Row],[Age]]&gt;=40,"mature adult ", bike_buyers[[#This Row],[Age]]&gt;=30, "adults", bike_buyers[[#This Row],[Age]]&gt;= 20, "young adults")</f>
        <v>middle age</v>
      </c>
      <c r="M471">
        <v>65</v>
      </c>
      <c r="N471" t="s">
        <v>20</v>
      </c>
    </row>
    <row r="472" spans="1:14" x14ac:dyDescent="0.25">
      <c r="A472">
        <v>15612</v>
      </c>
      <c r="B472" t="s">
        <v>26</v>
      </c>
      <c r="C472" t="s">
        <v>21</v>
      </c>
      <c r="D472" s="1">
        <v>30000</v>
      </c>
      <c r="E472">
        <v>0</v>
      </c>
      <c r="F472" t="s">
        <v>31</v>
      </c>
      <c r="G472" t="s">
        <v>29</v>
      </c>
      <c r="H472" t="s">
        <v>20</v>
      </c>
      <c r="I472">
        <v>1</v>
      </c>
      <c r="J472" t="s">
        <v>30</v>
      </c>
      <c r="K472" t="s">
        <v>19</v>
      </c>
      <c r="L472" t="str" cm="1">
        <f t="array" ref="L472">_xlfn.IFS(bike_buyers[[#This Row],[Age]]&gt;= 70, "senior citizen", bike_buyers[[#This Row],[Age]]&gt;=55, "middle age",  bike_buyers[[#This Row],[Age]]&gt;=40,"mature adult ", bike_buyers[[#This Row],[Age]]&gt;=30, "adults", bike_buyers[[#This Row],[Age]]&gt;= 20, "young adults")</f>
        <v>young adults</v>
      </c>
      <c r="M472">
        <v>28</v>
      </c>
      <c r="N472" t="s">
        <v>20</v>
      </c>
    </row>
    <row r="473" spans="1:14" x14ac:dyDescent="0.25">
      <c r="A473">
        <v>28323</v>
      </c>
      <c r="B473" t="s">
        <v>26</v>
      </c>
      <c r="C473" t="s">
        <v>21</v>
      </c>
      <c r="D473" s="1">
        <v>70000</v>
      </c>
      <c r="E473">
        <v>0</v>
      </c>
      <c r="F473" t="s">
        <v>15</v>
      </c>
      <c r="G473" t="s">
        <v>24</v>
      </c>
      <c r="H473" t="s">
        <v>20</v>
      </c>
      <c r="I473">
        <v>2</v>
      </c>
      <c r="J473" t="s">
        <v>27</v>
      </c>
      <c r="K473" t="s">
        <v>28</v>
      </c>
      <c r="L473" t="str" cm="1">
        <f t="array" ref="L473">_xlfn.IFS(bike_buyers[[#This Row],[Age]]&gt;= 70, "senior citizen", bike_buyers[[#This Row],[Age]]&gt;=55, "middle age",  bike_buyers[[#This Row],[Age]]&gt;=40,"mature adult ", bike_buyers[[#This Row],[Age]]&gt;=30, "adults", bike_buyers[[#This Row],[Age]]&gt;= 20, "young adults")</f>
        <v xml:space="preserve">mature adult </v>
      </c>
      <c r="M473">
        <v>43</v>
      </c>
      <c r="N473" t="s">
        <v>17</v>
      </c>
    </row>
    <row r="474" spans="1:14" x14ac:dyDescent="0.25">
      <c r="A474">
        <v>22634</v>
      </c>
      <c r="B474" t="s">
        <v>26</v>
      </c>
      <c r="C474" t="s">
        <v>14</v>
      </c>
      <c r="D474" s="1">
        <v>40000</v>
      </c>
      <c r="E474">
        <v>0</v>
      </c>
      <c r="F474" t="s">
        <v>34</v>
      </c>
      <c r="G474" t="s">
        <v>23</v>
      </c>
      <c r="H474" t="s">
        <v>17</v>
      </c>
      <c r="I474">
        <v>0</v>
      </c>
      <c r="J474" t="s">
        <v>18</v>
      </c>
      <c r="K474" t="s">
        <v>19</v>
      </c>
      <c r="L474" t="str" cm="1">
        <f t="array" ref="L474">_xlfn.IFS(bike_buyers[[#This Row],[Age]]&gt;= 70, "senior citizen", bike_buyers[[#This Row],[Age]]&gt;=55, "middle age",  bike_buyers[[#This Row],[Age]]&gt;=40,"mature adult ", bike_buyers[[#This Row],[Age]]&gt;=30, "adults", bike_buyers[[#This Row],[Age]]&gt;= 20, "young adults")</f>
        <v>adults</v>
      </c>
      <c r="M474">
        <v>38</v>
      </c>
      <c r="N474" t="s">
        <v>17</v>
      </c>
    </row>
    <row r="475" spans="1:14" x14ac:dyDescent="0.25">
      <c r="A475">
        <v>15665</v>
      </c>
      <c r="B475" t="s">
        <v>13</v>
      </c>
      <c r="C475" t="s">
        <v>14</v>
      </c>
      <c r="D475" s="1">
        <v>30000</v>
      </c>
      <c r="E475">
        <v>0</v>
      </c>
      <c r="F475" t="s">
        <v>15</v>
      </c>
      <c r="G475" t="s">
        <v>23</v>
      </c>
      <c r="H475" t="s">
        <v>17</v>
      </c>
      <c r="I475">
        <v>0</v>
      </c>
      <c r="J475" t="s">
        <v>18</v>
      </c>
      <c r="K475" t="s">
        <v>19</v>
      </c>
      <c r="L475" t="str" cm="1">
        <f t="array" ref="L475">_xlfn.IFS(bike_buyers[[#This Row],[Age]]&gt;= 70, "senior citizen", bike_buyers[[#This Row],[Age]]&gt;=55, "middle age",  bike_buyers[[#This Row],[Age]]&gt;=40,"mature adult ", bike_buyers[[#This Row],[Age]]&gt;=30, "adults", bike_buyers[[#This Row],[Age]]&gt;= 20, "young adults")</f>
        <v xml:space="preserve">mature adult </v>
      </c>
      <c r="M475">
        <v>47</v>
      </c>
      <c r="N475" t="s">
        <v>17</v>
      </c>
    </row>
    <row r="476" spans="1:14" x14ac:dyDescent="0.25">
      <c r="A476">
        <v>27585</v>
      </c>
      <c r="B476" t="s">
        <v>13</v>
      </c>
      <c r="C476" t="s">
        <v>14</v>
      </c>
      <c r="D476" s="1">
        <v>90000</v>
      </c>
      <c r="E476">
        <v>2</v>
      </c>
      <c r="F476" t="s">
        <v>15</v>
      </c>
      <c r="G476" t="s">
        <v>24</v>
      </c>
      <c r="H476" t="s">
        <v>20</v>
      </c>
      <c r="I476">
        <v>0</v>
      </c>
      <c r="J476" t="s">
        <v>18</v>
      </c>
      <c r="K476" t="s">
        <v>28</v>
      </c>
      <c r="L476" t="str" cm="1">
        <f t="array" ref="L476">_xlfn.IFS(bike_buyers[[#This Row],[Age]]&gt;= 70, "senior citizen", bike_buyers[[#This Row],[Age]]&gt;=55, "middle age",  bike_buyers[[#This Row],[Age]]&gt;=40,"mature adult ", bike_buyers[[#This Row],[Age]]&gt;=30, "adults", bike_buyers[[#This Row],[Age]]&gt;= 20, "young adults")</f>
        <v>adults</v>
      </c>
      <c r="M476">
        <v>36</v>
      </c>
      <c r="N476" t="s">
        <v>17</v>
      </c>
    </row>
    <row r="477" spans="1:14" x14ac:dyDescent="0.25">
      <c r="A477">
        <v>19748</v>
      </c>
      <c r="B477" t="s">
        <v>13</v>
      </c>
      <c r="C477" t="s">
        <v>21</v>
      </c>
      <c r="D477" s="1">
        <v>20000</v>
      </c>
      <c r="E477">
        <v>4</v>
      </c>
      <c r="F477" t="s">
        <v>31</v>
      </c>
      <c r="G477" t="s">
        <v>16</v>
      </c>
      <c r="H477" t="s">
        <v>20</v>
      </c>
      <c r="I477">
        <v>2</v>
      </c>
      <c r="J477" t="s">
        <v>30</v>
      </c>
      <c r="K477" t="s">
        <v>28</v>
      </c>
      <c r="L477" t="str" cm="1">
        <f t="array" ref="L477">_xlfn.IFS(bike_buyers[[#This Row],[Age]]&gt;= 70, "senior citizen", bike_buyers[[#This Row],[Age]]&gt;=55, "middle age",  bike_buyers[[#This Row],[Age]]&gt;=40,"mature adult ", bike_buyers[[#This Row],[Age]]&gt;=30, "adults", bike_buyers[[#This Row],[Age]]&gt;= 20, "young adults")</f>
        <v>middle age</v>
      </c>
      <c r="M477">
        <v>60</v>
      </c>
      <c r="N477" t="s">
        <v>20</v>
      </c>
    </row>
    <row r="478" spans="1:14" x14ac:dyDescent="0.25">
      <c r="A478">
        <v>21974</v>
      </c>
      <c r="B478" t="s">
        <v>26</v>
      </c>
      <c r="C478" t="s">
        <v>14</v>
      </c>
      <c r="D478" s="1">
        <v>70000</v>
      </c>
      <c r="E478">
        <v>0</v>
      </c>
      <c r="F478" t="s">
        <v>15</v>
      </c>
      <c r="G478" t="s">
        <v>24</v>
      </c>
      <c r="H478" t="s">
        <v>17</v>
      </c>
      <c r="I478">
        <v>1</v>
      </c>
      <c r="J478" t="s">
        <v>27</v>
      </c>
      <c r="K478" t="s">
        <v>28</v>
      </c>
      <c r="L478" t="str" cm="1">
        <f t="array" ref="L478">_xlfn.IFS(bike_buyers[[#This Row],[Age]]&gt;= 70, "senior citizen", bike_buyers[[#This Row],[Age]]&gt;=55, "middle age",  bike_buyers[[#This Row],[Age]]&gt;=40,"mature adult ", bike_buyers[[#This Row],[Age]]&gt;=30, "adults", bike_buyers[[#This Row],[Age]]&gt;= 20, "young adults")</f>
        <v xml:space="preserve">mature adult </v>
      </c>
      <c r="M478">
        <v>42</v>
      </c>
      <c r="N478" t="s">
        <v>17</v>
      </c>
    </row>
    <row r="479" spans="1:14" x14ac:dyDescent="0.25">
      <c r="A479">
        <v>14032</v>
      </c>
      <c r="B479" t="s">
        <v>13</v>
      </c>
      <c r="C479" t="s">
        <v>21</v>
      </c>
      <c r="D479" s="1">
        <v>70000</v>
      </c>
      <c r="E479">
        <v>2</v>
      </c>
      <c r="F479" t="s">
        <v>31</v>
      </c>
      <c r="G479" t="s">
        <v>16</v>
      </c>
      <c r="H479" t="s">
        <v>20</v>
      </c>
      <c r="I479">
        <v>2</v>
      </c>
      <c r="J479" t="s">
        <v>30</v>
      </c>
      <c r="K479" t="s">
        <v>28</v>
      </c>
      <c r="L479" t="str" cm="1">
        <f t="array" ref="L479">_xlfn.IFS(bike_buyers[[#This Row],[Age]]&gt;= 70, "senior citizen", bike_buyers[[#This Row],[Age]]&gt;=55, "middle age",  bike_buyers[[#This Row],[Age]]&gt;=40,"mature adult ", bike_buyers[[#This Row],[Age]]&gt;=30, "adults", bike_buyers[[#This Row],[Age]]&gt;= 20, "young adults")</f>
        <v xml:space="preserve">mature adult </v>
      </c>
      <c r="M479">
        <v>50</v>
      </c>
      <c r="N479" t="s">
        <v>17</v>
      </c>
    </row>
    <row r="480" spans="1:14" x14ac:dyDescent="0.25">
      <c r="A480">
        <v>22610</v>
      </c>
      <c r="B480" t="s">
        <v>13</v>
      </c>
      <c r="C480" t="s">
        <v>21</v>
      </c>
      <c r="D480" s="1">
        <v>30000</v>
      </c>
      <c r="E480">
        <v>0</v>
      </c>
      <c r="F480" t="s">
        <v>15</v>
      </c>
      <c r="G480" t="s">
        <v>23</v>
      </c>
      <c r="H480" t="s">
        <v>17</v>
      </c>
      <c r="I480">
        <v>0</v>
      </c>
      <c r="J480" t="s">
        <v>18</v>
      </c>
      <c r="K480" t="s">
        <v>19</v>
      </c>
      <c r="L480" t="str" cm="1">
        <f t="array" ref="L480">_xlfn.IFS(bike_buyers[[#This Row],[Age]]&gt;= 70, "senior citizen", bike_buyers[[#This Row],[Age]]&gt;=55, "middle age",  bike_buyers[[#This Row],[Age]]&gt;=40,"mature adult ", bike_buyers[[#This Row],[Age]]&gt;=30, "adults", bike_buyers[[#This Row],[Age]]&gt;= 20, "young adults")</f>
        <v>adults</v>
      </c>
      <c r="M480">
        <v>35</v>
      </c>
      <c r="N480" t="s">
        <v>17</v>
      </c>
    </row>
    <row r="481" spans="1:14" x14ac:dyDescent="0.25">
      <c r="A481">
        <v>26984</v>
      </c>
      <c r="B481" t="s">
        <v>13</v>
      </c>
      <c r="C481" t="s">
        <v>21</v>
      </c>
      <c r="D481" s="1">
        <v>40000</v>
      </c>
      <c r="E481">
        <v>1</v>
      </c>
      <c r="F481" t="s">
        <v>15</v>
      </c>
      <c r="G481" t="s">
        <v>16</v>
      </c>
      <c r="H481" t="s">
        <v>17</v>
      </c>
      <c r="I481">
        <v>1</v>
      </c>
      <c r="J481" t="s">
        <v>18</v>
      </c>
      <c r="K481" t="s">
        <v>19</v>
      </c>
      <c r="L481" t="str" cm="1">
        <f t="array" ref="L481">_xlfn.IFS(bike_buyers[[#This Row],[Age]]&gt;= 70, "senior citizen", bike_buyers[[#This Row],[Age]]&gt;=55, "middle age",  bike_buyers[[#This Row],[Age]]&gt;=40,"mature adult ", bike_buyers[[#This Row],[Age]]&gt;=30, "adults", bike_buyers[[#This Row],[Age]]&gt;= 20, "young adults")</f>
        <v>adults</v>
      </c>
      <c r="M481">
        <v>32</v>
      </c>
      <c r="N481" t="s">
        <v>17</v>
      </c>
    </row>
    <row r="482" spans="1:14" x14ac:dyDescent="0.25">
      <c r="A482">
        <v>18294</v>
      </c>
      <c r="B482" t="s">
        <v>13</v>
      </c>
      <c r="C482" t="s">
        <v>14</v>
      </c>
      <c r="D482" s="1">
        <v>90000</v>
      </c>
      <c r="E482">
        <v>1</v>
      </c>
      <c r="F482" t="s">
        <v>15</v>
      </c>
      <c r="G482" t="s">
        <v>24</v>
      </c>
      <c r="H482" t="s">
        <v>17</v>
      </c>
      <c r="I482">
        <v>1</v>
      </c>
      <c r="J482" t="s">
        <v>27</v>
      </c>
      <c r="K482" t="s">
        <v>28</v>
      </c>
      <c r="L482" t="str" cm="1">
        <f t="array" ref="L482">_xlfn.IFS(bike_buyers[[#This Row],[Age]]&gt;= 70, "senior citizen", bike_buyers[[#This Row],[Age]]&gt;=55, "middle age",  bike_buyers[[#This Row],[Age]]&gt;=40,"mature adult ", bike_buyers[[#This Row],[Age]]&gt;=30, "adults", bike_buyers[[#This Row],[Age]]&gt;= 20, "young adults")</f>
        <v xml:space="preserve">mature adult </v>
      </c>
      <c r="M482">
        <v>46</v>
      </c>
      <c r="N482" t="s">
        <v>20</v>
      </c>
    </row>
    <row r="483" spans="1:14" x14ac:dyDescent="0.25">
      <c r="A483">
        <v>28564</v>
      </c>
      <c r="B483" t="s">
        <v>26</v>
      </c>
      <c r="C483" t="s">
        <v>14</v>
      </c>
      <c r="D483" s="1">
        <v>40000</v>
      </c>
      <c r="E483">
        <v>2</v>
      </c>
      <c r="F483" t="s">
        <v>22</v>
      </c>
      <c r="G483" t="s">
        <v>23</v>
      </c>
      <c r="H483" t="s">
        <v>17</v>
      </c>
      <c r="I483">
        <v>0</v>
      </c>
      <c r="J483" t="s">
        <v>30</v>
      </c>
      <c r="K483" t="s">
        <v>19</v>
      </c>
      <c r="L483" t="str" cm="1">
        <f t="array" ref="L483">_xlfn.IFS(bike_buyers[[#This Row],[Age]]&gt;= 70, "senior citizen", bike_buyers[[#This Row],[Age]]&gt;=55, "middle age",  bike_buyers[[#This Row],[Age]]&gt;=40,"mature adult ", bike_buyers[[#This Row],[Age]]&gt;=30, "adults", bike_buyers[[#This Row],[Age]]&gt;= 20, "young adults")</f>
        <v>adults</v>
      </c>
      <c r="M483">
        <v>33</v>
      </c>
      <c r="N483" t="s">
        <v>17</v>
      </c>
    </row>
    <row r="484" spans="1:14" x14ac:dyDescent="0.25">
      <c r="A484">
        <v>28521</v>
      </c>
      <c r="B484" t="s">
        <v>26</v>
      </c>
      <c r="C484" t="s">
        <v>21</v>
      </c>
      <c r="D484" s="1">
        <v>40000</v>
      </c>
      <c r="E484">
        <v>0</v>
      </c>
      <c r="F484" t="s">
        <v>34</v>
      </c>
      <c r="G484" t="s">
        <v>23</v>
      </c>
      <c r="H484" t="s">
        <v>20</v>
      </c>
      <c r="I484">
        <v>0</v>
      </c>
      <c r="J484" t="s">
        <v>18</v>
      </c>
      <c r="K484" t="s">
        <v>19</v>
      </c>
      <c r="L484" t="str" cm="1">
        <f t="array" ref="L484">_xlfn.IFS(bike_buyers[[#This Row],[Age]]&gt;= 70, "senior citizen", bike_buyers[[#This Row],[Age]]&gt;=55, "middle age",  bike_buyers[[#This Row],[Age]]&gt;=40,"mature adult ", bike_buyers[[#This Row],[Age]]&gt;=30, "adults", bike_buyers[[#This Row],[Age]]&gt;= 20, "young adults")</f>
        <v>adults</v>
      </c>
      <c r="M484">
        <v>36</v>
      </c>
      <c r="N484" t="s">
        <v>17</v>
      </c>
    </row>
    <row r="485" spans="1:14" x14ac:dyDescent="0.25">
      <c r="A485">
        <v>15450</v>
      </c>
      <c r="B485" t="s">
        <v>13</v>
      </c>
      <c r="C485" t="s">
        <v>21</v>
      </c>
      <c r="D485" s="1">
        <v>10000</v>
      </c>
      <c r="E485">
        <v>1</v>
      </c>
      <c r="F485" t="s">
        <v>34</v>
      </c>
      <c r="G485" t="s">
        <v>23</v>
      </c>
      <c r="H485" t="s">
        <v>17</v>
      </c>
      <c r="I485">
        <v>0</v>
      </c>
      <c r="J485" t="s">
        <v>18</v>
      </c>
      <c r="K485" t="s">
        <v>19</v>
      </c>
      <c r="L485" t="str" cm="1">
        <f t="array" ref="L485">_xlfn.IFS(bike_buyers[[#This Row],[Age]]&gt;= 70, "senior citizen", bike_buyers[[#This Row],[Age]]&gt;=55, "middle age",  bike_buyers[[#This Row],[Age]]&gt;=40,"mature adult ", bike_buyers[[#This Row],[Age]]&gt;=30, "adults", bike_buyers[[#This Row],[Age]]&gt;= 20, "young adults")</f>
        <v>senior citizen</v>
      </c>
      <c r="M485">
        <v>70</v>
      </c>
      <c r="N485" t="s">
        <v>20</v>
      </c>
    </row>
    <row r="486" spans="1:14" x14ac:dyDescent="0.25">
      <c r="A486">
        <v>25681</v>
      </c>
      <c r="B486" t="s">
        <v>26</v>
      </c>
      <c r="C486" t="s">
        <v>14</v>
      </c>
      <c r="D486" s="1">
        <v>30000</v>
      </c>
      <c r="E486">
        <v>0</v>
      </c>
      <c r="F486" t="s">
        <v>22</v>
      </c>
      <c r="G486" t="s">
        <v>23</v>
      </c>
      <c r="H486" t="s">
        <v>20</v>
      </c>
      <c r="I486">
        <v>1</v>
      </c>
      <c r="J486" t="s">
        <v>25</v>
      </c>
      <c r="K486" t="s">
        <v>19</v>
      </c>
      <c r="L486" t="str" cm="1">
        <f t="array" ref="L486">_xlfn.IFS(bike_buyers[[#This Row],[Age]]&gt;= 70, "senior citizen", bike_buyers[[#This Row],[Age]]&gt;=55, "middle age",  bike_buyers[[#This Row],[Age]]&gt;=40,"mature adult ", bike_buyers[[#This Row],[Age]]&gt;=30, "adults", bike_buyers[[#This Row],[Age]]&gt;= 20, "young adults")</f>
        <v>adults</v>
      </c>
      <c r="M486">
        <v>31</v>
      </c>
      <c r="N486" t="s">
        <v>17</v>
      </c>
    </row>
    <row r="487" spans="1:14" x14ac:dyDescent="0.25">
      <c r="A487">
        <v>19491</v>
      </c>
      <c r="B487" t="s">
        <v>26</v>
      </c>
      <c r="C487" t="s">
        <v>21</v>
      </c>
      <c r="D487" s="1">
        <v>30000</v>
      </c>
      <c r="E487">
        <v>2</v>
      </c>
      <c r="F487" t="s">
        <v>22</v>
      </c>
      <c r="G487" t="s">
        <v>23</v>
      </c>
      <c r="H487" t="s">
        <v>17</v>
      </c>
      <c r="I487">
        <v>2</v>
      </c>
      <c r="J487" t="s">
        <v>18</v>
      </c>
      <c r="K487" t="s">
        <v>19</v>
      </c>
      <c r="L487" t="str" cm="1">
        <f t="array" ref="L487">_xlfn.IFS(bike_buyers[[#This Row],[Age]]&gt;= 70, "senior citizen", bike_buyers[[#This Row],[Age]]&gt;=55, "middle age",  bike_buyers[[#This Row],[Age]]&gt;=40,"mature adult ", bike_buyers[[#This Row],[Age]]&gt;=30, "adults", bike_buyers[[#This Row],[Age]]&gt;= 20, "young adults")</f>
        <v xml:space="preserve">mature adult </v>
      </c>
      <c r="M487">
        <v>42</v>
      </c>
      <c r="N487" t="s">
        <v>20</v>
      </c>
    </row>
    <row r="488" spans="1:14" x14ac:dyDescent="0.25">
      <c r="A488">
        <v>26415</v>
      </c>
      <c r="B488" t="s">
        <v>13</v>
      </c>
      <c r="C488" t="s">
        <v>14</v>
      </c>
      <c r="D488" s="1">
        <v>90000</v>
      </c>
      <c r="E488">
        <v>4</v>
      </c>
      <c r="F488" t="s">
        <v>33</v>
      </c>
      <c r="G488" t="s">
        <v>16</v>
      </c>
      <c r="H488" t="s">
        <v>17</v>
      </c>
      <c r="I488">
        <v>4</v>
      </c>
      <c r="J488" t="s">
        <v>41</v>
      </c>
      <c r="K488" t="s">
        <v>19</v>
      </c>
      <c r="L488" t="str" cm="1">
        <f t="array" ref="L488">_xlfn.IFS(bike_buyers[[#This Row],[Age]]&gt;= 70, "senior citizen", bike_buyers[[#This Row],[Age]]&gt;=55, "middle age",  bike_buyers[[#This Row],[Age]]&gt;=40,"mature adult ", bike_buyers[[#This Row],[Age]]&gt;=30, "adults", bike_buyers[[#This Row],[Age]]&gt;= 20, "young adults")</f>
        <v>middle age</v>
      </c>
      <c r="M488">
        <v>58</v>
      </c>
      <c r="N488" t="s">
        <v>20</v>
      </c>
    </row>
    <row r="489" spans="1:14" x14ac:dyDescent="0.25">
      <c r="A489">
        <v>12821</v>
      </c>
      <c r="B489" t="s">
        <v>13</v>
      </c>
      <c r="C489" t="s">
        <v>21</v>
      </c>
      <c r="D489" s="1">
        <v>40000</v>
      </c>
      <c r="E489">
        <v>0</v>
      </c>
      <c r="F489" t="s">
        <v>15</v>
      </c>
      <c r="G489" t="s">
        <v>23</v>
      </c>
      <c r="H489" t="s">
        <v>17</v>
      </c>
      <c r="I489">
        <v>0</v>
      </c>
      <c r="J489" t="s">
        <v>18</v>
      </c>
      <c r="K489" t="s">
        <v>19</v>
      </c>
      <c r="L489" t="str" cm="1">
        <f t="array" ref="L489">_xlfn.IFS(bike_buyers[[#This Row],[Age]]&gt;= 70, "senior citizen", bike_buyers[[#This Row],[Age]]&gt;=55, "middle age",  bike_buyers[[#This Row],[Age]]&gt;=40,"mature adult ", bike_buyers[[#This Row],[Age]]&gt;=30, "adults", bike_buyers[[#This Row],[Age]]&gt;= 20, "young adults")</f>
        <v>adults</v>
      </c>
      <c r="M489">
        <v>39</v>
      </c>
      <c r="N489" t="s">
        <v>20</v>
      </c>
    </row>
    <row r="490" spans="1:14" x14ac:dyDescent="0.25">
      <c r="A490">
        <v>15629</v>
      </c>
      <c r="B490" t="s">
        <v>26</v>
      </c>
      <c r="C490" t="s">
        <v>14</v>
      </c>
      <c r="D490" s="1">
        <v>10000</v>
      </c>
      <c r="E490">
        <v>0</v>
      </c>
      <c r="F490" t="s">
        <v>33</v>
      </c>
      <c r="G490" t="s">
        <v>29</v>
      </c>
      <c r="H490" t="s">
        <v>17</v>
      </c>
      <c r="I490">
        <v>2</v>
      </c>
      <c r="J490" t="s">
        <v>30</v>
      </c>
      <c r="K490" t="s">
        <v>19</v>
      </c>
      <c r="L490" t="str" cm="1">
        <f t="array" ref="L490">_xlfn.IFS(bike_buyers[[#This Row],[Age]]&gt;= 70, "senior citizen", bike_buyers[[#This Row],[Age]]&gt;=55, "middle age",  bike_buyers[[#This Row],[Age]]&gt;=40,"mature adult ", bike_buyers[[#This Row],[Age]]&gt;=30, "adults", bike_buyers[[#This Row],[Age]]&gt;= 20, "young adults")</f>
        <v>adults</v>
      </c>
      <c r="M490">
        <v>34</v>
      </c>
      <c r="N490" t="s">
        <v>20</v>
      </c>
    </row>
    <row r="491" spans="1:14" x14ac:dyDescent="0.25">
      <c r="A491">
        <v>27835</v>
      </c>
      <c r="B491" t="s">
        <v>13</v>
      </c>
      <c r="C491" t="s">
        <v>21</v>
      </c>
      <c r="D491" s="1">
        <v>20000</v>
      </c>
      <c r="E491">
        <v>0</v>
      </c>
      <c r="F491" t="s">
        <v>33</v>
      </c>
      <c r="G491" t="s">
        <v>29</v>
      </c>
      <c r="H491" t="s">
        <v>17</v>
      </c>
      <c r="I491">
        <v>2</v>
      </c>
      <c r="J491" t="s">
        <v>18</v>
      </c>
      <c r="K491" t="s">
        <v>19</v>
      </c>
      <c r="L491" t="str" cm="1">
        <f t="array" ref="L491">_xlfn.IFS(bike_buyers[[#This Row],[Age]]&gt;= 70, "senior citizen", bike_buyers[[#This Row],[Age]]&gt;=55, "middle age",  bike_buyers[[#This Row],[Age]]&gt;=40,"mature adult ", bike_buyers[[#This Row],[Age]]&gt;=30, "adults", bike_buyers[[#This Row],[Age]]&gt;= 20, "young adults")</f>
        <v>adults</v>
      </c>
      <c r="M491">
        <v>32</v>
      </c>
      <c r="N491" t="s">
        <v>20</v>
      </c>
    </row>
    <row r="492" spans="1:14" x14ac:dyDescent="0.25">
      <c r="A492">
        <v>11738</v>
      </c>
      <c r="B492" t="s">
        <v>13</v>
      </c>
      <c r="C492" t="s">
        <v>21</v>
      </c>
      <c r="D492" s="1">
        <v>60000</v>
      </c>
      <c r="E492">
        <v>4</v>
      </c>
      <c r="F492" t="s">
        <v>15</v>
      </c>
      <c r="G492" t="s">
        <v>24</v>
      </c>
      <c r="H492" t="s">
        <v>17</v>
      </c>
      <c r="I492">
        <v>0</v>
      </c>
      <c r="J492" t="s">
        <v>25</v>
      </c>
      <c r="K492" t="s">
        <v>35</v>
      </c>
      <c r="L492" t="str" cm="1">
        <f t="array" ref="L492">_xlfn.IFS(bike_buyers[[#This Row],[Age]]&gt;= 70, "senior citizen", bike_buyers[[#This Row],[Age]]&gt;=55, "middle age",  bike_buyers[[#This Row],[Age]]&gt;=40,"mature adult ", bike_buyers[[#This Row],[Age]]&gt;=30, "adults", bike_buyers[[#This Row],[Age]]&gt;= 20, "young adults")</f>
        <v xml:space="preserve">mature adult </v>
      </c>
      <c r="M492">
        <v>46</v>
      </c>
      <c r="N492" t="s">
        <v>20</v>
      </c>
    </row>
    <row r="493" spans="1:14" x14ac:dyDescent="0.25">
      <c r="A493">
        <v>25065</v>
      </c>
      <c r="B493" t="s">
        <v>13</v>
      </c>
      <c r="C493" t="s">
        <v>21</v>
      </c>
      <c r="D493" s="1">
        <v>70000</v>
      </c>
      <c r="E493">
        <v>2</v>
      </c>
      <c r="F493" t="s">
        <v>33</v>
      </c>
      <c r="G493" t="s">
        <v>16</v>
      </c>
      <c r="H493" t="s">
        <v>17</v>
      </c>
      <c r="I493">
        <v>2</v>
      </c>
      <c r="J493" t="s">
        <v>27</v>
      </c>
      <c r="K493" t="s">
        <v>35</v>
      </c>
      <c r="L493" t="str" cm="1">
        <f t="array" ref="L493">_xlfn.IFS(bike_buyers[[#This Row],[Age]]&gt;= 70, "senior citizen", bike_buyers[[#This Row],[Age]]&gt;=55, "middle age",  bike_buyers[[#This Row],[Age]]&gt;=40,"mature adult ", bike_buyers[[#This Row],[Age]]&gt;=30, "adults", bike_buyers[[#This Row],[Age]]&gt;= 20, "young adults")</f>
        <v xml:space="preserve">mature adult </v>
      </c>
      <c r="M493">
        <v>48</v>
      </c>
      <c r="N493" t="s">
        <v>20</v>
      </c>
    </row>
    <row r="494" spans="1:14" x14ac:dyDescent="0.25">
      <c r="A494">
        <v>26238</v>
      </c>
      <c r="B494" t="s">
        <v>26</v>
      </c>
      <c r="C494" t="s">
        <v>14</v>
      </c>
      <c r="D494" s="1">
        <v>40000</v>
      </c>
      <c r="E494">
        <v>3</v>
      </c>
      <c r="F494" t="s">
        <v>22</v>
      </c>
      <c r="G494" t="s">
        <v>23</v>
      </c>
      <c r="H494" t="s">
        <v>17</v>
      </c>
      <c r="I494">
        <v>1</v>
      </c>
      <c r="J494" t="s">
        <v>30</v>
      </c>
      <c r="K494" t="s">
        <v>35</v>
      </c>
      <c r="L494" t="str" cm="1">
        <f t="array" ref="L494">_xlfn.IFS(bike_buyers[[#This Row],[Age]]&gt;= 70, "senior citizen", bike_buyers[[#This Row],[Age]]&gt;=55, "middle age",  bike_buyers[[#This Row],[Age]]&gt;=40,"mature adult ", bike_buyers[[#This Row],[Age]]&gt;=30, "adults", bike_buyers[[#This Row],[Age]]&gt;= 20, "young adults")</f>
        <v>adults</v>
      </c>
      <c r="M494">
        <v>31</v>
      </c>
      <c r="N494" t="s">
        <v>17</v>
      </c>
    </row>
    <row r="495" spans="1:14" x14ac:dyDescent="0.25">
      <c r="A495">
        <v>23707</v>
      </c>
      <c r="B495" t="s">
        <v>26</v>
      </c>
      <c r="C495" t="s">
        <v>21</v>
      </c>
      <c r="D495" s="1">
        <v>70000</v>
      </c>
      <c r="E495">
        <v>5</v>
      </c>
      <c r="F495" t="s">
        <v>15</v>
      </c>
      <c r="G495" t="s">
        <v>32</v>
      </c>
      <c r="H495" t="s">
        <v>17</v>
      </c>
      <c r="I495">
        <v>3</v>
      </c>
      <c r="J495" t="s">
        <v>41</v>
      </c>
      <c r="K495" t="s">
        <v>35</v>
      </c>
      <c r="L495" t="str" cm="1">
        <f t="array" ref="L495">_xlfn.IFS(bike_buyers[[#This Row],[Age]]&gt;= 70, "senior citizen", bike_buyers[[#This Row],[Age]]&gt;=55, "middle age",  bike_buyers[[#This Row],[Age]]&gt;=40,"mature adult ", bike_buyers[[#This Row],[Age]]&gt;=30, "adults", bike_buyers[[#This Row],[Age]]&gt;= 20, "young adults")</f>
        <v>middle age</v>
      </c>
      <c r="M495">
        <v>60</v>
      </c>
      <c r="N495" t="s">
        <v>17</v>
      </c>
    </row>
    <row r="496" spans="1:14" x14ac:dyDescent="0.25">
      <c r="A496">
        <v>27650</v>
      </c>
      <c r="B496" t="s">
        <v>13</v>
      </c>
      <c r="C496" t="s">
        <v>21</v>
      </c>
      <c r="D496" s="1">
        <v>70000</v>
      </c>
      <c r="E496">
        <v>4</v>
      </c>
      <c r="F496" t="s">
        <v>31</v>
      </c>
      <c r="G496" t="s">
        <v>24</v>
      </c>
      <c r="H496" t="s">
        <v>17</v>
      </c>
      <c r="I496">
        <v>0</v>
      </c>
      <c r="J496" t="s">
        <v>27</v>
      </c>
      <c r="K496" t="s">
        <v>35</v>
      </c>
      <c r="L496" t="str" cm="1">
        <f t="array" ref="L496">_xlfn.IFS(bike_buyers[[#This Row],[Age]]&gt;= 70, "senior citizen", bike_buyers[[#This Row],[Age]]&gt;=55, "middle age",  bike_buyers[[#This Row],[Age]]&gt;=40,"mature adult ", bike_buyers[[#This Row],[Age]]&gt;=30, "adults", bike_buyers[[#This Row],[Age]]&gt;= 20, "young adults")</f>
        <v xml:space="preserve">mature adult </v>
      </c>
      <c r="M496">
        <v>51</v>
      </c>
      <c r="N496" t="s">
        <v>20</v>
      </c>
    </row>
    <row r="497" spans="1:14" x14ac:dyDescent="0.25">
      <c r="A497">
        <v>24981</v>
      </c>
      <c r="B497" t="s">
        <v>13</v>
      </c>
      <c r="C497" t="s">
        <v>21</v>
      </c>
      <c r="D497" s="1">
        <v>60000</v>
      </c>
      <c r="E497">
        <v>2</v>
      </c>
      <c r="F497" t="s">
        <v>22</v>
      </c>
      <c r="G497" t="s">
        <v>24</v>
      </c>
      <c r="H497" t="s">
        <v>17</v>
      </c>
      <c r="I497">
        <v>2</v>
      </c>
      <c r="J497" t="s">
        <v>41</v>
      </c>
      <c r="K497" t="s">
        <v>35</v>
      </c>
      <c r="L497" t="str" cm="1">
        <f t="array" ref="L497">_xlfn.IFS(bike_buyers[[#This Row],[Age]]&gt;= 70, "senior citizen", bike_buyers[[#This Row],[Age]]&gt;=55, "middle age",  bike_buyers[[#This Row],[Age]]&gt;=40,"mature adult ", bike_buyers[[#This Row],[Age]]&gt;=30, "adults", bike_buyers[[#This Row],[Age]]&gt;= 20, "young adults")</f>
        <v>middle age</v>
      </c>
      <c r="M497">
        <v>56</v>
      </c>
      <c r="N497" t="s">
        <v>20</v>
      </c>
    </row>
    <row r="498" spans="1:14" x14ac:dyDescent="0.25">
      <c r="A498">
        <v>20678</v>
      </c>
      <c r="B498" t="s">
        <v>26</v>
      </c>
      <c r="C498" t="s">
        <v>14</v>
      </c>
      <c r="D498" s="1">
        <v>60000</v>
      </c>
      <c r="E498">
        <v>3</v>
      </c>
      <c r="F498" t="s">
        <v>15</v>
      </c>
      <c r="G498" t="s">
        <v>16</v>
      </c>
      <c r="H498" t="s">
        <v>17</v>
      </c>
      <c r="I498">
        <v>1</v>
      </c>
      <c r="J498" t="s">
        <v>25</v>
      </c>
      <c r="K498" t="s">
        <v>35</v>
      </c>
      <c r="L498" t="str" cm="1">
        <f t="array" ref="L498">_xlfn.IFS(bike_buyers[[#This Row],[Age]]&gt;= 70, "senior citizen", bike_buyers[[#This Row],[Age]]&gt;=55, "middle age",  bike_buyers[[#This Row],[Age]]&gt;=40,"mature adult ", bike_buyers[[#This Row],[Age]]&gt;=30, "adults", bike_buyers[[#This Row],[Age]]&gt;= 20, "young adults")</f>
        <v xml:space="preserve">mature adult </v>
      </c>
      <c r="M498">
        <v>40</v>
      </c>
      <c r="N498" t="s">
        <v>17</v>
      </c>
    </row>
    <row r="499" spans="1:14" x14ac:dyDescent="0.25">
      <c r="A499">
        <v>15302</v>
      </c>
      <c r="B499" t="s">
        <v>26</v>
      </c>
      <c r="C499" t="s">
        <v>14</v>
      </c>
      <c r="D499" s="1">
        <v>70000</v>
      </c>
      <c r="E499">
        <v>1</v>
      </c>
      <c r="F499" t="s">
        <v>34</v>
      </c>
      <c r="G499" t="s">
        <v>24</v>
      </c>
      <c r="H499" t="s">
        <v>17</v>
      </c>
      <c r="I499">
        <v>0</v>
      </c>
      <c r="J499" t="s">
        <v>25</v>
      </c>
      <c r="K499" t="s">
        <v>35</v>
      </c>
      <c r="L499" t="str" cm="1">
        <f t="array" ref="L499">_xlfn.IFS(bike_buyers[[#This Row],[Age]]&gt;= 70, "senior citizen", bike_buyers[[#This Row],[Age]]&gt;=55, "middle age",  bike_buyers[[#This Row],[Age]]&gt;=40,"mature adult ", bike_buyers[[#This Row],[Age]]&gt;=30, "adults", bike_buyers[[#This Row],[Age]]&gt;= 20, "young adults")</f>
        <v>adults</v>
      </c>
      <c r="M499">
        <v>34</v>
      </c>
      <c r="N499" t="s">
        <v>17</v>
      </c>
    </row>
    <row r="500" spans="1:14" x14ac:dyDescent="0.25">
      <c r="A500">
        <v>26012</v>
      </c>
      <c r="B500" t="s">
        <v>13</v>
      </c>
      <c r="C500" t="s">
        <v>21</v>
      </c>
      <c r="D500" s="1">
        <v>80000</v>
      </c>
      <c r="E500">
        <v>1</v>
      </c>
      <c r="F500" t="s">
        <v>22</v>
      </c>
      <c r="G500" t="s">
        <v>16</v>
      </c>
      <c r="H500" t="s">
        <v>17</v>
      </c>
      <c r="I500">
        <v>1</v>
      </c>
      <c r="J500" t="s">
        <v>25</v>
      </c>
      <c r="K500" t="s">
        <v>35</v>
      </c>
      <c r="L500" t="str" cm="1">
        <f t="array" ref="L500">_xlfn.IFS(bike_buyers[[#This Row],[Age]]&gt;= 70, "senior citizen", bike_buyers[[#This Row],[Age]]&gt;=55, "middle age",  bike_buyers[[#This Row],[Age]]&gt;=40,"mature adult ", bike_buyers[[#This Row],[Age]]&gt;=30, "adults", bike_buyers[[#This Row],[Age]]&gt;= 20, "young adults")</f>
        <v xml:space="preserve">mature adult </v>
      </c>
      <c r="M500">
        <v>48</v>
      </c>
      <c r="N500" t="s">
        <v>17</v>
      </c>
    </row>
    <row r="501" spans="1:14" x14ac:dyDescent="0.25">
      <c r="A501">
        <v>26575</v>
      </c>
      <c r="B501" t="s">
        <v>26</v>
      </c>
      <c r="C501" t="s">
        <v>14</v>
      </c>
      <c r="D501" s="1">
        <v>40000</v>
      </c>
      <c r="E501">
        <v>0</v>
      </c>
      <c r="F501" t="s">
        <v>31</v>
      </c>
      <c r="G501" t="s">
        <v>16</v>
      </c>
      <c r="H501" t="s">
        <v>20</v>
      </c>
      <c r="I501">
        <v>2</v>
      </c>
      <c r="J501" t="s">
        <v>30</v>
      </c>
      <c r="K501" t="s">
        <v>35</v>
      </c>
      <c r="L501" t="str" cm="1">
        <f t="array" ref="L501">_xlfn.IFS(bike_buyers[[#This Row],[Age]]&gt;= 70, "senior citizen", bike_buyers[[#This Row],[Age]]&gt;=55, "middle age",  bike_buyers[[#This Row],[Age]]&gt;=40,"mature adult ", bike_buyers[[#This Row],[Age]]&gt;=30, "adults", bike_buyers[[#This Row],[Age]]&gt;= 20, "young adults")</f>
        <v>adults</v>
      </c>
      <c r="M501">
        <v>31</v>
      </c>
      <c r="N501" t="s">
        <v>17</v>
      </c>
    </row>
    <row r="502" spans="1:14" x14ac:dyDescent="0.25">
      <c r="A502">
        <v>15559</v>
      </c>
      <c r="B502" t="s">
        <v>13</v>
      </c>
      <c r="C502" t="s">
        <v>21</v>
      </c>
      <c r="D502" s="1">
        <v>60000</v>
      </c>
      <c r="E502">
        <v>5</v>
      </c>
      <c r="F502" t="s">
        <v>15</v>
      </c>
      <c r="G502" t="s">
        <v>24</v>
      </c>
      <c r="H502" t="s">
        <v>17</v>
      </c>
      <c r="I502">
        <v>1</v>
      </c>
      <c r="J502" t="s">
        <v>25</v>
      </c>
      <c r="K502" t="s">
        <v>35</v>
      </c>
      <c r="L502" t="str" cm="1">
        <f t="array" ref="L502">_xlfn.IFS(bike_buyers[[#This Row],[Age]]&gt;= 70, "senior citizen", bike_buyers[[#This Row],[Age]]&gt;=55, "middle age",  bike_buyers[[#This Row],[Age]]&gt;=40,"mature adult ", bike_buyers[[#This Row],[Age]]&gt;=30, "adults", bike_buyers[[#This Row],[Age]]&gt;= 20, "young adults")</f>
        <v xml:space="preserve">mature adult </v>
      </c>
      <c r="M502">
        <v>47</v>
      </c>
      <c r="N502" t="s">
        <v>20</v>
      </c>
    </row>
    <row r="503" spans="1:14" x14ac:dyDescent="0.25">
      <c r="A503">
        <v>19235</v>
      </c>
      <c r="B503" t="s">
        <v>13</v>
      </c>
      <c r="C503" t="s">
        <v>14</v>
      </c>
      <c r="D503" s="1">
        <v>50000</v>
      </c>
      <c r="E503">
        <v>0</v>
      </c>
      <c r="F503" t="s">
        <v>34</v>
      </c>
      <c r="G503" t="s">
        <v>16</v>
      </c>
      <c r="H503" t="s">
        <v>17</v>
      </c>
      <c r="I503">
        <v>0</v>
      </c>
      <c r="J503" t="s">
        <v>18</v>
      </c>
      <c r="K503" t="s">
        <v>35</v>
      </c>
      <c r="L503" t="str" cm="1">
        <f t="array" ref="L503">_xlfn.IFS(bike_buyers[[#This Row],[Age]]&gt;= 70, "senior citizen", bike_buyers[[#This Row],[Age]]&gt;=55, "middle age",  bike_buyers[[#This Row],[Age]]&gt;=40,"mature adult ", bike_buyers[[#This Row],[Age]]&gt;=30, "adults", bike_buyers[[#This Row],[Age]]&gt;= 20, "young adults")</f>
        <v>adults</v>
      </c>
      <c r="M503">
        <v>34</v>
      </c>
      <c r="N503" t="s">
        <v>20</v>
      </c>
    </row>
    <row r="504" spans="1:14" x14ac:dyDescent="0.25">
      <c r="A504">
        <v>15275</v>
      </c>
      <c r="B504" t="s">
        <v>13</v>
      </c>
      <c r="C504" t="s">
        <v>21</v>
      </c>
      <c r="D504" s="1">
        <v>40000</v>
      </c>
      <c r="E504">
        <v>0</v>
      </c>
      <c r="F504" t="s">
        <v>22</v>
      </c>
      <c r="G504" t="s">
        <v>16</v>
      </c>
      <c r="H504" t="s">
        <v>17</v>
      </c>
      <c r="I504">
        <v>1</v>
      </c>
      <c r="J504" t="s">
        <v>27</v>
      </c>
      <c r="K504" t="s">
        <v>35</v>
      </c>
      <c r="L504" t="str" cm="1">
        <f t="array" ref="L504">_xlfn.IFS(bike_buyers[[#This Row],[Age]]&gt;= 70, "senior citizen", bike_buyers[[#This Row],[Age]]&gt;=55, "middle age",  bike_buyers[[#This Row],[Age]]&gt;=40,"mature adult ", bike_buyers[[#This Row],[Age]]&gt;=30, "adults", bike_buyers[[#This Row],[Age]]&gt;= 20, "young adults")</f>
        <v>young adults</v>
      </c>
      <c r="M504">
        <v>29</v>
      </c>
      <c r="N504" t="s">
        <v>20</v>
      </c>
    </row>
    <row r="505" spans="1:14" x14ac:dyDescent="0.25">
      <c r="A505">
        <v>20339</v>
      </c>
      <c r="B505" t="s">
        <v>13</v>
      </c>
      <c r="C505" t="s">
        <v>14</v>
      </c>
      <c r="D505" s="1">
        <v>130000</v>
      </c>
      <c r="E505">
        <v>1</v>
      </c>
      <c r="F505" t="s">
        <v>15</v>
      </c>
      <c r="G505" t="s">
        <v>32</v>
      </c>
      <c r="H505" t="s">
        <v>17</v>
      </c>
      <c r="I505">
        <v>4</v>
      </c>
      <c r="J505" t="s">
        <v>25</v>
      </c>
      <c r="K505" t="s">
        <v>35</v>
      </c>
      <c r="L505" t="str" cm="1">
        <f t="array" ref="L505">_xlfn.IFS(bike_buyers[[#This Row],[Age]]&gt;= 70, "senior citizen", bike_buyers[[#This Row],[Age]]&gt;=55, "middle age",  bike_buyers[[#This Row],[Age]]&gt;=40,"mature adult ", bike_buyers[[#This Row],[Age]]&gt;=30, "adults", bike_buyers[[#This Row],[Age]]&gt;= 20, "young adults")</f>
        <v xml:space="preserve">mature adult </v>
      </c>
      <c r="M505">
        <v>44</v>
      </c>
      <c r="N505" t="s">
        <v>17</v>
      </c>
    </row>
    <row r="506" spans="1:14" x14ac:dyDescent="0.25">
      <c r="A506">
        <v>25405</v>
      </c>
      <c r="B506" t="s">
        <v>13</v>
      </c>
      <c r="C506" t="s">
        <v>21</v>
      </c>
      <c r="D506" s="1">
        <v>70000</v>
      </c>
      <c r="E506">
        <v>2</v>
      </c>
      <c r="F506" t="s">
        <v>15</v>
      </c>
      <c r="G506" t="s">
        <v>16</v>
      </c>
      <c r="H506" t="s">
        <v>17</v>
      </c>
      <c r="I506">
        <v>1</v>
      </c>
      <c r="J506" t="s">
        <v>25</v>
      </c>
      <c r="K506" t="s">
        <v>35</v>
      </c>
      <c r="L506" t="str" cm="1">
        <f t="array" ref="L506">_xlfn.IFS(bike_buyers[[#This Row],[Age]]&gt;= 70, "senior citizen", bike_buyers[[#This Row],[Age]]&gt;=55, "middle age",  bike_buyers[[#This Row],[Age]]&gt;=40,"mature adult ", bike_buyers[[#This Row],[Age]]&gt;=30, "adults", bike_buyers[[#This Row],[Age]]&gt;= 20, "young adults")</f>
        <v>adults</v>
      </c>
      <c r="M506">
        <v>38</v>
      </c>
      <c r="N506" t="s">
        <v>17</v>
      </c>
    </row>
    <row r="507" spans="1:14" x14ac:dyDescent="0.25">
      <c r="A507">
        <v>15940</v>
      </c>
      <c r="B507" t="s">
        <v>13</v>
      </c>
      <c r="C507" t="s">
        <v>21</v>
      </c>
      <c r="D507" s="1">
        <v>100000</v>
      </c>
      <c r="E507">
        <v>4</v>
      </c>
      <c r="F507" t="s">
        <v>22</v>
      </c>
      <c r="G507" t="s">
        <v>24</v>
      </c>
      <c r="H507" t="s">
        <v>17</v>
      </c>
      <c r="I507">
        <v>4</v>
      </c>
      <c r="J507" t="s">
        <v>18</v>
      </c>
      <c r="K507" t="s">
        <v>35</v>
      </c>
      <c r="L507" t="str" cm="1">
        <f t="array" ref="L507">_xlfn.IFS(bike_buyers[[#This Row],[Age]]&gt;= 70, "senior citizen", bike_buyers[[#This Row],[Age]]&gt;=55, "middle age",  bike_buyers[[#This Row],[Age]]&gt;=40,"mature adult ", bike_buyers[[#This Row],[Age]]&gt;=30, "adults", bike_buyers[[#This Row],[Age]]&gt;= 20, "young adults")</f>
        <v xml:space="preserve">mature adult </v>
      </c>
      <c r="M507">
        <v>40</v>
      </c>
      <c r="N507" t="s">
        <v>20</v>
      </c>
    </row>
    <row r="508" spans="1:14" x14ac:dyDescent="0.25">
      <c r="A508">
        <v>25074</v>
      </c>
      <c r="B508" t="s">
        <v>13</v>
      </c>
      <c r="C508" t="s">
        <v>14</v>
      </c>
      <c r="D508" s="1">
        <v>70000</v>
      </c>
      <c r="E508">
        <v>4</v>
      </c>
      <c r="F508" t="s">
        <v>15</v>
      </c>
      <c r="G508" t="s">
        <v>24</v>
      </c>
      <c r="H508" t="s">
        <v>17</v>
      </c>
      <c r="I508">
        <v>2</v>
      </c>
      <c r="J508" t="s">
        <v>25</v>
      </c>
      <c r="K508" t="s">
        <v>35</v>
      </c>
      <c r="L508" t="str" cm="1">
        <f t="array" ref="L508">_xlfn.IFS(bike_buyers[[#This Row],[Age]]&gt;= 70, "senior citizen", bike_buyers[[#This Row],[Age]]&gt;=55, "middle age",  bike_buyers[[#This Row],[Age]]&gt;=40,"mature adult ", bike_buyers[[#This Row],[Age]]&gt;=30, "adults", bike_buyers[[#This Row],[Age]]&gt;= 20, "young adults")</f>
        <v xml:space="preserve">mature adult </v>
      </c>
      <c r="M508">
        <v>42</v>
      </c>
      <c r="N508" t="s">
        <v>17</v>
      </c>
    </row>
    <row r="509" spans="1:14" x14ac:dyDescent="0.25">
      <c r="A509">
        <v>24738</v>
      </c>
      <c r="B509" t="s">
        <v>13</v>
      </c>
      <c r="C509" t="s">
        <v>14</v>
      </c>
      <c r="D509" s="1">
        <v>40000</v>
      </c>
      <c r="E509">
        <v>1</v>
      </c>
      <c r="F509" t="s">
        <v>22</v>
      </c>
      <c r="G509" t="s">
        <v>23</v>
      </c>
      <c r="H509" t="s">
        <v>17</v>
      </c>
      <c r="I509">
        <v>1</v>
      </c>
      <c r="J509" t="s">
        <v>30</v>
      </c>
      <c r="K509" t="s">
        <v>35</v>
      </c>
      <c r="L509" t="str" cm="1">
        <f t="array" ref="L509">_xlfn.IFS(bike_buyers[[#This Row],[Age]]&gt;= 70, "senior citizen", bike_buyers[[#This Row],[Age]]&gt;=55, "middle age",  bike_buyers[[#This Row],[Age]]&gt;=40,"mature adult ", bike_buyers[[#This Row],[Age]]&gt;=30, "adults", bike_buyers[[#This Row],[Age]]&gt;= 20, "young adults")</f>
        <v xml:space="preserve">mature adult </v>
      </c>
      <c r="M509">
        <v>51</v>
      </c>
      <c r="N509" t="s">
        <v>17</v>
      </c>
    </row>
    <row r="510" spans="1:14" x14ac:dyDescent="0.25">
      <c r="A510">
        <v>16337</v>
      </c>
      <c r="B510" t="s">
        <v>13</v>
      </c>
      <c r="C510" t="s">
        <v>21</v>
      </c>
      <c r="D510" s="1">
        <v>60000</v>
      </c>
      <c r="E510">
        <v>0</v>
      </c>
      <c r="F510" t="s">
        <v>22</v>
      </c>
      <c r="G510" t="s">
        <v>16</v>
      </c>
      <c r="H510" t="s">
        <v>20</v>
      </c>
      <c r="I510">
        <v>2</v>
      </c>
      <c r="J510" t="s">
        <v>30</v>
      </c>
      <c r="K510" t="s">
        <v>35</v>
      </c>
      <c r="L510" t="str" cm="1">
        <f t="array" ref="L510">_xlfn.IFS(bike_buyers[[#This Row],[Age]]&gt;= 70, "senior citizen", bike_buyers[[#This Row],[Age]]&gt;=55, "middle age",  bike_buyers[[#This Row],[Age]]&gt;=40,"mature adult ", bike_buyers[[#This Row],[Age]]&gt;=30, "adults", bike_buyers[[#This Row],[Age]]&gt;= 20, "young adults")</f>
        <v>young adults</v>
      </c>
      <c r="M510">
        <v>29</v>
      </c>
      <c r="N510" t="s">
        <v>20</v>
      </c>
    </row>
    <row r="511" spans="1:14" x14ac:dyDescent="0.25">
      <c r="A511">
        <v>24357</v>
      </c>
      <c r="B511" t="s">
        <v>13</v>
      </c>
      <c r="C511" t="s">
        <v>21</v>
      </c>
      <c r="D511" s="1">
        <v>80000</v>
      </c>
      <c r="E511">
        <v>3</v>
      </c>
      <c r="F511" t="s">
        <v>15</v>
      </c>
      <c r="G511" t="s">
        <v>24</v>
      </c>
      <c r="H511" t="s">
        <v>17</v>
      </c>
      <c r="I511">
        <v>1</v>
      </c>
      <c r="J511" t="s">
        <v>25</v>
      </c>
      <c r="K511" t="s">
        <v>35</v>
      </c>
      <c r="L511" t="str" cm="1">
        <f t="array" ref="L511">_xlfn.IFS(bike_buyers[[#This Row],[Age]]&gt;= 70, "senior citizen", bike_buyers[[#This Row],[Age]]&gt;=55, "middle age",  bike_buyers[[#This Row],[Age]]&gt;=40,"mature adult ", bike_buyers[[#This Row],[Age]]&gt;=30, "adults", bike_buyers[[#This Row],[Age]]&gt;= 20, "young adults")</f>
        <v xml:space="preserve">mature adult </v>
      </c>
      <c r="M511">
        <v>48</v>
      </c>
      <c r="N511" t="s">
        <v>17</v>
      </c>
    </row>
    <row r="512" spans="1:14" x14ac:dyDescent="0.25">
      <c r="A512">
        <v>18613</v>
      </c>
      <c r="B512" t="s">
        <v>26</v>
      </c>
      <c r="C512" t="s">
        <v>21</v>
      </c>
      <c r="D512" s="1">
        <v>70000</v>
      </c>
      <c r="E512">
        <v>0</v>
      </c>
      <c r="F512" t="s">
        <v>15</v>
      </c>
      <c r="G512" t="s">
        <v>24</v>
      </c>
      <c r="H512" t="s">
        <v>20</v>
      </c>
      <c r="I512">
        <v>1</v>
      </c>
      <c r="J512" t="s">
        <v>25</v>
      </c>
      <c r="K512" t="s">
        <v>35</v>
      </c>
      <c r="L512" t="str" cm="1">
        <f t="array" ref="L512">_xlfn.IFS(bike_buyers[[#This Row],[Age]]&gt;= 70, "senior citizen", bike_buyers[[#This Row],[Age]]&gt;=55, "middle age",  bike_buyers[[#This Row],[Age]]&gt;=40,"mature adult ", bike_buyers[[#This Row],[Age]]&gt;=30, "adults", bike_buyers[[#This Row],[Age]]&gt;= 20, "young adults")</f>
        <v>adults</v>
      </c>
      <c r="M512">
        <v>37</v>
      </c>
      <c r="N512" t="s">
        <v>17</v>
      </c>
    </row>
    <row r="513" spans="1:14" x14ac:dyDescent="0.25">
      <c r="A513">
        <v>12207</v>
      </c>
      <c r="B513" t="s">
        <v>26</v>
      </c>
      <c r="C513" t="s">
        <v>21</v>
      </c>
      <c r="D513" s="1">
        <v>80000</v>
      </c>
      <c r="E513">
        <v>4</v>
      </c>
      <c r="F513" t="s">
        <v>15</v>
      </c>
      <c r="G513" t="s">
        <v>32</v>
      </c>
      <c r="H513" t="s">
        <v>17</v>
      </c>
      <c r="I513">
        <v>0</v>
      </c>
      <c r="J513" t="s">
        <v>27</v>
      </c>
      <c r="K513" t="s">
        <v>35</v>
      </c>
      <c r="L513" t="str" cm="1">
        <f t="array" ref="L513">_xlfn.IFS(bike_buyers[[#This Row],[Age]]&gt;= 70, "senior citizen", bike_buyers[[#This Row],[Age]]&gt;=55, "middle age",  bike_buyers[[#This Row],[Age]]&gt;=40,"mature adult ", bike_buyers[[#This Row],[Age]]&gt;=30, "adults", bike_buyers[[#This Row],[Age]]&gt;= 20, "young adults")</f>
        <v>middle age</v>
      </c>
      <c r="M513">
        <v>66</v>
      </c>
      <c r="N513" t="s">
        <v>17</v>
      </c>
    </row>
    <row r="514" spans="1:14" x14ac:dyDescent="0.25">
      <c r="A514">
        <v>18052</v>
      </c>
      <c r="B514" t="s">
        <v>13</v>
      </c>
      <c r="C514" t="s">
        <v>14</v>
      </c>
      <c r="D514" s="1">
        <v>60000</v>
      </c>
      <c r="E514">
        <v>1</v>
      </c>
      <c r="F514" t="s">
        <v>22</v>
      </c>
      <c r="G514" t="s">
        <v>16</v>
      </c>
      <c r="H514" t="s">
        <v>17</v>
      </c>
      <c r="I514">
        <v>1</v>
      </c>
      <c r="J514" t="s">
        <v>18</v>
      </c>
      <c r="K514" t="s">
        <v>35</v>
      </c>
      <c r="L514" t="str" cm="1">
        <f t="array" ref="L514">_xlfn.IFS(bike_buyers[[#This Row],[Age]]&gt;= 70, "senior citizen", bike_buyers[[#This Row],[Age]]&gt;=55, "middle age",  bike_buyers[[#This Row],[Age]]&gt;=40,"mature adult ", bike_buyers[[#This Row],[Age]]&gt;=30, "adults", bike_buyers[[#This Row],[Age]]&gt;= 20, "young adults")</f>
        <v xml:space="preserve">mature adult </v>
      </c>
      <c r="M514">
        <v>45</v>
      </c>
      <c r="N514" t="s">
        <v>17</v>
      </c>
    </row>
    <row r="515" spans="1:14" x14ac:dyDescent="0.25">
      <c r="A515">
        <v>13353</v>
      </c>
      <c r="B515" t="s">
        <v>26</v>
      </c>
      <c r="C515" t="s">
        <v>14</v>
      </c>
      <c r="D515" s="1">
        <v>60000</v>
      </c>
      <c r="E515">
        <v>4</v>
      </c>
      <c r="F515" t="s">
        <v>34</v>
      </c>
      <c r="G515" t="s">
        <v>32</v>
      </c>
      <c r="H515" t="s">
        <v>17</v>
      </c>
      <c r="I515">
        <v>2</v>
      </c>
      <c r="J515" t="s">
        <v>41</v>
      </c>
      <c r="K515" t="s">
        <v>35</v>
      </c>
      <c r="L515" t="str" cm="1">
        <f t="array" ref="L515">_xlfn.IFS(bike_buyers[[#This Row],[Age]]&gt;= 70, "senior citizen", bike_buyers[[#This Row],[Age]]&gt;=55, "middle age",  bike_buyers[[#This Row],[Age]]&gt;=40,"mature adult ", bike_buyers[[#This Row],[Age]]&gt;=30, "adults", bike_buyers[[#This Row],[Age]]&gt;= 20, "young adults")</f>
        <v>middle age</v>
      </c>
      <c r="M515">
        <v>61</v>
      </c>
      <c r="N515" t="s">
        <v>17</v>
      </c>
    </row>
    <row r="516" spans="1:14" x14ac:dyDescent="0.25">
      <c r="A516">
        <v>19399</v>
      </c>
      <c r="B516" t="s">
        <v>26</v>
      </c>
      <c r="C516" t="s">
        <v>21</v>
      </c>
      <c r="D516" s="1">
        <v>40000</v>
      </c>
      <c r="E516">
        <v>0</v>
      </c>
      <c r="F516" t="s">
        <v>15</v>
      </c>
      <c r="G516" t="s">
        <v>24</v>
      </c>
      <c r="H516" t="s">
        <v>20</v>
      </c>
      <c r="I516">
        <v>1</v>
      </c>
      <c r="J516" t="s">
        <v>25</v>
      </c>
      <c r="K516" t="s">
        <v>35</v>
      </c>
      <c r="L516" t="str" cm="1">
        <f t="array" ref="L516">_xlfn.IFS(bike_buyers[[#This Row],[Age]]&gt;= 70, "senior citizen", bike_buyers[[#This Row],[Age]]&gt;=55, "middle age",  bike_buyers[[#This Row],[Age]]&gt;=40,"mature adult ", bike_buyers[[#This Row],[Age]]&gt;=30, "adults", bike_buyers[[#This Row],[Age]]&gt;= 20, "young adults")</f>
        <v xml:space="preserve">mature adult </v>
      </c>
      <c r="M516">
        <v>45</v>
      </c>
      <c r="N516" t="s">
        <v>20</v>
      </c>
    </row>
    <row r="517" spans="1:14" x14ac:dyDescent="0.25">
      <c r="A517">
        <v>16154</v>
      </c>
      <c r="B517" t="s">
        <v>13</v>
      </c>
      <c r="C517" t="s">
        <v>14</v>
      </c>
      <c r="D517" s="1">
        <v>70000</v>
      </c>
      <c r="E517">
        <v>5</v>
      </c>
      <c r="F517" t="s">
        <v>15</v>
      </c>
      <c r="G517" t="s">
        <v>24</v>
      </c>
      <c r="H517" t="s">
        <v>17</v>
      </c>
      <c r="I517">
        <v>2</v>
      </c>
      <c r="J517" t="s">
        <v>25</v>
      </c>
      <c r="K517" t="s">
        <v>35</v>
      </c>
      <c r="L517" t="str" cm="1">
        <f t="array" ref="L517">_xlfn.IFS(bike_buyers[[#This Row],[Age]]&gt;= 70, "senior citizen", bike_buyers[[#This Row],[Age]]&gt;=55, "middle age",  bike_buyers[[#This Row],[Age]]&gt;=40,"mature adult ", bike_buyers[[#This Row],[Age]]&gt;=30, "adults", bike_buyers[[#This Row],[Age]]&gt;= 20, "young adults")</f>
        <v xml:space="preserve">mature adult </v>
      </c>
      <c r="M517">
        <v>47</v>
      </c>
      <c r="N517" t="s">
        <v>20</v>
      </c>
    </row>
    <row r="518" spans="1:14" x14ac:dyDescent="0.25">
      <c r="A518">
        <v>22219</v>
      </c>
      <c r="B518" t="s">
        <v>13</v>
      </c>
      <c r="C518" t="s">
        <v>14</v>
      </c>
      <c r="D518" s="1">
        <v>60000</v>
      </c>
      <c r="E518">
        <v>2</v>
      </c>
      <c r="F518" t="s">
        <v>31</v>
      </c>
      <c r="G518" t="s">
        <v>24</v>
      </c>
      <c r="H518" t="s">
        <v>17</v>
      </c>
      <c r="I518">
        <v>2</v>
      </c>
      <c r="J518" t="s">
        <v>27</v>
      </c>
      <c r="K518" t="s">
        <v>35</v>
      </c>
      <c r="L518" t="str" cm="1">
        <f t="array" ref="L518">_xlfn.IFS(bike_buyers[[#This Row],[Age]]&gt;= 70, "senior citizen", bike_buyers[[#This Row],[Age]]&gt;=55, "middle age",  bike_buyers[[#This Row],[Age]]&gt;=40,"mature adult ", bike_buyers[[#This Row],[Age]]&gt;=30, "adults", bike_buyers[[#This Row],[Age]]&gt;= 20, "young adults")</f>
        <v xml:space="preserve">mature adult </v>
      </c>
      <c r="M518">
        <v>49</v>
      </c>
      <c r="N518" t="s">
        <v>20</v>
      </c>
    </row>
    <row r="519" spans="1:14" x14ac:dyDescent="0.25">
      <c r="A519">
        <v>17269</v>
      </c>
      <c r="B519" t="s">
        <v>26</v>
      </c>
      <c r="C519" t="s">
        <v>21</v>
      </c>
      <c r="D519" s="1">
        <v>60000</v>
      </c>
      <c r="E519">
        <v>3</v>
      </c>
      <c r="F519" t="s">
        <v>15</v>
      </c>
      <c r="G519" t="s">
        <v>24</v>
      </c>
      <c r="H519" t="s">
        <v>20</v>
      </c>
      <c r="I519">
        <v>0</v>
      </c>
      <c r="J519" t="s">
        <v>18</v>
      </c>
      <c r="K519" t="s">
        <v>35</v>
      </c>
      <c r="L519" t="str" cm="1">
        <f t="array" ref="L519">_xlfn.IFS(bike_buyers[[#This Row],[Age]]&gt;= 70, "senior citizen", bike_buyers[[#This Row],[Age]]&gt;=55, "middle age",  bike_buyers[[#This Row],[Age]]&gt;=40,"mature adult ", bike_buyers[[#This Row],[Age]]&gt;=30, "adults", bike_buyers[[#This Row],[Age]]&gt;= 20, "young adults")</f>
        <v xml:space="preserve">mature adult </v>
      </c>
      <c r="M519">
        <v>47</v>
      </c>
      <c r="N519" t="s">
        <v>17</v>
      </c>
    </row>
    <row r="520" spans="1:14" x14ac:dyDescent="0.25">
      <c r="A520">
        <v>23586</v>
      </c>
      <c r="B520" t="s">
        <v>13</v>
      </c>
      <c r="C520" t="s">
        <v>14</v>
      </c>
      <c r="D520" s="1">
        <v>80000</v>
      </c>
      <c r="E520">
        <v>0</v>
      </c>
      <c r="F520" t="s">
        <v>15</v>
      </c>
      <c r="G520" t="s">
        <v>32</v>
      </c>
      <c r="H520" t="s">
        <v>17</v>
      </c>
      <c r="I520">
        <v>1</v>
      </c>
      <c r="J520" t="s">
        <v>30</v>
      </c>
      <c r="K520" t="s">
        <v>35</v>
      </c>
      <c r="L520" t="str" cm="1">
        <f t="array" ref="L520">_xlfn.IFS(bike_buyers[[#This Row],[Age]]&gt;= 70, "senior citizen", bike_buyers[[#This Row],[Age]]&gt;=55, "middle age",  bike_buyers[[#This Row],[Age]]&gt;=40,"mature adult ", bike_buyers[[#This Row],[Age]]&gt;=30, "adults", bike_buyers[[#This Row],[Age]]&gt;= 20, "young adults")</f>
        <v>adults</v>
      </c>
      <c r="M520">
        <v>34</v>
      </c>
      <c r="N520" t="s">
        <v>17</v>
      </c>
    </row>
    <row r="521" spans="1:14" x14ac:dyDescent="0.25">
      <c r="A521">
        <v>15740</v>
      </c>
      <c r="B521" t="s">
        <v>13</v>
      </c>
      <c r="C521" t="s">
        <v>21</v>
      </c>
      <c r="D521" s="1">
        <v>80000</v>
      </c>
      <c r="E521">
        <v>5</v>
      </c>
      <c r="F521" t="s">
        <v>15</v>
      </c>
      <c r="G521" t="s">
        <v>32</v>
      </c>
      <c r="H521" t="s">
        <v>17</v>
      </c>
      <c r="I521">
        <v>2</v>
      </c>
      <c r="J521" t="s">
        <v>30</v>
      </c>
      <c r="K521" t="s">
        <v>35</v>
      </c>
      <c r="L521" t="str" cm="1">
        <f t="array" ref="L521">_xlfn.IFS(bike_buyers[[#This Row],[Age]]&gt;= 70, "senior citizen", bike_buyers[[#This Row],[Age]]&gt;=55, "middle age",  bike_buyers[[#This Row],[Age]]&gt;=40,"mature adult ", bike_buyers[[#This Row],[Age]]&gt;=30, "adults", bike_buyers[[#This Row],[Age]]&gt;= 20, "young adults")</f>
        <v>middle age</v>
      </c>
      <c r="M521">
        <v>64</v>
      </c>
      <c r="N521" t="s">
        <v>20</v>
      </c>
    </row>
    <row r="522" spans="1:14" x14ac:dyDescent="0.25">
      <c r="A522">
        <v>27638</v>
      </c>
      <c r="B522" t="s">
        <v>26</v>
      </c>
      <c r="C522" t="s">
        <v>21</v>
      </c>
      <c r="D522" s="1">
        <v>100000</v>
      </c>
      <c r="E522">
        <v>1</v>
      </c>
      <c r="F522" t="s">
        <v>22</v>
      </c>
      <c r="G522" t="s">
        <v>24</v>
      </c>
      <c r="H522" t="s">
        <v>20</v>
      </c>
      <c r="I522">
        <v>3</v>
      </c>
      <c r="J522" t="s">
        <v>30</v>
      </c>
      <c r="K522" t="s">
        <v>35</v>
      </c>
      <c r="L522" t="str" cm="1">
        <f t="array" ref="L522">_xlfn.IFS(bike_buyers[[#This Row],[Age]]&gt;= 70, "senior citizen", bike_buyers[[#This Row],[Age]]&gt;=55, "middle age",  bike_buyers[[#This Row],[Age]]&gt;=40,"mature adult ", bike_buyers[[#This Row],[Age]]&gt;=30, "adults", bike_buyers[[#This Row],[Age]]&gt;= 20, "young adults")</f>
        <v xml:space="preserve">mature adult </v>
      </c>
      <c r="M522">
        <v>44</v>
      </c>
      <c r="N522" t="s">
        <v>20</v>
      </c>
    </row>
    <row r="523" spans="1:14" x14ac:dyDescent="0.25">
      <c r="A523">
        <v>18976</v>
      </c>
      <c r="B523" t="s">
        <v>26</v>
      </c>
      <c r="C523" t="s">
        <v>21</v>
      </c>
      <c r="D523" s="1">
        <v>40000</v>
      </c>
      <c r="E523">
        <v>4</v>
      </c>
      <c r="F523" t="s">
        <v>31</v>
      </c>
      <c r="G523" t="s">
        <v>24</v>
      </c>
      <c r="H523" t="s">
        <v>17</v>
      </c>
      <c r="I523">
        <v>2</v>
      </c>
      <c r="J523" t="s">
        <v>41</v>
      </c>
      <c r="K523" t="s">
        <v>35</v>
      </c>
      <c r="L523" t="str" cm="1">
        <f t="array" ref="L523">_xlfn.IFS(bike_buyers[[#This Row],[Age]]&gt;= 70, "senior citizen", bike_buyers[[#This Row],[Age]]&gt;=55, "middle age",  bike_buyers[[#This Row],[Age]]&gt;=40,"mature adult ", bike_buyers[[#This Row],[Age]]&gt;=30, "adults", bike_buyers[[#This Row],[Age]]&gt;= 20, "young adults")</f>
        <v>middle age</v>
      </c>
      <c r="M523">
        <v>62</v>
      </c>
      <c r="N523" t="s">
        <v>17</v>
      </c>
    </row>
    <row r="524" spans="1:14" x14ac:dyDescent="0.25">
      <c r="A524">
        <v>19413</v>
      </c>
      <c r="B524" t="s">
        <v>26</v>
      </c>
      <c r="C524" t="s">
        <v>21</v>
      </c>
      <c r="D524" s="1">
        <v>60000</v>
      </c>
      <c r="E524">
        <v>3</v>
      </c>
      <c r="F524" t="s">
        <v>15</v>
      </c>
      <c r="G524" t="s">
        <v>24</v>
      </c>
      <c r="H524" t="s">
        <v>20</v>
      </c>
      <c r="I524">
        <v>1</v>
      </c>
      <c r="J524" t="s">
        <v>18</v>
      </c>
      <c r="K524" t="s">
        <v>35</v>
      </c>
      <c r="L524" t="str" cm="1">
        <f t="array" ref="L524">_xlfn.IFS(bike_buyers[[#This Row],[Age]]&gt;= 70, "senior citizen", bike_buyers[[#This Row],[Age]]&gt;=55, "middle age",  bike_buyers[[#This Row],[Age]]&gt;=40,"mature adult ", bike_buyers[[#This Row],[Age]]&gt;=30, "adults", bike_buyers[[#This Row],[Age]]&gt;= 20, "young adults")</f>
        <v xml:space="preserve">mature adult </v>
      </c>
      <c r="M524">
        <v>47</v>
      </c>
      <c r="N524" t="s">
        <v>17</v>
      </c>
    </row>
    <row r="525" spans="1:14" x14ac:dyDescent="0.25">
      <c r="A525">
        <v>13283</v>
      </c>
      <c r="B525" t="s">
        <v>13</v>
      </c>
      <c r="C525" t="s">
        <v>21</v>
      </c>
      <c r="D525" s="1">
        <v>80000</v>
      </c>
      <c r="E525">
        <v>3</v>
      </c>
      <c r="F525" t="s">
        <v>22</v>
      </c>
      <c r="G525" t="s">
        <v>24</v>
      </c>
      <c r="H525" t="s">
        <v>20</v>
      </c>
      <c r="I525">
        <v>2</v>
      </c>
      <c r="J525" t="s">
        <v>18</v>
      </c>
      <c r="K525" t="s">
        <v>35</v>
      </c>
      <c r="L525" t="str" cm="1">
        <f t="array" ref="L525">_xlfn.IFS(bike_buyers[[#This Row],[Age]]&gt;= 70, "senior citizen", bike_buyers[[#This Row],[Age]]&gt;=55, "middle age",  bike_buyers[[#This Row],[Age]]&gt;=40,"mature adult ", bike_buyers[[#This Row],[Age]]&gt;=30, "adults", bike_buyers[[#This Row],[Age]]&gt;= 20, "young adults")</f>
        <v xml:space="preserve">mature adult </v>
      </c>
      <c r="M525">
        <v>49</v>
      </c>
      <c r="N525" t="s">
        <v>17</v>
      </c>
    </row>
    <row r="526" spans="1:14" x14ac:dyDescent="0.25">
      <c r="A526">
        <v>17471</v>
      </c>
      <c r="B526" t="s">
        <v>26</v>
      </c>
      <c r="C526" t="s">
        <v>14</v>
      </c>
      <c r="D526" s="1">
        <v>80000</v>
      </c>
      <c r="E526">
        <v>4</v>
      </c>
      <c r="F526" t="s">
        <v>34</v>
      </c>
      <c r="G526" t="s">
        <v>32</v>
      </c>
      <c r="H526" t="s">
        <v>17</v>
      </c>
      <c r="I526">
        <v>2</v>
      </c>
      <c r="J526" t="s">
        <v>27</v>
      </c>
      <c r="K526" t="s">
        <v>35</v>
      </c>
      <c r="L526" t="str" cm="1">
        <f t="array" ref="L526">_xlfn.IFS(bike_buyers[[#This Row],[Age]]&gt;= 70, "senior citizen", bike_buyers[[#This Row],[Age]]&gt;=55, "middle age",  bike_buyers[[#This Row],[Age]]&gt;=40,"mature adult ", bike_buyers[[#This Row],[Age]]&gt;=30, "adults", bike_buyers[[#This Row],[Age]]&gt;= 20, "young adults")</f>
        <v>middle age</v>
      </c>
      <c r="M526">
        <v>67</v>
      </c>
      <c r="N526" t="s">
        <v>20</v>
      </c>
    </row>
    <row r="527" spans="1:14" x14ac:dyDescent="0.25">
      <c r="A527">
        <v>16791</v>
      </c>
      <c r="B527" t="s">
        <v>26</v>
      </c>
      <c r="C527" t="s">
        <v>21</v>
      </c>
      <c r="D527" s="1">
        <v>60000</v>
      </c>
      <c r="E527">
        <v>5</v>
      </c>
      <c r="F527" t="s">
        <v>15</v>
      </c>
      <c r="G527" t="s">
        <v>32</v>
      </c>
      <c r="H527" t="s">
        <v>17</v>
      </c>
      <c r="I527">
        <v>3</v>
      </c>
      <c r="J527" t="s">
        <v>41</v>
      </c>
      <c r="K527" t="s">
        <v>35</v>
      </c>
      <c r="L527" t="str" cm="1">
        <f t="array" ref="L527">_xlfn.IFS(bike_buyers[[#This Row],[Age]]&gt;= 70, "senior citizen", bike_buyers[[#This Row],[Age]]&gt;=55, "middle age",  bike_buyers[[#This Row],[Age]]&gt;=40,"mature adult ", bike_buyers[[#This Row],[Age]]&gt;=30, "adults", bike_buyers[[#This Row],[Age]]&gt;= 20, "young adults")</f>
        <v>middle age</v>
      </c>
      <c r="M527">
        <v>59</v>
      </c>
      <c r="N527" t="s">
        <v>17</v>
      </c>
    </row>
    <row r="528" spans="1:14" x14ac:dyDescent="0.25">
      <c r="A528">
        <v>15382</v>
      </c>
      <c r="B528" t="s">
        <v>13</v>
      </c>
      <c r="C528" t="s">
        <v>14</v>
      </c>
      <c r="D528" s="1">
        <v>110000</v>
      </c>
      <c r="E528">
        <v>1</v>
      </c>
      <c r="F528" t="s">
        <v>15</v>
      </c>
      <c r="G528" t="s">
        <v>32</v>
      </c>
      <c r="H528" t="s">
        <v>17</v>
      </c>
      <c r="I528">
        <v>2</v>
      </c>
      <c r="J528" t="s">
        <v>30</v>
      </c>
      <c r="K528" t="s">
        <v>35</v>
      </c>
      <c r="L528" t="str" cm="1">
        <f t="array" ref="L528">_xlfn.IFS(bike_buyers[[#This Row],[Age]]&gt;= 70, "senior citizen", bike_buyers[[#This Row],[Age]]&gt;=55, "middle age",  bike_buyers[[#This Row],[Age]]&gt;=40,"mature adult ", bike_buyers[[#This Row],[Age]]&gt;=30, "adults", bike_buyers[[#This Row],[Age]]&gt;= 20, "young adults")</f>
        <v xml:space="preserve">mature adult </v>
      </c>
      <c r="M528">
        <v>44</v>
      </c>
      <c r="N528" t="s">
        <v>20</v>
      </c>
    </row>
    <row r="529" spans="1:14" x14ac:dyDescent="0.25">
      <c r="A529">
        <v>11641</v>
      </c>
      <c r="B529" t="s">
        <v>13</v>
      </c>
      <c r="C529" t="s">
        <v>21</v>
      </c>
      <c r="D529" s="1">
        <v>50000</v>
      </c>
      <c r="E529">
        <v>1</v>
      </c>
      <c r="F529" t="s">
        <v>15</v>
      </c>
      <c r="G529" t="s">
        <v>16</v>
      </c>
      <c r="H529" t="s">
        <v>17</v>
      </c>
      <c r="I529">
        <v>0</v>
      </c>
      <c r="J529" t="s">
        <v>18</v>
      </c>
      <c r="K529" t="s">
        <v>35</v>
      </c>
      <c r="L529" t="str" cm="1">
        <f t="array" ref="L529">_xlfn.IFS(bike_buyers[[#This Row],[Age]]&gt;= 70, "senior citizen", bike_buyers[[#This Row],[Age]]&gt;=55, "middle age",  bike_buyers[[#This Row],[Age]]&gt;=40,"mature adult ", bike_buyers[[#This Row],[Age]]&gt;=30, "adults", bike_buyers[[#This Row],[Age]]&gt;= 20, "young adults")</f>
        <v>adults</v>
      </c>
      <c r="M529">
        <v>36</v>
      </c>
      <c r="N529" t="s">
        <v>20</v>
      </c>
    </row>
    <row r="530" spans="1:14" x14ac:dyDescent="0.25">
      <c r="A530">
        <v>11935</v>
      </c>
      <c r="B530" t="s">
        <v>26</v>
      </c>
      <c r="C530" t="s">
        <v>14</v>
      </c>
      <c r="D530" s="1">
        <v>30000</v>
      </c>
      <c r="E530">
        <v>0</v>
      </c>
      <c r="F530" t="s">
        <v>22</v>
      </c>
      <c r="G530" t="s">
        <v>16</v>
      </c>
      <c r="H530" t="s">
        <v>17</v>
      </c>
      <c r="I530">
        <v>1</v>
      </c>
      <c r="J530" t="s">
        <v>27</v>
      </c>
      <c r="K530" t="s">
        <v>35</v>
      </c>
      <c r="L530" t="str" cm="1">
        <f t="array" ref="L530">_xlfn.IFS(bike_buyers[[#This Row],[Age]]&gt;= 70, "senior citizen", bike_buyers[[#This Row],[Age]]&gt;=55, "middle age",  bike_buyers[[#This Row],[Age]]&gt;=40,"mature adult ", bike_buyers[[#This Row],[Age]]&gt;=30, "adults", bike_buyers[[#This Row],[Age]]&gt;= 20, "young adults")</f>
        <v>young adults</v>
      </c>
      <c r="M530">
        <v>28</v>
      </c>
      <c r="N530" t="s">
        <v>20</v>
      </c>
    </row>
    <row r="531" spans="1:14" x14ac:dyDescent="0.25">
      <c r="A531">
        <v>13233</v>
      </c>
      <c r="B531" t="s">
        <v>13</v>
      </c>
      <c r="C531" t="s">
        <v>21</v>
      </c>
      <c r="D531" s="1">
        <v>60000</v>
      </c>
      <c r="E531">
        <v>2</v>
      </c>
      <c r="F531" t="s">
        <v>22</v>
      </c>
      <c r="G531" t="s">
        <v>24</v>
      </c>
      <c r="H531" t="s">
        <v>17</v>
      </c>
      <c r="I531">
        <v>1</v>
      </c>
      <c r="J531" t="s">
        <v>41</v>
      </c>
      <c r="K531" t="s">
        <v>35</v>
      </c>
      <c r="L531" t="str" cm="1">
        <f t="array" ref="L531">_xlfn.IFS(bike_buyers[[#This Row],[Age]]&gt;= 70, "senior citizen", bike_buyers[[#This Row],[Age]]&gt;=55, "middle age",  bike_buyers[[#This Row],[Age]]&gt;=40,"mature adult ", bike_buyers[[#This Row],[Age]]&gt;=30, "adults", bike_buyers[[#This Row],[Age]]&gt;= 20, "young adults")</f>
        <v>middle age</v>
      </c>
      <c r="M531">
        <v>57</v>
      </c>
      <c r="N531" t="s">
        <v>17</v>
      </c>
    </row>
    <row r="532" spans="1:14" x14ac:dyDescent="0.25">
      <c r="A532">
        <v>25909</v>
      </c>
      <c r="B532" t="s">
        <v>13</v>
      </c>
      <c r="C532" t="s">
        <v>21</v>
      </c>
      <c r="D532" s="1">
        <v>60000</v>
      </c>
      <c r="E532">
        <v>0</v>
      </c>
      <c r="F532" t="s">
        <v>22</v>
      </c>
      <c r="G532" t="s">
        <v>16</v>
      </c>
      <c r="H532" t="s">
        <v>17</v>
      </c>
      <c r="I532">
        <v>1</v>
      </c>
      <c r="J532" t="s">
        <v>27</v>
      </c>
      <c r="K532" t="s">
        <v>35</v>
      </c>
      <c r="L532" t="str" cm="1">
        <f t="array" ref="L532">_xlfn.IFS(bike_buyers[[#This Row],[Age]]&gt;= 70, "senior citizen", bike_buyers[[#This Row],[Age]]&gt;=55, "middle age",  bike_buyers[[#This Row],[Age]]&gt;=40,"mature adult ", bike_buyers[[#This Row],[Age]]&gt;=30, "adults", bike_buyers[[#This Row],[Age]]&gt;= 20, "young adults")</f>
        <v>young adults</v>
      </c>
      <c r="M532">
        <v>27</v>
      </c>
      <c r="N532" t="s">
        <v>17</v>
      </c>
    </row>
    <row r="533" spans="1:14" x14ac:dyDescent="0.25">
      <c r="A533">
        <v>14092</v>
      </c>
      <c r="B533" t="s">
        <v>26</v>
      </c>
      <c r="C533" t="s">
        <v>21</v>
      </c>
      <c r="D533" s="1">
        <v>30000</v>
      </c>
      <c r="E533">
        <v>0</v>
      </c>
      <c r="F533" t="s">
        <v>33</v>
      </c>
      <c r="G533" t="s">
        <v>23</v>
      </c>
      <c r="H533" t="s">
        <v>17</v>
      </c>
      <c r="I533">
        <v>2</v>
      </c>
      <c r="J533" t="s">
        <v>27</v>
      </c>
      <c r="K533" t="s">
        <v>35</v>
      </c>
      <c r="L533" t="str" cm="1">
        <f t="array" ref="L533">_xlfn.IFS(bike_buyers[[#This Row],[Age]]&gt;= 70, "senior citizen", bike_buyers[[#This Row],[Age]]&gt;=55, "middle age",  bike_buyers[[#This Row],[Age]]&gt;=40,"mature adult ", bike_buyers[[#This Row],[Age]]&gt;=30, "adults", bike_buyers[[#This Row],[Age]]&gt;= 20, "young adults")</f>
        <v>young adults</v>
      </c>
      <c r="M533">
        <v>28</v>
      </c>
      <c r="N533" t="s">
        <v>20</v>
      </c>
    </row>
    <row r="534" spans="1:14" x14ac:dyDescent="0.25">
      <c r="A534">
        <v>29143</v>
      </c>
      <c r="B534" t="s">
        <v>26</v>
      </c>
      <c r="C534" t="s">
        <v>14</v>
      </c>
      <c r="D534" s="1">
        <v>60000</v>
      </c>
      <c r="E534">
        <v>1</v>
      </c>
      <c r="F534" t="s">
        <v>15</v>
      </c>
      <c r="G534" t="s">
        <v>24</v>
      </c>
      <c r="H534" t="s">
        <v>20</v>
      </c>
      <c r="I534">
        <v>1</v>
      </c>
      <c r="J534" t="s">
        <v>18</v>
      </c>
      <c r="K534" t="s">
        <v>35</v>
      </c>
      <c r="L534" t="str" cm="1">
        <f t="array" ref="L534">_xlfn.IFS(bike_buyers[[#This Row],[Age]]&gt;= 70, "senior citizen", bike_buyers[[#This Row],[Age]]&gt;=55, "middle age",  bike_buyers[[#This Row],[Age]]&gt;=40,"mature adult ", bike_buyers[[#This Row],[Age]]&gt;=30, "adults", bike_buyers[[#This Row],[Age]]&gt;= 20, "young adults")</f>
        <v xml:space="preserve">mature adult </v>
      </c>
      <c r="M534">
        <v>44</v>
      </c>
      <c r="N534" t="s">
        <v>17</v>
      </c>
    </row>
    <row r="535" spans="1:14" x14ac:dyDescent="0.25">
      <c r="A535">
        <v>24941</v>
      </c>
      <c r="B535" t="s">
        <v>13</v>
      </c>
      <c r="C535" t="s">
        <v>21</v>
      </c>
      <c r="D535" s="1">
        <v>60000</v>
      </c>
      <c r="E535">
        <v>3</v>
      </c>
      <c r="F535" t="s">
        <v>15</v>
      </c>
      <c r="G535" t="s">
        <v>32</v>
      </c>
      <c r="H535" t="s">
        <v>17</v>
      </c>
      <c r="I535">
        <v>2</v>
      </c>
      <c r="J535" t="s">
        <v>41</v>
      </c>
      <c r="K535" t="s">
        <v>35</v>
      </c>
      <c r="L535" t="str" cm="1">
        <f t="array" ref="L535">_xlfn.IFS(bike_buyers[[#This Row],[Age]]&gt;= 70, "senior citizen", bike_buyers[[#This Row],[Age]]&gt;=55, "middle age",  bike_buyers[[#This Row],[Age]]&gt;=40,"mature adult ", bike_buyers[[#This Row],[Age]]&gt;=30, "adults", bike_buyers[[#This Row],[Age]]&gt;= 20, "young adults")</f>
        <v>middle age</v>
      </c>
      <c r="M535">
        <v>66</v>
      </c>
      <c r="N535" t="s">
        <v>20</v>
      </c>
    </row>
    <row r="536" spans="1:14" x14ac:dyDescent="0.25">
      <c r="A536">
        <v>24637</v>
      </c>
      <c r="B536" t="s">
        <v>13</v>
      </c>
      <c r="C536" t="s">
        <v>21</v>
      </c>
      <c r="D536" s="1">
        <v>40000</v>
      </c>
      <c r="E536">
        <v>4</v>
      </c>
      <c r="F536" t="s">
        <v>31</v>
      </c>
      <c r="G536" t="s">
        <v>24</v>
      </c>
      <c r="H536" t="s">
        <v>17</v>
      </c>
      <c r="I536">
        <v>2</v>
      </c>
      <c r="J536" t="s">
        <v>41</v>
      </c>
      <c r="K536" t="s">
        <v>35</v>
      </c>
      <c r="L536" t="str" cm="1">
        <f t="array" ref="L536">_xlfn.IFS(bike_buyers[[#This Row],[Age]]&gt;= 70, "senior citizen", bike_buyers[[#This Row],[Age]]&gt;=55, "middle age",  bike_buyers[[#This Row],[Age]]&gt;=40,"mature adult ", bike_buyers[[#This Row],[Age]]&gt;=30, "adults", bike_buyers[[#This Row],[Age]]&gt;= 20, "young adults")</f>
        <v>middle age</v>
      </c>
      <c r="M536">
        <v>64</v>
      </c>
      <c r="N536" t="s">
        <v>20</v>
      </c>
    </row>
    <row r="537" spans="1:14" x14ac:dyDescent="0.25">
      <c r="A537">
        <v>23893</v>
      </c>
      <c r="B537" t="s">
        <v>13</v>
      </c>
      <c r="C537" t="s">
        <v>21</v>
      </c>
      <c r="D537" s="1">
        <v>50000</v>
      </c>
      <c r="E537">
        <v>3</v>
      </c>
      <c r="F537" t="s">
        <v>15</v>
      </c>
      <c r="G537" t="s">
        <v>16</v>
      </c>
      <c r="H537" t="s">
        <v>17</v>
      </c>
      <c r="I537">
        <v>3</v>
      </c>
      <c r="J537" t="s">
        <v>41</v>
      </c>
      <c r="K537" t="s">
        <v>35</v>
      </c>
      <c r="L537" t="str" cm="1">
        <f t="array" ref="L537">_xlfn.IFS(bike_buyers[[#This Row],[Age]]&gt;= 70, "senior citizen", bike_buyers[[#This Row],[Age]]&gt;=55, "middle age",  bike_buyers[[#This Row],[Age]]&gt;=40,"mature adult ", bike_buyers[[#This Row],[Age]]&gt;=30, "adults", bike_buyers[[#This Row],[Age]]&gt;= 20, "young adults")</f>
        <v xml:space="preserve">mature adult </v>
      </c>
      <c r="M537">
        <v>41</v>
      </c>
      <c r="N537" t="s">
        <v>20</v>
      </c>
    </row>
    <row r="538" spans="1:14" x14ac:dyDescent="0.25">
      <c r="A538">
        <v>13907</v>
      </c>
      <c r="B538" t="s">
        <v>26</v>
      </c>
      <c r="C538" t="s">
        <v>14</v>
      </c>
      <c r="D538" s="1">
        <v>80000</v>
      </c>
      <c r="E538">
        <v>3</v>
      </c>
      <c r="F538" t="s">
        <v>15</v>
      </c>
      <c r="G538" t="s">
        <v>16</v>
      </c>
      <c r="H538" t="s">
        <v>17</v>
      </c>
      <c r="I538">
        <v>1</v>
      </c>
      <c r="J538" t="s">
        <v>18</v>
      </c>
      <c r="K538" t="s">
        <v>35</v>
      </c>
      <c r="L538" t="str" cm="1">
        <f t="array" ref="L538">_xlfn.IFS(bike_buyers[[#This Row],[Age]]&gt;= 70, "senior citizen", bike_buyers[[#This Row],[Age]]&gt;=55, "middle age",  bike_buyers[[#This Row],[Age]]&gt;=40,"mature adult ", bike_buyers[[#This Row],[Age]]&gt;=30, "adults", bike_buyers[[#This Row],[Age]]&gt;= 20, "young adults")</f>
        <v xml:space="preserve">mature adult </v>
      </c>
      <c r="M538">
        <v>41</v>
      </c>
      <c r="N538" t="s">
        <v>17</v>
      </c>
    </row>
    <row r="539" spans="1:14" x14ac:dyDescent="0.25">
      <c r="A539">
        <v>14900</v>
      </c>
      <c r="B539" t="s">
        <v>13</v>
      </c>
      <c r="C539" t="s">
        <v>14</v>
      </c>
      <c r="D539" s="1">
        <v>40000</v>
      </c>
      <c r="E539">
        <v>1</v>
      </c>
      <c r="F539" t="s">
        <v>22</v>
      </c>
      <c r="G539" t="s">
        <v>23</v>
      </c>
      <c r="H539" t="s">
        <v>17</v>
      </c>
      <c r="I539">
        <v>1</v>
      </c>
      <c r="J539" t="s">
        <v>30</v>
      </c>
      <c r="K539" t="s">
        <v>35</v>
      </c>
      <c r="L539" t="str" cm="1">
        <f t="array" ref="L539">_xlfn.IFS(bike_buyers[[#This Row],[Age]]&gt;= 70, "senior citizen", bike_buyers[[#This Row],[Age]]&gt;=55, "middle age",  bike_buyers[[#This Row],[Age]]&gt;=40,"mature adult ", bike_buyers[[#This Row],[Age]]&gt;=30, "adults", bike_buyers[[#This Row],[Age]]&gt;= 20, "young adults")</f>
        <v xml:space="preserve">mature adult </v>
      </c>
      <c r="M539">
        <v>49</v>
      </c>
      <c r="N539" t="s">
        <v>17</v>
      </c>
    </row>
    <row r="540" spans="1:14" x14ac:dyDescent="0.25">
      <c r="A540">
        <v>11262</v>
      </c>
      <c r="B540" t="s">
        <v>13</v>
      </c>
      <c r="C540" t="s">
        <v>14</v>
      </c>
      <c r="D540" s="1">
        <v>80000</v>
      </c>
      <c r="E540">
        <v>4</v>
      </c>
      <c r="F540" t="s">
        <v>15</v>
      </c>
      <c r="G540" t="s">
        <v>32</v>
      </c>
      <c r="H540" t="s">
        <v>17</v>
      </c>
      <c r="I540">
        <v>0</v>
      </c>
      <c r="J540" t="s">
        <v>18</v>
      </c>
      <c r="K540" t="s">
        <v>35</v>
      </c>
      <c r="L540" t="str" cm="1">
        <f t="array" ref="L540">_xlfn.IFS(bike_buyers[[#This Row],[Age]]&gt;= 70, "senior citizen", bike_buyers[[#This Row],[Age]]&gt;=55, "middle age",  bike_buyers[[#This Row],[Age]]&gt;=40,"mature adult ", bike_buyers[[#This Row],[Age]]&gt;=30, "adults", bike_buyers[[#This Row],[Age]]&gt;= 20, "young adults")</f>
        <v xml:space="preserve">mature adult </v>
      </c>
      <c r="M540">
        <v>42</v>
      </c>
      <c r="N540" t="s">
        <v>20</v>
      </c>
    </row>
    <row r="541" spans="1:14" x14ac:dyDescent="0.25">
      <c r="A541">
        <v>22294</v>
      </c>
      <c r="B541" t="s">
        <v>26</v>
      </c>
      <c r="C541" t="s">
        <v>14</v>
      </c>
      <c r="D541" s="1">
        <v>70000</v>
      </c>
      <c r="E541">
        <v>0</v>
      </c>
      <c r="F541" t="s">
        <v>15</v>
      </c>
      <c r="G541" t="s">
        <v>24</v>
      </c>
      <c r="H541" t="s">
        <v>20</v>
      </c>
      <c r="I541">
        <v>1</v>
      </c>
      <c r="J541" t="s">
        <v>25</v>
      </c>
      <c r="K541" t="s">
        <v>35</v>
      </c>
      <c r="L541" t="str" cm="1">
        <f t="array" ref="L541">_xlfn.IFS(bike_buyers[[#This Row],[Age]]&gt;= 70, "senior citizen", bike_buyers[[#This Row],[Age]]&gt;=55, "middle age",  bike_buyers[[#This Row],[Age]]&gt;=40,"mature adult ", bike_buyers[[#This Row],[Age]]&gt;=30, "adults", bike_buyers[[#This Row],[Age]]&gt;= 20, "young adults")</f>
        <v>adults</v>
      </c>
      <c r="M541">
        <v>37</v>
      </c>
      <c r="N541" t="s">
        <v>17</v>
      </c>
    </row>
    <row r="542" spans="1:14" x14ac:dyDescent="0.25">
      <c r="A542">
        <v>12195</v>
      </c>
      <c r="B542" t="s">
        <v>26</v>
      </c>
      <c r="C542" t="s">
        <v>14</v>
      </c>
      <c r="D542" s="1">
        <v>70000</v>
      </c>
      <c r="E542">
        <v>3</v>
      </c>
      <c r="F542" t="s">
        <v>34</v>
      </c>
      <c r="G542" t="s">
        <v>32</v>
      </c>
      <c r="H542" t="s">
        <v>17</v>
      </c>
      <c r="I542">
        <v>2</v>
      </c>
      <c r="J542" t="s">
        <v>30</v>
      </c>
      <c r="K542" t="s">
        <v>35</v>
      </c>
      <c r="L542" t="str" cm="1">
        <f t="array" ref="L542">_xlfn.IFS(bike_buyers[[#This Row],[Age]]&gt;= 70, "senior citizen", bike_buyers[[#This Row],[Age]]&gt;=55, "middle age",  bike_buyers[[#This Row],[Age]]&gt;=40,"mature adult ", bike_buyers[[#This Row],[Age]]&gt;=30, "adults", bike_buyers[[#This Row],[Age]]&gt;= 20, "young adults")</f>
        <v xml:space="preserve">mature adult </v>
      </c>
      <c r="M542">
        <v>52</v>
      </c>
      <c r="N542" t="s">
        <v>20</v>
      </c>
    </row>
    <row r="543" spans="1:14" x14ac:dyDescent="0.25">
      <c r="A543">
        <v>25375</v>
      </c>
      <c r="B543" t="s">
        <v>13</v>
      </c>
      <c r="C543" t="s">
        <v>21</v>
      </c>
      <c r="D543" s="1">
        <v>50000</v>
      </c>
      <c r="E543">
        <v>1</v>
      </c>
      <c r="F543" t="s">
        <v>34</v>
      </c>
      <c r="G543" t="s">
        <v>16</v>
      </c>
      <c r="H543" t="s">
        <v>17</v>
      </c>
      <c r="I543">
        <v>0</v>
      </c>
      <c r="J543" t="s">
        <v>30</v>
      </c>
      <c r="K543" t="s">
        <v>35</v>
      </c>
      <c r="L543" t="str" cm="1">
        <f t="array" ref="L543">_xlfn.IFS(bike_buyers[[#This Row],[Age]]&gt;= 70, "senior citizen", bike_buyers[[#This Row],[Age]]&gt;=55, "middle age",  bike_buyers[[#This Row],[Age]]&gt;=40,"mature adult ", bike_buyers[[#This Row],[Age]]&gt;=30, "adults", bike_buyers[[#This Row],[Age]]&gt;= 20, "young adults")</f>
        <v>adults</v>
      </c>
      <c r="M543">
        <v>34</v>
      </c>
      <c r="N543" t="s">
        <v>20</v>
      </c>
    </row>
    <row r="544" spans="1:14" x14ac:dyDescent="0.25">
      <c r="A544">
        <v>11143</v>
      </c>
      <c r="B544" t="s">
        <v>13</v>
      </c>
      <c r="C544" t="s">
        <v>21</v>
      </c>
      <c r="D544" s="1">
        <v>40000</v>
      </c>
      <c r="E544">
        <v>0</v>
      </c>
      <c r="F544" t="s">
        <v>31</v>
      </c>
      <c r="G544" t="s">
        <v>16</v>
      </c>
      <c r="H544" t="s">
        <v>17</v>
      </c>
      <c r="I544">
        <v>2</v>
      </c>
      <c r="J544" t="s">
        <v>27</v>
      </c>
      <c r="K544" t="s">
        <v>35</v>
      </c>
      <c r="L544" t="str" cm="1">
        <f t="array" ref="L544">_xlfn.IFS(bike_buyers[[#This Row],[Age]]&gt;= 70, "senior citizen", bike_buyers[[#This Row],[Age]]&gt;=55, "middle age",  bike_buyers[[#This Row],[Age]]&gt;=40,"mature adult ", bike_buyers[[#This Row],[Age]]&gt;=30, "adults", bike_buyers[[#This Row],[Age]]&gt;= 20, "young adults")</f>
        <v>young adults</v>
      </c>
      <c r="M544">
        <v>29</v>
      </c>
      <c r="N544" t="s">
        <v>20</v>
      </c>
    </row>
    <row r="545" spans="1:14" x14ac:dyDescent="0.25">
      <c r="A545">
        <v>25898</v>
      </c>
      <c r="B545" t="s">
        <v>13</v>
      </c>
      <c r="C545" t="s">
        <v>14</v>
      </c>
      <c r="D545" s="1">
        <v>70000</v>
      </c>
      <c r="E545">
        <v>2</v>
      </c>
      <c r="F545" t="s">
        <v>31</v>
      </c>
      <c r="G545" t="s">
        <v>24</v>
      </c>
      <c r="H545" t="s">
        <v>17</v>
      </c>
      <c r="I545">
        <v>2</v>
      </c>
      <c r="J545" t="s">
        <v>25</v>
      </c>
      <c r="K545" t="s">
        <v>35</v>
      </c>
      <c r="L545" t="str" cm="1">
        <f t="array" ref="L545">_xlfn.IFS(bike_buyers[[#This Row],[Age]]&gt;= 70, "senior citizen", bike_buyers[[#This Row],[Age]]&gt;=55, "middle age",  bike_buyers[[#This Row],[Age]]&gt;=40,"mature adult ", bike_buyers[[#This Row],[Age]]&gt;=30, "adults", bike_buyers[[#This Row],[Age]]&gt;= 20, "young adults")</f>
        <v xml:space="preserve">mature adult </v>
      </c>
      <c r="M545">
        <v>53</v>
      </c>
      <c r="N545" t="s">
        <v>20</v>
      </c>
    </row>
    <row r="546" spans="1:14" x14ac:dyDescent="0.25">
      <c r="A546">
        <v>24397</v>
      </c>
      <c r="B546" t="s">
        <v>26</v>
      </c>
      <c r="C546" t="s">
        <v>21</v>
      </c>
      <c r="D546" s="1">
        <v>120000</v>
      </c>
      <c r="E546">
        <v>2</v>
      </c>
      <c r="F546" t="s">
        <v>15</v>
      </c>
      <c r="G546" t="s">
        <v>32</v>
      </c>
      <c r="H546" t="s">
        <v>20</v>
      </c>
      <c r="I546">
        <v>4</v>
      </c>
      <c r="J546" t="s">
        <v>30</v>
      </c>
      <c r="K546" t="s">
        <v>35</v>
      </c>
      <c r="L546" t="str" cm="1">
        <f t="array" ref="L546">_xlfn.IFS(bike_buyers[[#This Row],[Age]]&gt;= 70, "senior citizen", bike_buyers[[#This Row],[Age]]&gt;=55, "middle age",  bike_buyers[[#This Row],[Age]]&gt;=40,"mature adult ", bike_buyers[[#This Row],[Age]]&gt;=30, "adults", bike_buyers[[#This Row],[Age]]&gt;= 20, "young adults")</f>
        <v xml:space="preserve">mature adult </v>
      </c>
      <c r="M546">
        <v>40</v>
      </c>
      <c r="N546" t="s">
        <v>20</v>
      </c>
    </row>
    <row r="547" spans="1:14" x14ac:dyDescent="0.25">
      <c r="A547">
        <v>19758</v>
      </c>
      <c r="B547" t="s">
        <v>26</v>
      </c>
      <c r="C547" t="s">
        <v>21</v>
      </c>
      <c r="D547" s="1">
        <v>60000</v>
      </c>
      <c r="E547">
        <v>0</v>
      </c>
      <c r="F547" t="s">
        <v>22</v>
      </c>
      <c r="G547" t="s">
        <v>16</v>
      </c>
      <c r="H547" t="s">
        <v>20</v>
      </c>
      <c r="I547">
        <v>2</v>
      </c>
      <c r="J547" t="s">
        <v>30</v>
      </c>
      <c r="K547" t="s">
        <v>35</v>
      </c>
      <c r="L547" t="str" cm="1">
        <f t="array" ref="L547">_xlfn.IFS(bike_buyers[[#This Row],[Age]]&gt;= 70, "senior citizen", bike_buyers[[#This Row],[Age]]&gt;=55, "middle age",  bike_buyers[[#This Row],[Age]]&gt;=40,"mature adult ", bike_buyers[[#This Row],[Age]]&gt;=30, "adults", bike_buyers[[#This Row],[Age]]&gt;= 20, "young adults")</f>
        <v>young adults</v>
      </c>
      <c r="M547">
        <v>29</v>
      </c>
      <c r="N547" t="s">
        <v>20</v>
      </c>
    </row>
    <row r="548" spans="1:14" x14ac:dyDescent="0.25">
      <c r="A548">
        <v>15529</v>
      </c>
      <c r="B548" t="s">
        <v>13</v>
      </c>
      <c r="C548" t="s">
        <v>21</v>
      </c>
      <c r="D548" s="1">
        <v>60000</v>
      </c>
      <c r="E548">
        <v>4</v>
      </c>
      <c r="F548" t="s">
        <v>15</v>
      </c>
      <c r="G548" t="s">
        <v>24</v>
      </c>
      <c r="H548" t="s">
        <v>17</v>
      </c>
      <c r="I548">
        <v>2</v>
      </c>
      <c r="J548" t="s">
        <v>25</v>
      </c>
      <c r="K548" t="s">
        <v>35</v>
      </c>
      <c r="L548" t="str" cm="1">
        <f t="array" ref="L548">_xlfn.IFS(bike_buyers[[#This Row],[Age]]&gt;= 70, "senior citizen", bike_buyers[[#This Row],[Age]]&gt;=55, "middle age",  bike_buyers[[#This Row],[Age]]&gt;=40,"mature adult ", bike_buyers[[#This Row],[Age]]&gt;=30, "adults", bike_buyers[[#This Row],[Age]]&gt;= 20, "young adults")</f>
        <v xml:space="preserve">mature adult </v>
      </c>
      <c r="M548">
        <v>43</v>
      </c>
      <c r="N548" t="s">
        <v>17</v>
      </c>
    </row>
    <row r="549" spans="1:14" x14ac:dyDescent="0.25">
      <c r="A549">
        <v>19884</v>
      </c>
      <c r="B549" t="s">
        <v>13</v>
      </c>
      <c r="C549" t="s">
        <v>21</v>
      </c>
      <c r="D549" s="1">
        <v>60000</v>
      </c>
      <c r="E549">
        <v>2</v>
      </c>
      <c r="F549" t="s">
        <v>31</v>
      </c>
      <c r="G549" t="s">
        <v>24</v>
      </c>
      <c r="H549" t="s">
        <v>17</v>
      </c>
      <c r="I549">
        <v>2</v>
      </c>
      <c r="J549" t="s">
        <v>25</v>
      </c>
      <c r="K549" t="s">
        <v>35</v>
      </c>
      <c r="L549" t="str" cm="1">
        <f t="array" ref="L549">_xlfn.IFS(bike_buyers[[#This Row],[Age]]&gt;= 70, "senior citizen", bike_buyers[[#This Row],[Age]]&gt;=55, "middle age",  bike_buyers[[#This Row],[Age]]&gt;=40,"mature adult ", bike_buyers[[#This Row],[Age]]&gt;=30, "adults", bike_buyers[[#This Row],[Age]]&gt;= 20, "young adults")</f>
        <v>middle age</v>
      </c>
      <c r="M549">
        <v>55</v>
      </c>
      <c r="N549" t="s">
        <v>17</v>
      </c>
    </row>
    <row r="550" spans="1:14" x14ac:dyDescent="0.25">
      <c r="A550">
        <v>18674</v>
      </c>
      <c r="B550" t="s">
        <v>26</v>
      </c>
      <c r="C550" t="s">
        <v>14</v>
      </c>
      <c r="D550" s="1">
        <v>80000</v>
      </c>
      <c r="E550">
        <v>4</v>
      </c>
      <c r="F550" t="s">
        <v>34</v>
      </c>
      <c r="G550" t="s">
        <v>16</v>
      </c>
      <c r="H550" t="s">
        <v>20</v>
      </c>
      <c r="I550">
        <v>0</v>
      </c>
      <c r="J550" t="s">
        <v>18</v>
      </c>
      <c r="K550" t="s">
        <v>35</v>
      </c>
      <c r="L550" t="str" cm="1">
        <f t="array" ref="L550">_xlfn.IFS(bike_buyers[[#This Row],[Age]]&gt;= 70, "senior citizen", bike_buyers[[#This Row],[Age]]&gt;=55, "middle age",  bike_buyers[[#This Row],[Age]]&gt;=40,"mature adult ", bike_buyers[[#This Row],[Age]]&gt;=30, "adults", bike_buyers[[#This Row],[Age]]&gt;= 20, "young adults")</f>
        <v xml:space="preserve">mature adult </v>
      </c>
      <c r="M550">
        <v>48</v>
      </c>
      <c r="N550" t="s">
        <v>20</v>
      </c>
    </row>
    <row r="551" spans="1:14" x14ac:dyDescent="0.25">
      <c r="A551">
        <v>13453</v>
      </c>
      <c r="B551" t="s">
        <v>13</v>
      </c>
      <c r="C551" t="s">
        <v>14</v>
      </c>
      <c r="D551" s="1">
        <v>130000</v>
      </c>
      <c r="E551">
        <v>3</v>
      </c>
      <c r="F551" t="s">
        <v>15</v>
      </c>
      <c r="G551" t="s">
        <v>32</v>
      </c>
      <c r="H551" t="s">
        <v>17</v>
      </c>
      <c r="I551">
        <v>3</v>
      </c>
      <c r="J551" t="s">
        <v>18</v>
      </c>
      <c r="K551" t="s">
        <v>35</v>
      </c>
      <c r="L551" t="str" cm="1">
        <f t="array" ref="L551">_xlfn.IFS(bike_buyers[[#This Row],[Age]]&gt;= 70, "senior citizen", bike_buyers[[#This Row],[Age]]&gt;=55, "middle age",  bike_buyers[[#This Row],[Age]]&gt;=40,"mature adult ", bike_buyers[[#This Row],[Age]]&gt;=30, "adults", bike_buyers[[#This Row],[Age]]&gt;= 20, "young adults")</f>
        <v xml:space="preserve">mature adult </v>
      </c>
      <c r="M551">
        <v>45</v>
      </c>
      <c r="N551" t="s">
        <v>17</v>
      </c>
    </row>
    <row r="552" spans="1:14" x14ac:dyDescent="0.25">
      <c r="A552">
        <v>14063</v>
      </c>
      <c r="B552" t="s">
        <v>26</v>
      </c>
      <c r="C552" t="s">
        <v>14</v>
      </c>
      <c r="D552" s="1">
        <v>70000</v>
      </c>
      <c r="E552">
        <v>0</v>
      </c>
      <c r="F552" t="s">
        <v>15</v>
      </c>
      <c r="G552" t="s">
        <v>24</v>
      </c>
      <c r="H552" t="s">
        <v>20</v>
      </c>
      <c r="I552">
        <v>1</v>
      </c>
      <c r="J552" t="s">
        <v>18</v>
      </c>
      <c r="K552" t="s">
        <v>28</v>
      </c>
      <c r="L552" t="str" cm="1">
        <f t="array" ref="L552">_xlfn.IFS(bike_buyers[[#This Row],[Age]]&gt;= 70, "senior citizen", bike_buyers[[#This Row],[Age]]&gt;=55, "middle age",  bike_buyers[[#This Row],[Age]]&gt;=40,"mature adult ", bike_buyers[[#This Row],[Age]]&gt;=30, "adults", bike_buyers[[#This Row],[Age]]&gt;= 20, "young adults")</f>
        <v xml:space="preserve">mature adult </v>
      </c>
      <c r="M552">
        <v>42</v>
      </c>
      <c r="N552" t="s">
        <v>17</v>
      </c>
    </row>
    <row r="553" spans="1:14" x14ac:dyDescent="0.25">
      <c r="A553">
        <v>27393</v>
      </c>
      <c r="B553" t="s">
        <v>13</v>
      </c>
      <c r="C553" t="s">
        <v>14</v>
      </c>
      <c r="D553" s="1">
        <v>50000</v>
      </c>
      <c r="E553">
        <v>4</v>
      </c>
      <c r="F553" t="s">
        <v>15</v>
      </c>
      <c r="G553" t="s">
        <v>32</v>
      </c>
      <c r="H553" t="s">
        <v>17</v>
      </c>
      <c r="I553">
        <v>2</v>
      </c>
      <c r="J553" t="s">
        <v>41</v>
      </c>
      <c r="K553" t="s">
        <v>35</v>
      </c>
      <c r="L553" t="str" cm="1">
        <f t="array" ref="L553">_xlfn.IFS(bike_buyers[[#This Row],[Age]]&gt;= 70, "senior citizen", bike_buyers[[#This Row],[Age]]&gt;=55, "middle age",  bike_buyers[[#This Row],[Age]]&gt;=40,"mature adult ", bike_buyers[[#This Row],[Age]]&gt;=30, "adults", bike_buyers[[#This Row],[Age]]&gt;= 20, "young adults")</f>
        <v>middle age</v>
      </c>
      <c r="M553">
        <v>63</v>
      </c>
      <c r="N553" t="s">
        <v>20</v>
      </c>
    </row>
    <row r="554" spans="1:14" x14ac:dyDescent="0.25">
      <c r="A554">
        <v>14417</v>
      </c>
      <c r="B554" t="s">
        <v>26</v>
      </c>
      <c r="C554" t="s">
        <v>21</v>
      </c>
      <c r="D554" s="1">
        <v>60000</v>
      </c>
      <c r="E554">
        <v>3</v>
      </c>
      <c r="F554" t="s">
        <v>31</v>
      </c>
      <c r="G554" t="s">
        <v>24</v>
      </c>
      <c r="H554" t="s">
        <v>17</v>
      </c>
      <c r="I554">
        <v>2</v>
      </c>
      <c r="J554" t="s">
        <v>41</v>
      </c>
      <c r="K554" t="s">
        <v>35</v>
      </c>
      <c r="L554" t="str" cm="1">
        <f t="array" ref="L554">_xlfn.IFS(bike_buyers[[#This Row],[Age]]&gt;= 70, "senior citizen", bike_buyers[[#This Row],[Age]]&gt;=55, "middle age",  bike_buyers[[#This Row],[Age]]&gt;=40,"mature adult ", bike_buyers[[#This Row],[Age]]&gt;=30, "adults", bike_buyers[[#This Row],[Age]]&gt;= 20, "young adults")</f>
        <v xml:space="preserve">mature adult </v>
      </c>
      <c r="M554">
        <v>54</v>
      </c>
      <c r="N554" t="s">
        <v>17</v>
      </c>
    </row>
    <row r="555" spans="1:14" x14ac:dyDescent="0.25">
      <c r="A555">
        <v>17533</v>
      </c>
      <c r="B555" t="s">
        <v>13</v>
      </c>
      <c r="C555" t="s">
        <v>21</v>
      </c>
      <c r="D555" s="1">
        <v>40000</v>
      </c>
      <c r="E555">
        <v>3</v>
      </c>
      <c r="F555" t="s">
        <v>22</v>
      </c>
      <c r="G555" t="s">
        <v>24</v>
      </c>
      <c r="H555" t="s">
        <v>20</v>
      </c>
      <c r="I555">
        <v>2</v>
      </c>
      <c r="J555" t="s">
        <v>27</v>
      </c>
      <c r="K555" t="s">
        <v>35</v>
      </c>
      <c r="L555" t="str" cm="1">
        <f t="array" ref="L555">_xlfn.IFS(bike_buyers[[#This Row],[Age]]&gt;= 70, "senior citizen", bike_buyers[[#This Row],[Age]]&gt;=55, "middle age",  bike_buyers[[#This Row],[Age]]&gt;=40,"mature adult ", bike_buyers[[#This Row],[Age]]&gt;=30, "adults", bike_buyers[[#This Row],[Age]]&gt;= 20, "young adults")</f>
        <v>senior citizen</v>
      </c>
      <c r="M555">
        <v>73</v>
      </c>
      <c r="N555" t="s">
        <v>17</v>
      </c>
    </row>
    <row r="556" spans="1:14" x14ac:dyDescent="0.25">
      <c r="A556">
        <v>18580</v>
      </c>
      <c r="B556" t="s">
        <v>13</v>
      </c>
      <c r="C556" t="s">
        <v>14</v>
      </c>
      <c r="D556" s="1">
        <v>60000</v>
      </c>
      <c r="E556">
        <v>2</v>
      </c>
      <c r="F556" t="s">
        <v>34</v>
      </c>
      <c r="G556" t="s">
        <v>24</v>
      </c>
      <c r="H556" t="s">
        <v>17</v>
      </c>
      <c r="I556">
        <v>0</v>
      </c>
      <c r="J556" t="s">
        <v>25</v>
      </c>
      <c r="K556" t="s">
        <v>35</v>
      </c>
      <c r="L556" t="str" cm="1">
        <f t="array" ref="L556">_xlfn.IFS(bike_buyers[[#This Row],[Age]]&gt;= 70, "senior citizen", bike_buyers[[#This Row],[Age]]&gt;=55, "middle age",  bike_buyers[[#This Row],[Age]]&gt;=40,"mature adult ", bike_buyers[[#This Row],[Age]]&gt;=30, "adults", bike_buyers[[#This Row],[Age]]&gt;= 20, "young adults")</f>
        <v xml:space="preserve">mature adult </v>
      </c>
      <c r="M556">
        <v>40</v>
      </c>
      <c r="N556" t="s">
        <v>17</v>
      </c>
    </row>
    <row r="557" spans="1:14" x14ac:dyDescent="0.25">
      <c r="A557">
        <v>17025</v>
      </c>
      <c r="B557" t="s">
        <v>26</v>
      </c>
      <c r="C557" t="s">
        <v>21</v>
      </c>
      <c r="D557" s="1">
        <v>50000</v>
      </c>
      <c r="E557">
        <v>0</v>
      </c>
      <c r="F557" t="s">
        <v>22</v>
      </c>
      <c r="G557" t="s">
        <v>16</v>
      </c>
      <c r="H557" t="s">
        <v>20</v>
      </c>
      <c r="I557">
        <v>1</v>
      </c>
      <c r="J557" t="s">
        <v>25</v>
      </c>
      <c r="K557" t="s">
        <v>35</v>
      </c>
      <c r="L557" t="str" cm="1">
        <f t="array" ref="L557">_xlfn.IFS(bike_buyers[[#This Row],[Age]]&gt;= 70, "senior citizen", bike_buyers[[#This Row],[Age]]&gt;=55, "middle age",  bike_buyers[[#This Row],[Age]]&gt;=40,"mature adult ", bike_buyers[[#This Row],[Age]]&gt;=30, "adults", bike_buyers[[#This Row],[Age]]&gt;= 20, "young adults")</f>
        <v>adults</v>
      </c>
      <c r="M557">
        <v>39</v>
      </c>
      <c r="N557" t="s">
        <v>17</v>
      </c>
    </row>
    <row r="558" spans="1:14" x14ac:dyDescent="0.25">
      <c r="A558">
        <v>25293</v>
      </c>
      <c r="B558" t="s">
        <v>13</v>
      </c>
      <c r="C558" t="s">
        <v>21</v>
      </c>
      <c r="D558" s="1">
        <v>80000</v>
      </c>
      <c r="E558">
        <v>4</v>
      </c>
      <c r="F558" t="s">
        <v>15</v>
      </c>
      <c r="G558" t="s">
        <v>32</v>
      </c>
      <c r="H558" t="s">
        <v>17</v>
      </c>
      <c r="I558">
        <v>0</v>
      </c>
      <c r="J558" t="s">
        <v>30</v>
      </c>
      <c r="K558" t="s">
        <v>35</v>
      </c>
      <c r="L558" t="str" cm="1">
        <f t="array" ref="L558">_xlfn.IFS(bike_buyers[[#This Row],[Age]]&gt;= 70, "senior citizen", bike_buyers[[#This Row],[Age]]&gt;=55, "middle age",  bike_buyers[[#This Row],[Age]]&gt;=40,"mature adult ", bike_buyers[[#This Row],[Age]]&gt;=30, "adults", bike_buyers[[#This Row],[Age]]&gt;= 20, "young adults")</f>
        <v xml:space="preserve">mature adult </v>
      </c>
      <c r="M558">
        <v>42</v>
      </c>
      <c r="N558" t="s">
        <v>20</v>
      </c>
    </row>
    <row r="559" spans="1:14" x14ac:dyDescent="0.25">
      <c r="A559">
        <v>24725</v>
      </c>
      <c r="B559" t="s">
        <v>13</v>
      </c>
      <c r="C559" t="s">
        <v>14</v>
      </c>
      <c r="D559" s="1">
        <v>40000</v>
      </c>
      <c r="E559">
        <v>3</v>
      </c>
      <c r="F559" t="s">
        <v>22</v>
      </c>
      <c r="G559" t="s">
        <v>23</v>
      </c>
      <c r="H559" t="s">
        <v>17</v>
      </c>
      <c r="I559">
        <v>0</v>
      </c>
      <c r="J559" t="s">
        <v>30</v>
      </c>
      <c r="K559" t="s">
        <v>35</v>
      </c>
      <c r="L559" t="str" cm="1">
        <f t="array" ref="L559">_xlfn.IFS(bike_buyers[[#This Row],[Age]]&gt;= 70, "senior citizen", bike_buyers[[#This Row],[Age]]&gt;=55, "middle age",  bike_buyers[[#This Row],[Age]]&gt;=40,"mature adult ", bike_buyers[[#This Row],[Age]]&gt;=30, "adults", bike_buyers[[#This Row],[Age]]&gt;= 20, "young adults")</f>
        <v>adults</v>
      </c>
      <c r="M559">
        <v>31</v>
      </c>
      <c r="N559" t="s">
        <v>20</v>
      </c>
    </row>
    <row r="560" spans="1:14" x14ac:dyDescent="0.25">
      <c r="A560">
        <v>23200</v>
      </c>
      <c r="B560" t="s">
        <v>13</v>
      </c>
      <c r="C560" t="s">
        <v>14</v>
      </c>
      <c r="D560" s="1">
        <v>50000</v>
      </c>
      <c r="E560">
        <v>3</v>
      </c>
      <c r="F560" t="s">
        <v>15</v>
      </c>
      <c r="G560" t="s">
        <v>16</v>
      </c>
      <c r="H560" t="s">
        <v>17</v>
      </c>
      <c r="I560">
        <v>2</v>
      </c>
      <c r="J560" t="s">
        <v>18</v>
      </c>
      <c r="K560" t="s">
        <v>35</v>
      </c>
      <c r="L560" t="str" cm="1">
        <f t="array" ref="L560">_xlfn.IFS(bike_buyers[[#This Row],[Age]]&gt;= 70, "senior citizen", bike_buyers[[#This Row],[Age]]&gt;=55, "middle age",  bike_buyers[[#This Row],[Age]]&gt;=40,"mature adult ", bike_buyers[[#This Row],[Age]]&gt;=30, "adults", bike_buyers[[#This Row],[Age]]&gt;= 20, "young adults")</f>
        <v xml:space="preserve">mature adult </v>
      </c>
      <c r="M560">
        <v>41</v>
      </c>
      <c r="N560" t="s">
        <v>20</v>
      </c>
    </row>
    <row r="561" spans="1:14" x14ac:dyDescent="0.25">
      <c r="A561">
        <v>15895</v>
      </c>
      <c r="B561" t="s">
        <v>26</v>
      </c>
      <c r="C561" t="s">
        <v>14</v>
      </c>
      <c r="D561" s="1">
        <v>60000</v>
      </c>
      <c r="E561">
        <v>2</v>
      </c>
      <c r="F561" t="s">
        <v>15</v>
      </c>
      <c r="G561" t="s">
        <v>32</v>
      </c>
      <c r="H561" t="s">
        <v>17</v>
      </c>
      <c r="I561">
        <v>0</v>
      </c>
      <c r="J561" t="s">
        <v>41</v>
      </c>
      <c r="K561" t="s">
        <v>35</v>
      </c>
      <c r="L561" t="str" cm="1">
        <f t="array" ref="L561">_xlfn.IFS(bike_buyers[[#This Row],[Age]]&gt;= 70, "senior citizen", bike_buyers[[#This Row],[Age]]&gt;=55, "middle age",  bike_buyers[[#This Row],[Age]]&gt;=40,"mature adult ", bike_buyers[[#This Row],[Age]]&gt;=30, "adults", bike_buyers[[#This Row],[Age]]&gt;= 20, "young adults")</f>
        <v>middle age</v>
      </c>
      <c r="M561">
        <v>58</v>
      </c>
      <c r="N561" t="s">
        <v>20</v>
      </c>
    </row>
    <row r="562" spans="1:14" x14ac:dyDescent="0.25">
      <c r="A562">
        <v>18577</v>
      </c>
      <c r="B562" t="s">
        <v>13</v>
      </c>
      <c r="C562" t="s">
        <v>14</v>
      </c>
      <c r="D562" s="1">
        <v>60000</v>
      </c>
      <c r="E562">
        <v>0</v>
      </c>
      <c r="F562" t="s">
        <v>34</v>
      </c>
      <c r="G562" t="s">
        <v>24</v>
      </c>
      <c r="H562" t="s">
        <v>17</v>
      </c>
      <c r="I562">
        <v>0</v>
      </c>
      <c r="J562" t="s">
        <v>18</v>
      </c>
      <c r="K562" t="s">
        <v>35</v>
      </c>
      <c r="L562" t="str" cm="1">
        <f t="array" ref="L562">_xlfn.IFS(bike_buyers[[#This Row],[Age]]&gt;= 70, "senior citizen", bike_buyers[[#This Row],[Age]]&gt;=55, "middle age",  bike_buyers[[#This Row],[Age]]&gt;=40,"mature adult ", bike_buyers[[#This Row],[Age]]&gt;=30, "adults", bike_buyers[[#This Row],[Age]]&gt;= 20, "young adults")</f>
        <v xml:space="preserve">mature adult </v>
      </c>
      <c r="M562">
        <v>40</v>
      </c>
      <c r="N562" t="s">
        <v>20</v>
      </c>
    </row>
    <row r="563" spans="1:14" x14ac:dyDescent="0.25">
      <c r="A563">
        <v>27218</v>
      </c>
      <c r="B563" t="s">
        <v>13</v>
      </c>
      <c r="C563" t="s">
        <v>14</v>
      </c>
      <c r="D563" s="1">
        <v>20000</v>
      </c>
      <c r="E563">
        <v>2</v>
      </c>
      <c r="F563" t="s">
        <v>33</v>
      </c>
      <c r="G563" t="s">
        <v>23</v>
      </c>
      <c r="H563" t="s">
        <v>20</v>
      </c>
      <c r="I563">
        <v>0</v>
      </c>
      <c r="J563" t="s">
        <v>18</v>
      </c>
      <c r="K563" t="s">
        <v>35</v>
      </c>
      <c r="L563" t="str" cm="1">
        <f t="array" ref="L563">_xlfn.IFS(bike_buyers[[#This Row],[Age]]&gt;= 70, "senior citizen", bike_buyers[[#This Row],[Age]]&gt;=55, "middle age",  bike_buyers[[#This Row],[Age]]&gt;=40,"mature adult ", bike_buyers[[#This Row],[Age]]&gt;=30, "adults", bike_buyers[[#This Row],[Age]]&gt;= 20, "young adults")</f>
        <v xml:space="preserve">mature adult </v>
      </c>
      <c r="M563">
        <v>48</v>
      </c>
      <c r="N563" t="s">
        <v>20</v>
      </c>
    </row>
    <row r="564" spans="1:14" x14ac:dyDescent="0.25">
      <c r="A564">
        <v>18560</v>
      </c>
      <c r="B564" t="s">
        <v>13</v>
      </c>
      <c r="C564" t="s">
        <v>14</v>
      </c>
      <c r="D564" s="1">
        <v>70000</v>
      </c>
      <c r="E564">
        <v>2</v>
      </c>
      <c r="F564" t="s">
        <v>34</v>
      </c>
      <c r="G564" t="s">
        <v>24</v>
      </c>
      <c r="H564" t="s">
        <v>17</v>
      </c>
      <c r="I564">
        <v>0</v>
      </c>
      <c r="J564" t="s">
        <v>25</v>
      </c>
      <c r="K564" t="s">
        <v>35</v>
      </c>
      <c r="L564" t="str" cm="1">
        <f t="array" ref="L564">_xlfn.IFS(bike_buyers[[#This Row],[Age]]&gt;= 70, "senior citizen", bike_buyers[[#This Row],[Age]]&gt;=55, "middle age",  bike_buyers[[#This Row],[Age]]&gt;=40,"mature adult ", bike_buyers[[#This Row],[Age]]&gt;=30, "adults", bike_buyers[[#This Row],[Age]]&gt;= 20, "young adults")</f>
        <v>adults</v>
      </c>
      <c r="M564">
        <v>34</v>
      </c>
      <c r="N564" t="s">
        <v>17</v>
      </c>
    </row>
    <row r="565" spans="1:14" x14ac:dyDescent="0.25">
      <c r="A565">
        <v>25006</v>
      </c>
      <c r="B565" t="s">
        <v>26</v>
      </c>
      <c r="C565" t="s">
        <v>14</v>
      </c>
      <c r="D565" s="1">
        <v>30000</v>
      </c>
      <c r="E565">
        <v>0</v>
      </c>
      <c r="F565" t="s">
        <v>22</v>
      </c>
      <c r="G565" t="s">
        <v>16</v>
      </c>
      <c r="H565" t="s">
        <v>17</v>
      </c>
      <c r="I565">
        <v>1</v>
      </c>
      <c r="J565" t="s">
        <v>27</v>
      </c>
      <c r="K565" t="s">
        <v>35</v>
      </c>
      <c r="L565" t="str" cm="1">
        <f t="array" ref="L565">_xlfn.IFS(bike_buyers[[#This Row],[Age]]&gt;= 70, "senior citizen", bike_buyers[[#This Row],[Age]]&gt;=55, "middle age",  bike_buyers[[#This Row],[Age]]&gt;=40,"mature adult ", bike_buyers[[#This Row],[Age]]&gt;=30, "adults", bike_buyers[[#This Row],[Age]]&gt;= 20, "young adults")</f>
        <v>young adults</v>
      </c>
      <c r="M565">
        <v>28</v>
      </c>
      <c r="N565" t="s">
        <v>20</v>
      </c>
    </row>
    <row r="566" spans="1:14" x14ac:dyDescent="0.25">
      <c r="A566">
        <v>17369</v>
      </c>
      <c r="B566" t="s">
        <v>26</v>
      </c>
      <c r="C566" t="s">
        <v>21</v>
      </c>
      <c r="D566" s="1">
        <v>30000</v>
      </c>
      <c r="E566">
        <v>0</v>
      </c>
      <c r="F566" t="s">
        <v>22</v>
      </c>
      <c r="G566" t="s">
        <v>16</v>
      </c>
      <c r="H566" t="s">
        <v>17</v>
      </c>
      <c r="I566">
        <v>1</v>
      </c>
      <c r="J566" t="s">
        <v>27</v>
      </c>
      <c r="K566" t="s">
        <v>35</v>
      </c>
      <c r="L566" t="str" cm="1">
        <f t="array" ref="L566">_xlfn.IFS(bike_buyers[[#This Row],[Age]]&gt;= 70, "senior citizen", bike_buyers[[#This Row],[Age]]&gt;=55, "middle age",  bike_buyers[[#This Row],[Age]]&gt;=40,"mature adult ", bike_buyers[[#This Row],[Age]]&gt;=30, "adults", bike_buyers[[#This Row],[Age]]&gt;= 20, "young adults")</f>
        <v>young adults</v>
      </c>
      <c r="M566">
        <v>27</v>
      </c>
      <c r="N566" t="s">
        <v>20</v>
      </c>
    </row>
    <row r="567" spans="1:14" x14ac:dyDescent="0.25">
      <c r="A567">
        <v>14495</v>
      </c>
      <c r="B567" t="s">
        <v>13</v>
      </c>
      <c r="C567" t="s">
        <v>21</v>
      </c>
      <c r="D567" s="1">
        <v>40000</v>
      </c>
      <c r="E567">
        <v>3</v>
      </c>
      <c r="F567" t="s">
        <v>22</v>
      </c>
      <c r="G567" t="s">
        <v>24</v>
      </c>
      <c r="H567" t="s">
        <v>20</v>
      </c>
      <c r="I567">
        <v>2</v>
      </c>
      <c r="J567" t="s">
        <v>27</v>
      </c>
      <c r="K567" t="s">
        <v>35</v>
      </c>
      <c r="L567" t="str" cm="1">
        <f t="array" ref="L567">_xlfn.IFS(bike_buyers[[#This Row],[Age]]&gt;= 70, "senior citizen", bike_buyers[[#This Row],[Age]]&gt;=55, "middle age",  bike_buyers[[#This Row],[Age]]&gt;=40,"mature adult ", bike_buyers[[#This Row],[Age]]&gt;=30, "adults", bike_buyers[[#This Row],[Age]]&gt;= 20, "young adults")</f>
        <v xml:space="preserve">mature adult </v>
      </c>
      <c r="M567">
        <v>54</v>
      </c>
      <c r="N567" t="s">
        <v>17</v>
      </c>
    </row>
    <row r="568" spans="1:14" x14ac:dyDescent="0.25">
      <c r="A568">
        <v>18847</v>
      </c>
      <c r="B568" t="s">
        <v>13</v>
      </c>
      <c r="C568" t="s">
        <v>14</v>
      </c>
      <c r="D568" s="1">
        <v>60000</v>
      </c>
      <c r="E568">
        <v>2</v>
      </c>
      <c r="F568" t="s">
        <v>34</v>
      </c>
      <c r="G568" t="s">
        <v>32</v>
      </c>
      <c r="H568" t="s">
        <v>17</v>
      </c>
      <c r="I568">
        <v>2</v>
      </c>
      <c r="J568" t="s">
        <v>27</v>
      </c>
      <c r="K568" t="s">
        <v>35</v>
      </c>
      <c r="L568" t="str" cm="1">
        <f t="array" ref="L568">_xlfn.IFS(bike_buyers[[#This Row],[Age]]&gt;= 70, "senior citizen", bike_buyers[[#This Row],[Age]]&gt;=55, "middle age",  bike_buyers[[#This Row],[Age]]&gt;=40,"mature adult ", bike_buyers[[#This Row],[Age]]&gt;=30, "adults", bike_buyers[[#This Row],[Age]]&gt;= 20, "young adults")</f>
        <v>senior citizen</v>
      </c>
      <c r="M568">
        <v>70</v>
      </c>
      <c r="N568" t="s">
        <v>20</v>
      </c>
    </row>
    <row r="569" spans="1:14" x14ac:dyDescent="0.25">
      <c r="A569">
        <v>14754</v>
      </c>
      <c r="B569" t="s">
        <v>13</v>
      </c>
      <c r="C569" t="s">
        <v>21</v>
      </c>
      <c r="D569" s="1">
        <v>40000</v>
      </c>
      <c r="E569">
        <v>1</v>
      </c>
      <c r="F569" t="s">
        <v>22</v>
      </c>
      <c r="G569" t="s">
        <v>23</v>
      </c>
      <c r="H569" t="s">
        <v>17</v>
      </c>
      <c r="I569">
        <v>1</v>
      </c>
      <c r="J569" t="s">
        <v>30</v>
      </c>
      <c r="K569" t="s">
        <v>35</v>
      </c>
      <c r="L569" t="str" cm="1">
        <f t="array" ref="L569">_xlfn.IFS(bike_buyers[[#This Row],[Age]]&gt;= 70, "senior citizen", bike_buyers[[#This Row],[Age]]&gt;=55, "middle age",  bike_buyers[[#This Row],[Age]]&gt;=40,"mature adult ", bike_buyers[[#This Row],[Age]]&gt;=30, "adults", bike_buyers[[#This Row],[Age]]&gt;= 20, "young adults")</f>
        <v xml:space="preserve">mature adult </v>
      </c>
      <c r="M569">
        <v>48</v>
      </c>
      <c r="N569" t="s">
        <v>17</v>
      </c>
    </row>
    <row r="570" spans="1:14" x14ac:dyDescent="0.25">
      <c r="A570">
        <v>23378</v>
      </c>
      <c r="B570" t="s">
        <v>13</v>
      </c>
      <c r="C570" t="s">
        <v>21</v>
      </c>
      <c r="D570" s="1">
        <v>70000</v>
      </c>
      <c r="E570">
        <v>1</v>
      </c>
      <c r="F570" t="s">
        <v>22</v>
      </c>
      <c r="G570" t="s">
        <v>16</v>
      </c>
      <c r="H570" t="s">
        <v>17</v>
      </c>
      <c r="I570">
        <v>1</v>
      </c>
      <c r="J570" t="s">
        <v>25</v>
      </c>
      <c r="K570" t="s">
        <v>35</v>
      </c>
      <c r="L570" t="str" cm="1">
        <f t="array" ref="L570">_xlfn.IFS(bike_buyers[[#This Row],[Age]]&gt;= 70, "senior citizen", bike_buyers[[#This Row],[Age]]&gt;=55, "middle age",  bike_buyers[[#This Row],[Age]]&gt;=40,"mature adult ", bike_buyers[[#This Row],[Age]]&gt;=30, "adults", bike_buyers[[#This Row],[Age]]&gt;= 20, "young adults")</f>
        <v xml:space="preserve">mature adult </v>
      </c>
      <c r="M570">
        <v>44</v>
      </c>
      <c r="N570" t="s">
        <v>17</v>
      </c>
    </row>
    <row r="571" spans="1:14" x14ac:dyDescent="0.25">
      <c r="A571">
        <v>26452</v>
      </c>
      <c r="B571" t="s">
        <v>26</v>
      </c>
      <c r="C571" t="s">
        <v>21</v>
      </c>
      <c r="D571" s="1">
        <v>50000</v>
      </c>
      <c r="E571">
        <v>3</v>
      </c>
      <c r="F571" t="s">
        <v>34</v>
      </c>
      <c r="G571" t="s">
        <v>32</v>
      </c>
      <c r="H571" t="s">
        <v>17</v>
      </c>
      <c r="I571">
        <v>2</v>
      </c>
      <c r="J571" t="s">
        <v>41</v>
      </c>
      <c r="K571" t="s">
        <v>35</v>
      </c>
      <c r="L571" t="str" cm="1">
        <f t="array" ref="L571">_xlfn.IFS(bike_buyers[[#This Row],[Age]]&gt;= 70, "senior citizen", bike_buyers[[#This Row],[Age]]&gt;=55, "middle age",  bike_buyers[[#This Row],[Age]]&gt;=40,"mature adult ", bike_buyers[[#This Row],[Age]]&gt;=30, "adults", bike_buyers[[#This Row],[Age]]&gt;= 20, "young adults")</f>
        <v>middle age</v>
      </c>
      <c r="M571">
        <v>69</v>
      </c>
      <c r="N571" t="s">
        <v>20</v>
      </c>
    </row>
    <row r="572" spans="1:14" x14ac:dyDescent="0.25">
      <c r="A572">
        <v>20370</v>
      </c>
      <c r="B572" t="s">
        <v>13</v>
      </c>
      <c r="C572" t="s">
        <v>21</v>
      </c>
      <c r="D572" s="1">
        <v>70000</v>
      </c>
      <c r="E572">
        <v>3</v>
      </c>
      <c r="F572" t="s">
        <v>33</v>
      </c>
      <c r="G572" t="s">
        <v>16</v>
      </c>
      <c r="H572" t="s">
        <v>17</v>
      </c>
      <c r="I572">
        <v>2</v>
      </c>
      <c r="J572" t="s">
        <v>27</v>
      </c>
      <c r="K572" t="s">
        <v>35</v>
      </c>
      <c r="L572" t="str" cm="1">
        <f t="array" ref="L572">_xlfn.IFS(bike_buyers[[#This Row],[Age]]&gt;= 70, "senior citizen", bike_buyers[[#This Row],[Age]]&gt;=55, "middle age",  bike_buyers[[#This Row],[Age]]&gt;=40,"mature adult ", bike_buyers[[#This Row],[Age]]&gt;=30, "adults", bike_buyers[[#This Row],[Age]]&gt;= 20, "young adults")</f>
        <v xml:space="preserve">mature adult </v>
      </c>
      <c r="M572">
        <v>52</v>
      </c>
      <c r="N572" t="s">
        <v>20</v>
      </c>
    </row>
    <row r="573" spans="1:14" x14ac:dyDescent="0.25">
      <c r="A573">
        <v>20528</v>
      </c>
      <c r="B573" t="s">
        <v>13</v>
      </c>
      <c r="C573" t="s">
        <v>21</v>
      </c>
      <c r="D573" s="1">
        <v>40000</v>
      </c>
      <c r="E573">
        <v>2</v>
      </c>
      <c r="F573" t="s">
        <v>33</v>
      </c>
      <c r="G573" t="s">
        <v>16</v>
      </c>
      <c r="H573" t="s">
        <v>17</v>
      </c>
      <c r="I573">
        <v>2</v>
      </c>
      <c r="J573" t="s">
        <v>25</v>
      </c>
      <c r="K573" t="s">
        <v>35</v>
      </c>
      <c r="L573" t="str" cm="1">
        <f t="array" ref="L573">_xlfn.IFS(bike_buyers[[#This Row],[Age]]&gt;= 70, "senior citizen", bike_buyers[[#This Row],[Age]]&gt;=55, "middle age",  bike_buyers[[#This Row],[Age]]&gt;=40,"mature adult ", bike_buyers[[#This Row],[Age]]&gt;=30, "adults", bike_buyers[[#This Row],[Age]]&gt;= 20, "young adults")</f>
        <v>middle age</v>
      </c>
      <c r="M573">
        <v>55</v>
      </c>
      <c r="N573" t="s">
        <v>20</v>
      </c>
    </row>
    <row r="574" spans="1:14" x14ac:dyDescent="0.25">
      <c r="A574">
        <v>23549</v>
      </c>
      <c r="B574" t="s">
        <v>26</v>
      </c>
      <c r="C574" t="s">
        <v>21</v>
      </c>
      <c r="D574" s="1">
        <v>30000</v>
      </c>
      <c r="E574">
        <v>0</v>
      </c>
      <c r="F574" t="s">
        <v>31</v>
      </c>
      <c r="G574" t="s">
        <v>16</v>
      </c>
      <c r="H574" t="s">
        <v>17</v>
      </c>
      <c r="I574">
        <v>2</v>
      </c>
      <c r="J574" t="s">
        <v>27</v>
      </c>
      <c r="K574" t="s">
        <v>35</v>
      </c>
      <c r="L574" t="str" cm="1">
        <f t="array" ref="L574">_xlfn.IFS(bike_buyers[[#This Row],[Age]]&gt;= 70, "senior citizen", bike_buyers[[#This Row],[Age]]&gt;=55, "middle age",  bike_buyers[[#This Row],[Age]]&gt;=40,"mature adult ", bike_buyers[[#This Row],[Age]]&gt;=30, "adults", bike_buyers[[#This Row],[Age]]&gt;= 20, "young adults")</f>
        <v>adults</v>
      </c>
      <c r="M574">
        <v>30</v>
      </c>
      <c r="N574" t="s">
        <v>20</v>
      </c>
    </row>
    <row r="575" spans="1:14" x14ac:dyDescent="0.25">
      <c r="A575">
        <v>21751</v>
      </c>
      <c r="B575" t="s">
        <v>13</v>
      </c>
      <c r="C575" t="s">
        <v>21</v>
      </c>
      <c r="D575" s="1">
        <v>60000</v>
      </c>
      <c r="E575">
        <v>3</v>
      </c>
      <c r="F575" t="s">
        <v>34</v>
      </c>
      <c r="G575" t="s">
        <v>32</v>
      </c>
      <c r="H575" t="s">
        <v>17</v>
      </c>
      <c r="I575">
        <v>2</v>
      </c>
      <c r="J575" t="s">
        <v>30</v>
      </c>
      <c r="K575" t="s">
        <v>35</v>
      </c>
      <c r="L575" t="str" cm="1">
        <f t="array" ref="L575">_xlfn.IFS(bike_buyers[[#This Row],[Age]]&gt;= 70, "senior citizen", bike_buyers[[#This Row],[Age]]&gt;=55, "middle age",  bike_buyers[[#This Row],[Age]]&gt;=40,"mature adult ", bike_buyers[[#This Row],[Age]]&gt;=30, "adults", bike_buyers[[#This Row],[Age]]&gt;= 20, "young adults")</f>
        <v>middle age</v>
      </c>
      <c r="M575">
        <v>63</v>
      </c>
      <c r="N575" t="s">
        <v>20</v>
      </c>
    </row>
    <row r="576" spans="1:14" x14ac:dyDescent="0.25">
      <c r="A576">
        <v>21266</v>
      </c>
      <c r="B576" t="s">
        <v>26</v>
      </c>
      <c r="C576" t="s">
        <v>14</v>
      </c>
      <c r="D576" s="1">
        <v>80000</v>
      </c>
      <c r="E576">
        <v>0</v>
      </c>
      <c r="F576" t="s">
        <v>15</v>
      </c>
      <c r="G576" t="s">
        <v>32</v>
      </c>
      <c r="H576" t="s">
        <v>17</v>
      </c>
      <c r="I576">
        <v>1</v>
      </c>
      <c r="J576" t="s">
        <v>30</v>
      </c>
      <c r="K576" t="s">
        <v>35</v>
      </c>
      <c r="L576" t="str" cm="1">
        <f t="array" ref="L576">_xlfn.IFS(bike_buyers[[#This Row],[Age]]&gt;= 70, "senior citizen", bike_buyers[[#This Row],[Age]]&gt;=55, "middle age",  bike_buyers[[#This Row],[Age]]&gt;=40,"mature adult ", bike_buyers[[#This Row],[Age]]&gt;=30, "adults", bike_buyers[[#This Row],[Age]]&gt;= 20, "young adults")</f>
        <v>adults</v>
      </c>
      <c r="M576">
        <v>34</v>
      </c>
      <c r="N576" t="s">
        <v>17</v>
      </c>
    </row>
    <row r="577" spans="1:14" x14ac:dyDescent="0.25">
      <c r="A577">
        <v>13388</v>
      </c>
      <c r="B577" t="s">
        <v>26</v>
      </c>
      <c r="C577" t="s">
        <v>21</v>
      </c>
      <c r="D577" s="1">
        <v>60000</v>
      </c>
      <c r="E577">
        <v>2</v>
      </c>
      <c r="F577" t="s">
        <v>22</v>
      </c>
      <c r="G577" t="s">
        <v>24</v>
      </c>
      <c r="H577" t="s">
        <v>17</v>
      </c>
      <c r="I577">
        <v>1</v>
      </c>
      <c r="J577" t="s">
        <v>41</v>
      </c>
      <c r="K577" t="s">
        <v>35</v>
      </c>
      <c r="L577" t="str" cm="1">
        <f t="array" ref="L577">_xlfn.IFS(bike_buyers[[#This Row],[Age]]&gt;= 70, "senior citizen", bike_buyers[[#This Row],[Age]]&gt;=55, "middle age",  bike_buyers[[#This Row],[Age]]&gt;=40,"mature adult ", bike_buyers[[#This Row],[Age]]&gt;=30, "adults", bike_buyers[[#This Row],[Age]]&gt;= 20, "young adults")</f>
        <v>middle age</v>
      </c>
      <c r="M577">
        <v>56</v>
      </c>
      <c r="N577" t="s">
        <v>20</v>
      </c>
    </row>
    <row r="578" spans="1:14" x14ac:dyDescent="0.25">
      <c r="A578">
        <v>18752</v>
      </c>
      <c r="B578" t="s">
        <v>26</v>
      </c>
      <c r="C578" t="s">
        <v>14</v>
      </c>
      <c r="D578" s="1">
        <v>40000</v>
      </c>
      <c r="E578">
        <v>0</v>
      </c>
      <c r="F578" t="s">
        <v>31</v>
      </c>
      <c r="G578" t="s">
        <v>16</v>
      </c>
      <c r="H578" t="s">
        <v>17</v>
      </c>
      <c r="I578">
        <v>1</v>
      </c>
      <c r="J578" t="s">
        <v>27</v>
      </c>
      <c r="K578" t="s">
        <v>35</v>
      </c>
      <c r="L578" t="str" cm="1">
        <f t="array" ref="L578">_xlfn.IFS(bike_buyers[[#This Row],[Age]]&gt;= 70, "senior citizen", bike_buyers[[#This Row],[Age]]&gt;=55, "middle age",  bike_buyers[[#This Row],[Age]]&gt;=40,"mature adult ", bike_buyers[[#This Row],[Age]]&gt;=30, "adults", bike_buyers[[#This Row],[Age]]&gt;= 20, "young adults")</f>
        <v>adults</v>
      </c>
      <c r="M578">
        <v>31</v>
      </c>
      <c r="N578" t="s">
        <v>20</v>
      </c>
    </row>
    <row r="579" spans="1:14" x14ac:dyDescent="0.25">
      <c r="A579">
        <v>16917</v>
      </c>
      <c r="B579" t="s">
        <v>13</v>
      </c>
      <c r="C579" t="s">
        <v>21</v>
      </c>
      <c r="D579" s="1">
        <v>120000</v>
      </c>
      <c r="E579">
        <v>1</v>
      </c>
      <c r="F579" t="s">
        <v>15</v>
      </c>
      <c r="G579" t="s">
        <v>32</v>
      </c>
      <c r="H579" t="s">
        <v>17</v>
      </c>
      <c r="I579">
        <v>4</v>
      </c>
      <c r="J579" t="s">
        <v>18</v>
      </c>
      <c r="K579" t="s">
        <v>35</v>
      </c>
      <c r="L579" t="str" cm="1">
        <f t="array" ref="L579">_xlfn.IFS(bike_buyers[[#This Row],[Age]]&gt;= 70, "senior citizen", bike_buyers[[#This Row],[Age]]&gt;=55, "middle age",  bike_buyers[[#This Row],[Age]]&gt;=40,"mature adult ", bike_buyers[[#This Row],[Age]]&gt;=30, "adults", bike_buyers[[#This Row],[Age]]&gt;= 20, "young adults")</f>
        <v>adults</v>
      </c>
      <c r="M579">
        <v>38</v>
      </c>
      <c r="N579" t="s">
        <v>20</v>
      </c>
    </row>
    <row r="580" spans="1:14" x14ac:dyDescent="0.25">
      <c r="A580">
        <v>15313</v>
      </c>
      <c r="B580" t="s">
        <v>13</v>
      </c>
      <c r="C580" t="s">
        <v>21</v>
      </c>
      <c r="D580" s="1">
        <v>60000</v>
      </c>
      <c r="E580">
        <v>4</v>
      </c>
      <c r="F580" t="s">
        <v>15</v>
      </c>
      <c r="G580" t="s">
        <v>32</v>
      </c>
      <c r="H580" t="s">
        <v>17</v>
      </c>
      <c r="I580">
        <v>2</v>
      </c>
      <c r="J580" t="s">
        <v>25</v>
      </c>
      <c r="K580" t="s">
        <v>35</v>
      </c>
      <c r="L580" t="str" cm="1">
        <f t="array" ref="L580">_xlfn.IFS(bike_buyers[[#This Row],[Age]]&gt;= 70, "senior citizen", bike_buyers[[#This Row],[Age]]&gt;=55, "middle age",  bike_buyers[[#This Row],[Age]]&gt;=40,"mature adult ", bike_buyers[[#This Row],[Age]]&gt;=30, "adults", bike_buyers[[#This Row],[Age]]&gt;= 20, "young adults")</f>
        <v>middle age</v>
      </c>
      <c r="M580">
        <v>59</v>
      </c>
      <c r="N580" t="s">
        <v>20</v>
      </c>
    </row>
    <row r="581" spans="1:14" x14ac:dyDescent="0.25">
      <c r="A581">
        <v>25329</v>
      </c>
      <c r="B581" t="s">
        <v>26</v>
      </c>
      <c r="C581" t="s">
        <v>14</v>
      </c>
      <c r="D581" s="1">
        <v>40000</v>
      </c>
      <c r="E581">
        <v>3</v>
      </c>
      <c r="F581" t="s">
        <v>22</v>
      </c>
      <c r="G581" t="s">
        <v>23</v>
      </c>
      <c r="H581" t="s">
        <v>20</v>
      </c>
      <c r="I581">
        <v>2</v>
      </c>
      <c r="J581" t="s">
        <v>18</v>
      </c>
      <c r="K581" t="s">
        <v>35</v>
      </c>
      <c r="L581" t="str" cm="1">
        <f t="array" ref="L581">_xlfn.IFS(bike_buyers[[#This Row],[Age]]&gt;= 70, "senior citizen", bike_buyers[[#This Row],[Age]]&gt;=55, "middle age",  bike_buyers[[#This Row],[Age]]&gt;=40,"mature adult ", bike_buyers[[#This Row],[Age]]&gt;=30, "adults", bike_buyers[[#This Row],[Age]]&gt;= 20, "young adults")</f>
        <v>adults</v>
      </c>
      <c r="M581">
        <v>32</v>
      </c>
      <c r="N581" t="s">
        <v>20</v>
      </c>
    </row>
    <row r="582" spans="1:14" x14ac:dyDescent="0.25">
      <c r="A582">
        <v>20380</v>
      </c>
      <c r="B582" t="s">
        <v>13</v>
      </c>
      <c r="C582" t="s">
        <v>14</v>
      </c>
      <c r="D582" s="1">
        <v>60000</v>
      </c>
      <c r="E582">
        <v>3</v>
      </c>
      <c r="F582" t="s">
        <v>34</v>
      </c>
      <c r="G582" t="s">
        <v>32</v>
      </c>
      <c r="H582" t="s">
        <v>17</v>
      </c>
      <c r="I582">
        <v>2</v>
      </c>
      <c r="J582" t="s">
        <v>41</v>
      </c>
      <c r="K582" t="s">
        <v>35</v>
      </c>
      <c r="L582" t="str" cm="1">
        <f t="array" ref="L582">_xlfn.IFS(bike_buyers[[#This Row],[Age]]&gt;= 70, "senior citizen", bike_buyers[[#This Row],[Age]]&gt;=55, "middle age",  bike_buyers[[#This Row],[Age]]&gt;=40,"mature adult ", bike_buyers[[#This Row],[Age]]&gt;=30, "adults", bike_buyers[[#This Row],[Age]]&gt;= 20, "young adults")</f>
        <v>middle age</v>
      </c>
      <c r="M582">
        <v>69</v>
      </c>
      <c r="N582" t="s">
        <v>20</v>
      </c>
    </row>
    <row r="583" spans="1:14" x14ac:dyDescent="0.25">
      <c r="A583">
        <v>23089</v>
      </c>
      <c r="B583" t="s">
        <v>13</v>
      </c>
      <c r="C583" t="s">
        <v>21</v>
      </c>
      <c r="D583" s="1">
        <v>40000</v>
      </c>
      <c r="E583">
        <v>0</v>
      </c>
      <c r="F583" t="s">
        <v>22</v>
      </c>
      <c r="G583" t="s">
        <v>16</v>
      </c>
      <c r="H583" t="s">
        <v>17</v>
      </c>
      <c r="I583">
        <v>1</v>
      </c>
      <c r="J583" t="s">
        <v>27</v>
      </c>
      <c r="K583" t="s">
        <v>35</v>
      </c>
      <c r="L583" t="str" cm="1">
        <f t="array" ref="L583">_xlfn.IFS(bike_buyers[[#This Row],[Age]]&gt;= 70, "senior citizen", bike_buyers[[#This Row],[Age]]&gt;=55, "middle age",  bike_buyers[[#This Row],[Age]]&gt;=40,"mature adult ", bike_buyers[[#This Row],[Age]]&gt;=30, "adults", bike_buyers[[#This Row],[Age]]&gt;= 20, "young adults")</f>
        <v>young adults</v>
      </c>
      <c r="M583">
        <v>28</v>
      </c>
      <c r="N583" t="s">
        <v>20</v>
      </c>
    </row>
    <row r="584" spans="1:14" x14ac:dyDescent="0.25">
      <c r="A584">
        <v>13749</v>
      </c>
      <c r="B584" t="s">
        <v>13</v>
      </c>
      <c r="C584" t="s">
        <v>21</v>
      </c>
      <c r="D584" s="1">
        <v>80000</v>
      </c>
      <c r="E584">
        <v>4</v>
      </c>
      <c r="F584" t="s">
        <v>34</v>
      </c>
      <c r="G584" t="s">
        <v>16</v>
      </c>
      <c r="H584" t="s">
        <v>17</v>
      </c>
      <c r="I584">
        <v>0</v>
      </c>
      <c r="J584" t="s">
        <v>30</v>
      </c>
      <c r="K584" t="s">
        <v>35</v>
      </c>
      <c r="L584" t="str" cm="1">
        <f t="array" ref="L584">_xlfn.IFS(bike_buyers[[#This Row],[Age]]&gt;= 70, "senior citizen", bike_buyers[[#This Row],[Age]]&gt;=55, "middle age",  bike_buyers[[#This Row],[Age]]&gt;=40,"mature adult ", bike_buyers[[#This Row],[Age]]&gt;=30, "adults", bike_buyers[[#This Row],[Age]]&gt;= 20, "young adults")</f>
        <v xml:space="preserve">mature adult </v>
      </c>
      <c r="M584">
        <v>47</v>
      </c>
      <c r="N584" t="s">
        <v>20</v>
      </c>
    </row>
    <row r="585" spans="1:14" x14ac:dyDescent="0.25">
      <c r="A585">
        <v>24943</v>
      </c>
      <c r="B585" t="s">
        <v>13</v>
      </c>
      <c r="C585" t="s">
        <v>21</v>
      </c>
      <c r="D585" s="1">
        <v>60000</v>
      </c>
      <c r="E585">
        <v>3</v>
      </c>
      <c r="F585" t="s">
        <v>15</v>
      </c>
      <c r="G585" t="s">
        <v>32</v>
      </c>
      <c r="H585" t="s">
        <v>17</v>
      </c>
      <c r="I585">
        <v>2</v>
      </c>
      <c r="J585" t="s">
        <v>41</v>
      </c>
      <c r="K585" t="s">
        <v>35</v>
      </c>
      <c r="L585" t="str" cm="1">
        <f t="array" ref="L585">_xlfn.IFS(bike_buyers[[#This Row],[Age]]&gt;= 70, "senior citizen", bike_buyers[[#This Row],[Age]]&gt;=55, "middle age",  bike_buyers[[#This Row],[Age]]&gt;=40,"mature adult ", bike_buyers[[#This Row],[Age]]&gt;=30, "adults", bike_buyers[[#This Row],[Age]]&gt;= 20, "young adults")</f>
        <v>middle age</v>
      </c>
      <c r="M585">
        <v>66</v>
      </c>
      <c r="N585" t="s">
        <v>20</v>
      </c>
    </row>
    <row r="586" spans="1:14" x14ac:dyDescent="0.25">
      <c r="A586">
        <v>28667</v>
      </c>
      <c r="B586" t="s">
        <v>26</v>
      </c>
      <c r="C586" t="s">
        <v>21</v>
      </c>
      <c r="D586" s="1">
        <v>70000</v>
      </c>
      <c r="E586">
        <v>2</v>
      </c>
      <c r="F586" t="s">
        <v>15</v>
      </c>
      <c r="G586" t="s">
        <v>16</v>
      </c>
      <c r="H586" t="s">
        <v>20</v>
      </c>
      <c r="I586">
        <v>1</v>
      </c>
      <c r="J586" t="s">
        <v>18</v>
      </c>
      <c r="K586" t="s">
        <v>35</v>
      </c>
      <c r="L586" t="str" cm="1">
        <f t="array" ref="L586">_xlfn.IFS(bike_buyers[[#This Row],[Age]]&gt;= 70, "senior citizen", bike_buyers[[#This Row],[Age]]&gt;=55, "middle age",  bike_buyers[[#This Row],[Age]]&gt;=40,"mature adult ", bike_buyers[[#This Row],[Age]]&gt;=30, "adults", bike_buyers[[#This Row],[Age]]&gt;= 20, "young adults")</f>
        <v>adults</v>
      </c>
      <c r="M586">
        <v>37</v>
      </c>
      <c r="N586" t="s">
        <v>17</v>
      </c>
    </row>
    <row r="587" spans="1:14" x14ac:dyDescent="0.25">
      <c r="A587">
        <v>15194</v>
      </c>
      <c r="B587" t="s">
        <v>26</v>
      </c>
      <c r="C587" t="s">
        <v>21</v>
      </c>
      <c r="D587" s="1">
        <v>120000</v>
      </c>
      <c r="E587">
        <v>2</v>
      </c>
      <c r="F587" t="s">
        <v>15</v>
      </c>
      <c r="G587" t="s">
        <v>32</v>
      </c>
      <c r="H587" t="s">
        <v>20</v>
      </c>
      <c r="I587">
        <v>3</v>
      </c>
      <c r="J587" t="s">
        <v>18</v>
      </c>
      <c r="K587" t="s">
        <v>35</v>
      </c>
      <c r="L587" t="str" cm="1">
        <f t="array" ref="L587">_xlfn.IFS(bike_buyers[[#This Row],[Age]]&gt;= 70, "senior citizen", bike_buyers[[#This Row],[Age]]&gt;=55, "middle age",  bike_buyers[[#This Row],[Age]]&gt;=40,"mature adult ", bike_buyers[[#This Row],[Age]]&gt;=30, "adults", bike_buyers[[#This Row],[Age]]&gt;= 20, "young adults")</f>
        <v>adults</v>
      </c>
      <c r="M587">
        <v>39</v>
      </c>
      <c r="N587" t="s">
        <v>17</v>
      </c>
    </row>
    <row r="588" spans="1:14" x14ac:dyDescent="0.25">
      <c r="A588">
        <v>17436</v>
      </c>
      <c r="B588" t="s">
        <v>13</v>
      </c>
      <c r="C588" t="s">
        <v>21</v>
      </c>
      <c r="D588" s="1">
        <v>60000</v>
      </c>
      <c r="E588">
        <v>2</v>
      </c>
      <c r="F588" t="s">
        <v>31</v>
      </c>
      <c r="G588" t="s">
        <v>24</v>
      </c>
      <c r="H588" t="s">
        <v>20</v>
      </c>
      <c r="I588">
        <v>2</v>
      </c>
      <c r="J588" t="s">
        <v>30</v>
      </c>
      <c r="K588" t="s">
        <v>35</v>
      </c>
      <c r="L588" t="str" cm="1">
        <f t="array" ref="L588">_xlfn.IFS(bike_buyers[[#This Row],[Age]]&gt;= 70, "senior citizen", bike_buyers[[#This Row],[Age]]&gt;=55, "middle age",  bike_buyers[[#This Row],[Age]]&gt;=40,"mature adult ", bike_buyers[[#This Row],[Age]]&gt;=30, "adults", bike_buyers[[#This Row],[Age]]&gt;= 20, "young adults")</f>
        <v xml:space="preserve">mature adult </v>
      </c>
      <c r="M588">
        <v>51</v>
      </c>
      <c r="N588" t="s">
        <v>20</v>
      </c>
    </row>
    <row r="589" spans="1:14" x14ac:dyDescent="0.25">
      <c r="A589">
        <v>18935</v>
      </c>
      <c r="B589" t="s">
        <v>13</v>
      </c>
      <c r="C589" t="s">
        <v>14</v>
      </c>
      <c r="D589" s="1">
        <v>130000</v>
      </c>
      <c r="E589">
        <v>0</v>
      </c>
      <c r="F589" t="s">
        <v>34</v>
      </c>
      <c r="G589" t="s">
        <v>32</v>
      </c>
      <c r="H589" t="s">
        <v>17</v>
      </c>
      <c r="I589">
        <v>3</v>
      </c>
      <c r="J589" t="s">
        <v>30</v>
      </c>
      <c r="K589" t="s">
        <v>35</v>
      </c>
      <c r="L589" t="str" cm="1">
        <f t="array" ref="L589">_xlfn.IFS(bike_buyers[[#This Row],[Age]]&gt;= 70, "senior citizen", bike_buyers[[#This Row],[Age]]&gt;=55, "middle age",  bike_buyers[[#This Row],[Age]]&gt;=40,"mature adult ", bike_buyers[[#This Row],[Age]]&gt;=30, "adults", bike_buyers[[#This Row],[Age]]&gt;= 20, "young adults")</f>
        <v xml:space="preserve">mature adult </v>
      </c>
      <c r="M589">
        <v>40</v>
      </c>
      <c r="N589" t="s">
        <v>20</v>
      </c>
    </row>
    <row r="590" spans="1:14" x14ac:dyDescent="0.25">
      <c r="A590">
        <v>16871</v>
      </c>
      <c r="B590" t="s">
        <v>13</v>
      </c>
      <c r="C590" t="s">
        <v>14</v>
      </c>
      <c r="D590" s="1">
        <v>90000</v>
      </c>
      <c r="E590">
        <v>2</v>
      </c>
      <c r="F590" t="s">
        <v>31</v>
      </c>
      <c r="G590" t="s">
        <v>24</v>
      </c>
      <c r="H590" t="s">
        <v>17</v>
      </c>
      <c r="I590">
        <v>1</v>
      </c>
      <c r="J590" t="s">
        <v>41</v>
      </c>
      <c r="K590" t="s">
        <v>35</v>
      </c>
      <c r="L590" t="str" cm="1">
        <f t="array" ref="L590">_xlfn.IFS(bike_buyers[[#This Row],[Age]]&gt;= 70, "senior citizen", bike_buyers[[#This Row],[Age]]&gt;=55, "middle age",  bike_buyers[[#This Row],[Age]]&gt;=40,"mature adult ", bike_buyers[[#This Row],[Age]]&gt;=30, "adults", bike_buyers[[#This Row],[Age]]&gt;= 20, "young adults")</f>
        <v xml:space="preserve">mature adult </v>
      </c>
      <c r="M590">
        <v>51</v>
      </c>
      <c r="N590" t="s">
        <v>17</v>
      </c>
    </row>
    <row r="591" spans="1:14" x14ac:dyDescent="0.25">
      <c r="A591">
        <v>12100</v>
      </c>
      <c r="B591" t="s">
        <v>26</v>
      </c>
      <c r="C591" t="s">
        <v>21</v>
      </c>
      <c r="D591" s="1">
        <v>60000</v>
      </c>
      <c r="E591">
        <v>2</v>
      </c>
      <c r="F591" t="s">
        <v>15</v>
      </c>
      <c r="G591" t="s">
        <v>32</v>
      </c>
      <c r="H591" t="s">
        <v>17</v>
      </c>
      <c r="I591">
        <v>0</v>
      </c>
      <c r="J591" t="s">
        <v>41</v>
      </c>
      <c r="K591" t="s">
        <v>35</v>
      </c>
      <c r="L591" t="str" cm="1">
        <f t="array" ref="L591">_xlfn.IFS(bike_buyers[[#This Row],[Age]]&gt;= 70, "senior citizen", bike_buyers[[#This Row],[Age]]&gt;=55, "middle age",  bike_buyers[[#This Row],[Age]]&gt;=40,"mature adult ", bike_buyers[[#This Row],[Age]]&gt;=30, "adults", bike_buyers[[#This Row],[Age]]&gt;= 20, "young adults")</f>
        <v>middle age</v>
      </c>
      <c r="M591">
        <v>57</v>
      </c>
      <c r="N591" t="s">
        <v>20</v>
      </c>
    </row>
    <row r="592" spans="1:14" x14ac:dyDescent="0.25">
      <c r="A592">
        <v>23158</v>
      </c>
      <c r="B592" t="s">
        <v>13</v>
      </c>
      <c r="C592" t="s">
        <v>14</v>
      </c>
      <c r="D592" s="1">
        <v>60000</v>
      </c>
      <c r="E592">
        <v>1</v>
      </c>
      <c r="F592" t="s">
        <v>34</v>
      </c>
      <c r="G592" t="s">
        <v>24</v>
      </c>
      <c r="H592" t="s">
        <v>20</v>
      </c>
      <c r="I592">
        <v>0</v>
      </c>
      <c r="J592" t="s">
        <v>18</v>
      </c>
      <c r="K592" t="s">
        <v>35</v>
      </c>
      <c r="L592" t="str" cm="1">
        <f t="array" ref="L592">_xlfn.IFS(bike_buyers[[#This Row],[Age]]&gt;= 70, "senior citizen", bike_buyers[[#This Row],[Age]]&gt;=55, "middle age",  bike_buyers[[#This Row],[Age]]&gt;=40,"mature adult ", bike_buyers[[#This Row],[Age]]&gt;=30, "adults", bike_buyers[[#This Row],[Age]]&gt;= 20, "young adults")</f>
        <v>adults</v>
      </c>
      <c r="M592">
        <v>35</v>
      </c>
      <c r="N592" t="s">
        <v>17</v>
      </c>
    </row>
    <row r="593" spans="1:14" x14ac:dyDescent="0.25">
      <c r="A593">
        <v>18545</v>
      </c>
      <c r="B593" t="s">
        <v>13</v>
      </c>
      <c r="C593" t="s">
        <v>21</v>
      </c>
      <c r="D593" s="1">
        <v>40000</v>
      </c>
      <c r="E593">
        <v>4</v>
      </c>
      <c r="F593" t="s">
        <v>31</v>
      </c>
      <c r="G593" t="s">
        <v>24</v>
      </c>
      <c r="H593" t="s">
        <v>20</v>
      </c>
      <c r="I593">
        <v>2</v>
      </c>
      <c r="J593" t="s">
        <v>41</v>
      </c>
      <c r="K593" t="s">
        <v>35</v>
      </c>
      <c r="L593" t="str" cm="1">
        <f t="array" ref="L593">_xlfn.IFS(bike_buyers[[#This Row],[Age]]&gt;= 70, "senior citizen", bike_buyers[[#This Row],[Age]]&gt;=55, "middle age",  bike_buyers[[#This Row],[Age]]&gt;=40,"mature adult ", bike_buyers[[#This Row],[Age]]&gt;=30, "adults", bike_buyers[[#This Row],[Age]]&gt;= 20, "young adults")</f>
        <v>middle age</v>
      </c>
      <c r="M593">
        <v>61</v>
      </c>
      <c r="N593" t="s">
        <v>17</v>
      </c>
    </row>
    <row r="594" spans="1:14" x14ac:dyDescent="0.25">
      <c r="A594">
        <v>18391</v>
      </c>
      <c r="B594" t="s">
        <v>26</v>
      </c>
      <c r="C594" t="s">
        <v>14</v>
      </c>
      <c r="D594" s="1">
        <v>80000</v>
      </c>
      <c r="E594">
        <v>5</v>
      </c>
      <c r="F594" t="s">
        <v>22</v>
      </c>
      <c r="G594" t="s">
        <v>24</v>
      </c>
      <c r="H594" t="s">
        <v>17</v>
      </c>
      <c r="I594">
        <v>2</v>
      </c>
      <c r="J594" t="s">
        <v>27</v>
      </c>
      <c r="K594" t="s">
        <v>35</v>
      </c>
      <c r="L594" t="str" cm="1">
        <f t="array" ref="L594">_xlfn.IFS(bike_buyers[[#This Row],[Age]]&gt;= 70, "senior citizen", bike_buyers[[#This Row],[Age]]&gt;=55, "middle age",  bike_buyers[[#This Row],[Age]]&gt;=40,"mature adult ", bike_buyers[[#This Row],[Age]]&gt;=30, "adults", bike_buyers[[#This Row],[Age]]&gt;= 20, "young adults")</f>
        <v xml:space="preserve">mature adult </v>
      </c>
      <c r="M594">
        <v>44</v>
      </c>
      <c r="N594" t="s">
        <v>20</v>
      </c>
    </row>
    <row r="595" spans="1:14" x14ac:dyDescent="0.25">
      <c r="A595">
        <v>19812</v>
      </c>
      <c r="B595" t="s">
        <v>26</v>
      </c>
      <c r="C595" t="s">
        <v>14</v>
      </c>
      <c r="D595" s="1">
        <v>70000</v>
      </c>
      <c r="E595">
        <v>2</v>
      </c>
      <c r="F595" t="s">
        <v>22</v>
      </c>
      <c r="G595" t="s">
        <v>24</v>
      </c>
      <c r="H595" t="s">
        <v>17</v>
      </c>
      <c r="I595">
        <v>0</v>
      </c>
      <c r="J595" t="s">
        <v>27</v>
      </c>
      <c r="K595" t="s">
        <v>35</v>
      </c>
      <c r="L595" t="str" cm="1">
        <f t="array" ref="L595">_xlfn.IFS(bike_buyers[[#This Row],[Age]]&gt;= 70, "senior citizen", bike_buyers[[#This Row],[Age]]&gt;=55, "middle age",  bike_buyers[[#This Row],[Age]]&gt;=40,"mature adult ", bike_buyers[[#This Row],[Age]]&gt;=30, "adults", bike_buyers[[#This Row],[Age]]&gt;= 20, "young adults")</f>
        <v xml:space="preserve">mature adult </v>
      </c>
      <c r="M595">
        <v>49</v>
      </c>
      <c r="N595" t="s">
        <v>17</v>
      </c>
    </row>
    <row r="596" spans="1:14" x14ac:dyDescent="0.25">
      <c r="A596">
        <v>27660</v>
      </c>
      <c r="B596" t="s">
        <v>13</v>
      </c>
      <c r="C596" t="s">
        <v>21</v>
      </c>
      <c r="D596" s="1">
        <v>80000</v>
      </c>
      <c r="E596">
        <v>4</v>
      </c>
      <c r="F596" t="s">
        <v>34</v>
      </c>
      <c r="G596" t="s">
        <v>32</v>
      </c>
      <c r="H596" t="s">
        <v>17</v>
      </c>
      <c r="I596">
        <v>2</v>
      </c>
      <c r="J596" t="s">
        <v>27</v>
      </c>
      <c r="K596" t="s">
        <v>35</v>
      </c>
      <c r="L596" t="str" cm="1">
        <f t="array" ref="L596">_xlfn.IFS(bike_buyers[[#This Row],[Age]]&gt;= 70, "senior citizen", bike_buyers[[#This Row],[Age]]&gt;=55, "middle age",  bike_buyers[[#This Row],[Age]]&gt;=40,"mature adult ", bike_buyers[[#This Row],[Age]]&gt;=30, "adults", bike_buyers[[#This Row],[Age]]&gt;= 20, "young adults")</f>
        <v>senior citizen</v>
      </c>
      <c r="M596">
        <v>70</v>
      </c>
      <c r="N596" t="s">
        <v>20</v>
      </c>
    </row>
    <row r="597" spans="1:14" x14ac:dyDescent="0.25">
      <c r="A597">
        <v>18058</v>
      </c>
      <c r="B597" t="s">
        <v>26</v>
      </c>
      <c r="C597" t="s">
        <v>14</v>
      </c>
      <c r="D597" s="1">
        <v>20000</v>
      </c>
      <c r="E597">
        <v>3</v>
      </c>
      <c r="F597" t="s">
        <v>31</v>
      </c>
      <c r="G597" t="s">
        <v>16</v>
      </c>
      <c r="H597" t="s">
        <v>17</v>
      </c>
      <c r="I597">
        <v>2</v>
      </c>
      <c r="J597" t="s">
        <v>25</v>
      </c>
      <c r="K597" t="s">
        <v>35</v>
      </c>
      <c r="L597" t="str" cm="1">
        <f t="array" ref="L597">_xlfn.IFS(bike_buyers[[#This Row],[Age]]&gt;= 70, "senior citizen", bike_buyers[[#This Row],[Age]]&gt;=55, "middle age",  bike_buyers[[#This Row],[Age]]&gt;=40,"mature adult ", bike_buyers[[#This Row],[Age]]&gt;=30, "adults", bike_buyers[[#This Row],[Age]]&gt;= 20, "young adults")</f>
        <v>senior citizen</v>
      </c>
      <c r="M597">
        <v>78</v>
      </c>
      <c r="N597" t="s">
        <v>20</v>
      </c>
    </row>
    <row r="598" spans="1:14" x14ac:dyDescent="0.25">
      <c r="A598">
        <v>20343</v>
      </c>
      <c r="B598" t="s">
        <v>13</v>
      </c>
      <c r="C598" t="s">
        <v>14</v>
      </c>
      <c r="D598" s="1">
        <v>90000</v>
      </c>
      <c r="E598">
        <v>4</v>
      </c>
      <c r="F598" t="s">
        <v>22</v>
      </c>
      <c r="G598" t="s">
        <v>24</v>
      </c>
      <c r="H598" t="s">
        <v>17</v>
      </c>
      <c r="I598">
        <v>1</v>
      </c>
      <c r="J598" t="s">
        <v>30</v>
      </c>
      <c r="K598" t="s">
        <v>35</v>
      </c>
      <c r="L598" t="str" cm="1">
        <f t="array" ref="L598">_xlfn.IFS(bike_buyers[[#This Row],[Age]]&gt;= 70, "senior citizen", bike_buyers[[#This Row],[Age]]&gt;=55, "middle age",  bike_buyers[[#This Row],[Age]]&gt;=40,"mature adult ", bike_buyers[[#This Row],[Age]]&gt;=30, "adults", bike_buyers[[#This Row],[Age]]&gt;= 20, "young adults")</f>
        <v xml:space="preserve">mature adult </v>
      </c>
      <c r="M598">
        <v>45</v>
      </c>
      <c r="N598" t="s">
        <v>20</v>
      </c>
    </row>
    <row r="599" spans="1:14" x14ac:dyDescent="0.25">
      <c r="A599">
        <v>28997</v>
      </c>
      <c r="B599" t="s">
        <v>26</v>
      </c>
      <c r="C599" t="s">
        <v>21</v>
      </c>
      <c r="D599" s="1">
        <v>40000</v>
      </c>
      <c r="E599">
        <v>2</v>
      </c>
      <c r="F599" t="s">
        <v>31</v>
      </c>
      <c r="G599" t="s">
        <v>24</v>
      </c>
      <c r="H599" t="s">
        <v>20</v>
      </c>
      <c r="I599">
        <v>1</v>
      </c>
      <c r="J599" t="s">
        <v>25</v>
      </c>
      <c r="K599" t="s">
        <v>35</v>
      </c>
      <c r="L599" t="str" cm="1">
        <f t="array" ref="L599">_xlfn.IFS(bike_buyers[[#This Row],[Age]]&gt;= 70, "senior citizen", bike_buyers[[#This Row],[Age]]&gt;=55, "middle age",  bike_buyers[[#This Row],[Age]]&gt;=40,"mature adult ", bike_buyers[[#This Row],[Age]]&gt;=30, "adults", bike_buyers[[#This Row],[Age]]&gt;= 20, "young adults")</f>
        <v>middle age</v>
      </c>
      <c r="M599">
        <v>58</v>
      </c>
      <c r="N599" t="s">
        <v>17</v>
      </c>
    </row>
    <row r="600" spans="1:14" x14ac:dyDescent="0.25">
      <c r="A600">
        <v>24398</v>
      </c>
      <c r="B600" t="s">
        <v>13</v>
      </c>
      <c r="C600" t="s">
        <v>21</v>
      </c>
      <c r="D600" s="1">
        <v>130000</v>
      </c>
      <c r="E600">
        <v>1</v>
      </c>
      <c r="F600" t="s">
        <v>34</v>
      </c>
      <c r="G600" t="s">
        <v>32</v>
      </c>
      <c r="H600" t="s">
        <v>17</v>
      </c>
      <c r="I600">
        <v>4</v>
      </c>
      <c r="J600" t="s">
        <v>18</v>
      </c>
      <c r="K600" t="s">
        <v>35</v>
      </c>
      <c r="L600" t="str" cm="1">
        <f t="array" ref="L600">_xlfn.IFS(bike_buyers[[#This Row],[Age]]&gt;= 70, "senior citizen", bike_buyers[[#This Row],[Age]]&gt;=55, "middle age",  bike_buyers[[#This Row],[Age]]&gt;=40,"mature adult ", bike_buyers[[#This Row],[Age]]&gt;=30, "adults", bike_buyers[[#This Row],[Age]]&gt;= 20, "young adults")</f>
        <v xml:space="preserve">mature adult </v>
      </c>
      <c r="M600">
        <v>41</v>
      </c>
      <c r="N600" t="s">
        <v>20</v>
      </c>
    </row>
    <row r="601" spans="1:14" x14ac:dyDescent="0.25">
      <c r="A601">
        <v>19002</v>
      </c>
      <c r="B601" t="s">
        <v>13</v>
      </c>
      <c r="C601" t="s">
        <v>14</v>
      </c>
      <c r="D601" s="1">
        <v>60000</v>
      </c>
      <c r="E601">
        <v>2</v>
      </c>
      <c r="F601" t="s">
        <v>22</v>
      </c>
      <c r="G601" t="s">
        <v>24</v>
      </c>
      <c r="H601" t="s">
        <v>17</v>
      </c>
      <c r="I601">
        <v>1</v>
      </c>
      <c r="J601" t="s">
        <v>25</v>
      </c>
      <c r="K601" t="s">
        <v>35</v>
      </c>
      <c r="L601" t="str" cm="1">
        <f t="array" ref="L601">_xlfn.IFS(bike_buyers[[#This Row],[Age]]&gt;= 70, "senior citizen", bike_buyers[[#This Row],[Age]]&gt;=55, "middle age",  bike_buyers[[#This Row],[Age]]&gt;=40,"mature adult ", bike_buyers[[#This Row],[Age]]&gt;=30, "adults", bike_buyers[[#This Row],[Age]]&gt;= 20, "young adults")</f>
        <v>middle age</v>
      </c>
      <c r="M601">
        <v>57</v>
      </c>
      <c r="N601" t="s">
        <v>17</v>
      </c>
    </row>
    <row r="602" spans="1:14" x14ac:dyDescent="0.25">
      <c r="A602">
        <v>28609</v>
      </c>
      <c r="B602" t="s">
        <v>13</v>
      </c>
      <c r="C602" t="s">
        <v>21</v>
      </c>
      <c r="D602" s="1">
        <v>30000</v>
      </c>
      <c r="E602">
        <v>2</v>
      </c>
      <c r="F602" t="s">
        <v>31</v>
      </c>
      <c r="G602" t="s">
        <v>16</v>
      </c>
      <c r="H602" t="s">
        <v>20</v>
      </c>
      <c r="I602">
        <v>2</v>
      </c>
      <c r="J602" t="s">
        <v>18</v>
      </c>
      <c r="K602" t="s">
        <v>35</v>
      </c>
      <c r="L602" t="str" cm="1">
        <f t="array" ref="L602">_xlfn.IFS(bike_buyers[[#This Row],[Age]]&gt;= 70, "senior citizen", bike_buyers[[#This Row],[Age]]&gt;=55, "middle age",  bike_buyers[[#This Row],[Age]]&gt;=40,"mature adult ", bike_buyers[[#This Row],[Age]]&gt;=30, "adults", bike_buyers[[#This Row],[Age]]&gt;= 20, "young adults")</f>
        <v xml:space="preserve">mature adult </v>
      </c>
      <c r="M602">
        <v>49</v>
      </c>
      <c r="N602" t="s">
        <v>20</v>
      </c>
    </row>
    <row r="603" spans="1:14" x14ac:dyDescent="0.25">
      <c r="A603">
        <v>29231</v>
      </c>
      <c r="B603" t="s">
        <v>26</v>
      </c>
      <c r="C603" t="s">
        <v>21</v>
      </c>
      <c r="D603" s="1">
        <v>80000</v>
      </c>
      <c r="E603">
        <v>4</v>
      </c>
      <c r="F603" t="s">
        <v>22</v>
      </c>
      <c r="G603" t="s">
        <v>24</v>
      </c>
      <c r="H603" t="s">
        <v>20</v>
      </c>
      <c r="I603">
        <v>2</v>
      </c>
      <c r="J603" t="s">
        <v>18</v>
      </c>
      <c r="K603" t="s">
        <v>35</v>
      </c>
      <c r="L603" t="str" cm="1">
        <f t="array" ref="L603">_xlfn.IFS(bike_buyers[[#This Row],[Age]]&gt;= 70, "senior citizen", bike_buyers[[#This Row],[Age]]&gt;=55, "middle age",  bike_buyers[[#This Row],[Age]]&gt;=40,"mature adult ", bike_buyers[[#This Row],[Age]]&gt;=30, "adults", bike_buyers[[#This Row],[Age]]&gt;= 20, "young adults")</f>
        <v xml:space="preserve">mature adult </v>
      </c>
      <c r="M603">
        <v>43</v>
      </c>
      <c r="N603" t="s">
        <v>20</v>
      </c>
    </row>
    <row r="604" spans="1:14" x14ac:dyDescent="0.25">
      <c r="A604">
        <v>18858</v>
      </c>
      <c r="B604" t="s">
        <v>26</v>
      </c>
      <c r="C604" t="s">
        <v>21</v>
      </c>
      <c r="D604" s="1">
        <v>60000</v>
      </c>
      <c r="E604">
        <v>2</v>
      </c>
      <c r="F604" t="s">
        <v>33</v>
      </c>
      <c r="G604" t="s">
        <v>16</v>
      </c>
      <c r="H604" t="s">
        <v>17</v>
      </c>
      <c r="I604">
        <v>2</v>
      </c>
      <c r="J604" t="s">
        <v>27</v>
      </c>
      <c r="K604" t="s">
        <v>35</v>
      </c>
      <c r="L604" t="str" cm="1">
        <f t="array" ref="L604">_xlfn.IFS(bike_buyers[[#This Row],[Age]]&gt;= 70, "senior citizen", bike_buyers[[#This Row],[Age]]&gt;=55, "middle age",  bike_buyers[[#This Row],[Age]]&gt;=40,"mature adult ", bike_buyers[[#This Row],[Age]]&gt;=30, "adults", bike_buyers[[#This Row],[Age]]&gt;= 20, "young adults")</f>
        <v xml:space="preserve">mature adult </v>
      </c>
      <c r="M604">
        <v>52</v>
      </c>
      <c r="N604" t="s">
        <v>17</v>
      </c>
    </row>
    <row r="605" spans="1:14" x14ac:dyDescent="0.25">
      <c r="A605">
        <v>20000</v>
      </c>
      <c r="B605" t="s">
        <v>13</v>
      </c>
      <c r="C605" t="s">
        <v>21</v>
      </c>
      <c r="D605" s="1">
        <v>60000</v>
      </c>
      <c r="E605">
        <v>1</v>
      </c>
      <c r="F605" t="s">
        <v>34</v>
      </c>
      <c r="G605" t="s">
        <v>24</v>
      </c>
      <c r="H605" t="s">
        <v>17</v>
      </c>
      <c r="I605">
        <v>0</v>
      </c>
      <c r="J605" t="s">
        <v>18</v>
      </c>
      <c r="K605" t="s">
        <v>35</v>
      </c>
      <c r="L605" t="str" cm="1">
        <f t="array" ref="L605">_xlfn.IFS(bike_buyers[[#This Row],[Age]]&gt;= 70, "senior citizen", bike_buyers[[#This Row],[Age]]&gt;=55, "middle age",  bike_buyers[[#This Row],[Age]]&gt;=40,"mature adult ", bike_buyers[[#This Row],[Age]]&gt;=30, "adults", bike_buyers[[#This Row],[Age]]&gt;= 20, "young adults")</f>
        <v>adults</v>
      </c>
      <c r="M605">
        <v>35</v>
      </c>
      <c r="N605" t="s">
        <v>17</v>
      </c>
    </row>
    <row r="606" spans="1:14" x14ac:dyDescent="0.25">
      <c r="A606">
        <v>25261</v>
      </c>
      <c r="B606" t="s">
        <v>13</v>
      </c>
      <c r="C606" t="s">
        <v>21</v>
      </c>
      <c r="D606" s="1">
        <v>40000</v>
      </c>
      <c r="E606">
        <v>0</v>
      </c>
      <c r="F606" t="s">
        <v>31</v>
      </c>
      <c r="G606" t="s">
        <v>16</v>
      </c>
      <c r="H606" t="s">
        <v>17</v>
      </c>
      <c r="I606">
        <v>2</v>
      </c>
      <c r="J606" t="s">
        <v>27</v>
      </c>
      <c r="K606" t="s">
        <v>35</v>
      </c>
      <c r="L606" t="str" cm="1">
        <f t="array" ref="L606">_xlfn.IFS(bike_buyers[[#This Row],[Age]]&gt;= 70, "senior citizen", bike_buyers[[#This Row],[Age]]&gt;=55, "middle age",  bike_buyers[[#This Row],[Age]]&gt;=40,"mature adult ", bike_buyers[[#This Row],[Age]]&gt;=30, "adults", bike_buyers[[#This Row],[Age]]&gt;= 20, "young adults")</f>
        <v>young adults</v>
      </c>
      <c r="M606">
        <v>27</v>
      </c>
      <c r="N606" t="s">
        <v>20</v>
      </c>
    </row>
    <row r="607" spans="1:14" x14ac:dyDescent="0.25">
      <c r="A607">
        <v>17458</v>
      </c>
      <c r="B607" t="s">
        <v>26</v>
      </c>
      <c r="C607" t="s">
        <v>21</v>
      </c>
      <c r="D607" s="1">
        <v>70000</v>
      </c>
      <c r="E607">
        <v>3</v>
      </c>
      <c r="F607" t="s">
        <v>31</v>
      </c>
      <c r="G607" t="s">
        <v>24</v>
      </c>
      <c r="H607" t="s">
        <v>17</v>
      </c>
      <c r="I607">
        <v>0</v>
      </c>
      <c r="J607" t="s">
        <v>27</v>
      </c>
      <c r="K607" t="s">
        <v>35</v>
      </c>
      <c r="L607" t="str" cm="1">
        <f t="array" ref="L607">_xlfn.IFS(bike_buyers[[#This Row],[Age]]&gt;= 70, "senior citizen", bike_buyers[[#This Row],[Age]]&gt;=55, "middle age",  bike_buyers[[#This Row],[Age]]&gt;=40,"mature adult ", bike_buyers[[#This Row],[Age]]&gt;=30, "adults", bike_buyers[[#This Row],[Age]]&gt;= 20, "young adults")</f>
        <v xml:space="preserve">mature adult </v>
      </c>
      <c r="M607">
        <v>52</v>
      </c>
      <c r="N607" t="s">
        <v>17</v>
      </c>
    </row>
    <row r="608" spans="1:14" x14ac:dyDescent="0.25">
      <c r="A608">
        <v>11644</v>
      </c>
      <c r="B608" t="s">
        <v>26</v>
      </c>
      <c r="C608" t="s">
        <v>21</v>
      </c>
      <c r="D608" s="1">
        <v>40000</v>
      </c>
      <c r="E608">
        <v>2</v>
      </c>
      <c r="F608" t="s">
        <v>15</v>
      </c>
      <c r="G608" t="s">
        <v>16</v>
      </c>
      <c r="H608" t="s">
        <v>17</v>
      </c>
      <c r="I608">
        <v>0</v>
      </c>
      <c r="J608" t="s">
        <v>25</v>
      </c>
      <c r="K608" t="s">
        <v>35</v>
      </c>
      <c r="L608" t="str" cm="1">
        <f t="array" ref="L608">_xlfn.IFS(bike_buyers[[#This Row],[Age]]&gt;= 70, "senior citizen", bike_buyers[[#This Row],[Age]]&gt;=55, "middle age",  bike_buyers[[#This Row],[Age]]&gt;=40,"mature adult ", bike_buyers[[#This Row],[Age]]&gt;=30, "adults", bike_buyers[[#This Row],[Age]]&gt;= 20, "young adults")</f>
        <v>adults</v>
      </c>
      <c r="M608">
        <v>36</v>
      </c>
      <c r="N608" t="s">
        <v>20</v>
      </c>
    </row>
    <row r="609" spans="1:14" x14ac:dyDescent="0.25">
      <c r="A609">
        <v>16145</v>
      </c>
      <c r="B609" t="s">
        <v>26</v>
      </c>
      <c r="C609" t="s">
        <v>14</v>
      </c>
      <c r="D609" s="1">
        <v>70000</v>
      </c>
      <c r="E609">
        <v>5</v>
      </c>
      <c r="F609" t="s">
        <v>34</v>
      </c>
      <c r="G609" t="s">
        <v>24</v>
      </c>
      <c r="H609" t="s">
        <v>17</v>
      </c>
      <c r="I609">
        <v>3</v>
      </c>
      <c r="J609" t="s">
        <v>41</v>
      </c>
      <c r="K609" t="s">
        <v>35</v>
      </c>
      <c r="L609" t="str" cm="1">
        <f t="array" ref="L609">_xlfn.IFS(bike_buyers[[#This Row],[Age]]&gt;= 70, "senior citizen", bike_buyers[[#This Row],[Age]]&gt;=55, "middle age",  bike_buyers[[#This Row],[Age]]&gt;=40,"mature adult ", bike_buyers[[#This Row],[Age]]&gt;=30, "adults", bike_buyers[[#This Row],[Age]]&gt;= 20, "young adults")</f>
        <v xml:space="preserve">mature adult </v>
      </c>
      <c r="M609">
        <v>46</v>
      </c>
      <c r="N609" t="s">
        <v>17</v>
      </c>
    </row>
    <row r="610" spans="1:14" x14ac:dyDescent="0.25">
      <c r="A610">
        <v>16890</v>
      </c>
      <c r="B610" t="s">
        <v>13</v>
      </c>
      <c r="C610" t="s">
        <v>21</v>
      </c>
      <c r="D610" s="1">
        <v>60000</v>
      </c>
      <c r="E610">
        <v>3</v>
      </c>
      <c r="F610" t="s">
        <v>33</v>
      </c>
      <c r="G610" t="s">
        <v>16</v>
      </c>
      <c r="H610" t="s">
        <v>17</v>
      </c>
      <c r="I610">
        <v>2</v>
      </c>
      <c r="J610" t="s">
        <v>27</v>
      </c>
      <c r="K610" t="s">
        <v>35</v>
      </c>
      <c r="L610" t="str" cm="1">
        <f t="array" ref="L610">_xlfn.IFS(bike_buyers[[#This Row],[Age]]&gt;= 70, "senior citizen", bike_buyers[[#This Row],[Age]]&gt;=55, "middle age",  bike_buyers[[#This Row],[Age]]&gt;=40,"mature adult ", bike_buyers[[#This Row],[Age]]&gt;=30, "adults", bike_buyers[[#This Row],[Age]]&gt;= 20, "young adults")</f>
        <v xml:space="preserve">mature adult </v>
      </c>
      <c r="M610">
        <v>52</v>
      </c>
      <c r="N610" t="s">
        <v>17</v>
      </c>
    </row>
    <row r="611" spans="1:14" x14ac:dyDescent="0.25">
      <c r="A611">
        <v>25983</v>
      </c>
      <c r="B611" t="s">
        <v>13</v>
      </c>
      <c r="C611" t="s">
        <v>21</v>
      </c>
      <c r="D611" s="1">
        <v>70000</v>
      </c>
      <c r="E611">
        <v>0</v>
      </c>
      <c r="F611" t="s">
        <v>15</v>
      </c>
      <c r="G611" t="s">
        <v>24</v>
      </c>
      <c r="H611" t="s">
        <v>20</v>
      </c>
      <c r="I611">
        <v>1</v>
      </c>
      <c r="J611" t="s">
        <v>18</v>
      </c>
      <c r="K611" t="s">
        <v>35</v>
      </c>
      <c r="L611" t="str" cm="1">
        <f t="array" ref="L611">_xlfn.IFS(bike_buyers[[#This Row],[Age]]&gt;= 70, "senior citizen", bike_buyers[[#This Row],[Age]]&gt;=55, "middle age",  bike_buyers[[#This Row],[Age]]&gt;=40,"mature adult ", bike_buyers[[#This Row],[Age]]&gt;=30, "adults", bike_buyers[[#This Row],[Age]]&gt;= 20, "young adults")</f>
        <v xml:space="preserve">mature adult </v>
      </c>
      <c r="M611">
        <v>43</v>
      </c>
      <c r="N611" t="s">
        <v>20</v>
      </c>
    </row>
    <row r="612" spans="1:14" x14ac:dyDescent="0.25">
      <c r="A612">
        <v>14633</v>
      </c>
      <c r="B612" t="s">
        <v>13</v>
      </c>
      <c r="C612" t="s">
        <v>21</v>
      </c>
      <c r="D612" s="1">
        <v>60000</v>
      </c>
      <c r="E612">
        <v>1</v>
      </c>
      <c r="F612" t="s">
        <v>22</v>
      </c>
      <c r="G612" t="s">
        <v>16</v>
      </c>
      <c r="H612" t="s">
        <v>17</v>
      </c>
      <c r="I612">
        <v>1</v>
      </c>
      <c r="J612" t="s">
        <v>25</v>
      </c>
      <c r="K612" t="s">
        <v>35</v>
      </c>
      <c r="L612" t="str" cm="1">
        <f t="array" ref="L612">_xlfn.IFS(bike_buyers[[#This Row],[Age]]&gt;= 70, "senior citizen", bike_buyers[[#This Row],[Age]]&gt;=55, "middle age",  bike_buyers[[#This Row],[Age]]&gt;=40,"mature adult ", bike_buyers[[#This Row],[Age]]&gt;=30, "adults", bike_buyers[[#This Row],[Age]]&gt;= 20, "young adults")</f>
        <v xml:space="preserve">mature adult </v>
      </c>
      <c r="M612">
        <v>44</v>
      </c>
      <c r="N612" t="s">
        <v>20</v>
      </c>
    </row>
    <row r="613" spans="1:14" x14ac:dyDescent="0.25">
      <c r="A613">
        <v>22994</v>
      </c>
      <c r="B613" t="s">
        <v>13</v>
      </c>
      <c r="C613" t="s">
        <v>14</v>
      </c>
      <c r="D613" s="1">
        <v>80000</v>
      </c>
      <c r="E613">
        <v>0</v>
      </c>
      <c r="F613" t="s">
        <v>15</v>
      </c>
      <c r="G613" t="s">
        <v>32</v>
      </c>
      <c r="H613" t="s">
        <v>17</v>
      </c>
      <c r="I613">
        <v>1</v>
      </c>
      <c r="J613" t="s">
        <v>30</v>
      </c>
      <c r="K613" t="s">
        <v>35</v>
      </c>
      <c r="L613" t="str" cm="1">
        <f t="array" ref="L613">_xlfn.IFS(bike_buyers[[#This Row],[Age]]&gt;= 70, "senior citizen", bike_buyers[[#This Row],[Age]]&gt;=55, "middle age",  bike_buyers[[#This Row],[Age]]&gt;=40,"mature adult ", bike_buyers[[#This Row],[Age]]&gt;=30, "adults", bike_buyers[[#This Row],[Age]]&gt;= 20, "young adults")</f>
        <v>adults</v>
      </c>
      <c r="M613">
        <v>34</v>
      </c>
      <c r="N613" t="s">
        <v>17</v>
      </c>
    </row>
    <row r="614" spans="1:14" x14ac:dyDescent="0.25">
      <c r="A614">
        <v>22983</v>
      </c>
      <c r="B614" t="s">
        <v>26</v>
      </c>
      <c r="C614" t="s">
        <v>14</v>
      </c>
      <c r="D614" s="1">
        <v>30000</v>
      </c>
      <c r="E614">
        <v>0</v>
      </c>
      <c r="F614" t="s">
        <v>33</v>
      </c>
      <c r="G614" t="s">
        <v>23</v>
      </c>
      <c r="H614" t="s">
        <v>17</v>
      </c>
      <c r="I614">
        <v>2</v>
      </c>
      <c r="J614" t="s">
        <v>27</v>
      </c>
      <c r="K614" t="s">
        <v>35</v>
      </c>
      <c r="L614" t="str" cm="1">
        <f t="array" ref="L614">_xlfn.IFS(bike_buyers[[#This Row],[Age]]&gt;= 70, "senior citizen", bike_buyers[[#This Row],[Age]]&gt;=55, "middle age",  bike_buyers[[#This Row],[Age]]&gt;=40,"mature adult ", bike_buyers[[#This Row],[Age]]&gt;=30, "adults", bike_buyers[[#This Row],[Age]]&gt;= 20, "young adults")</f>
        <v>young adults</v>
      </c>
      <c r="M614">
        <v>27</v>
      </c>
      <c r="N614" t="s">
        <v>20</v>
      </c>
    </row>
    <row r="615" spans="1:14" x14ac:dyDescent="0.25">
      <c r="A615">
        <v>25184</v>
      </c>
      <c r="B615" t="s">
        <v>26</v>
      </c>
      <c r="C615" t="s">
        <v>21</v>
      </c>
      <c r="D615" s="1">
        <v>110000</v>
      </c>
      <c r="E615">
        <v>1</v>
      </c>
      <c r="F615" t="s">
        <v>22</v>
      </c>
      <c r="G615" t="s">
        <v>24</v>
      </c>
      <c r="H615" t="s">
        <v>17</v>
      </c>
      <c r="I615">
        <v>4</v>
      </c>
      <c r="J615" t="s">
        <v>27</v>
      </c>
      <c r="K615" t="s">
        <v>35</v>
      </c>
      <c r="L615" t="str" cm="1">
        <f t="array" ref="L615">_xlfn.IFS(bike_buyers[[#This Row],[Age]]&gt;= 70, "senior citizen", bike_buyers[[#This Row],[Age]]&gt;=55, "middle age",  bike_buyers[[#This Row],[Age]]&gt;=40,"mature adult ", bike_buyers[[#This Row],[Age]]&gt;=30, "adults", bike_buyers[[#This Row],[Age]]&gt;= 20, "young adults")</f>
        <v xml:space="preserve">mature adult </v>
      </c>
      <c r="M615">
        <v>45</v>
      </c>
      <c r="N615" t="s">
        <v>17</v>
      </c>
    </row>
    <row r="616" spans="1:14" x14ac:dyDescent="0.25">
      <c r="A616">
        <v>14469</v>
      </c>
      <c r="B616" t="s">
        <v>13</v>
      </c>
      <c r="C616" t="s">
        <v>14</v>
      </c>
      <c r="D616" s="1">
        <v>100000</v>
      </c>
      <c r="E616">
        <v>3</v>
      </c>
      <c r="F616" t="s">
        <v>22</v>
      </c>
      <c r="G616" t="s">
        <v>24</v>
      </c>
      <c r="H616" t="s">
        <v>17</v>
      </c>
      <c r="I616">
        <v>4</v>
      </c>
      <c r="J616" t="s">
        <v>30</v>
      </c>
      <c r="K616" t="s">
        <v>35</v>
      </c>
      <c r="L616" t="str" cm="1">
        <f t="array" ref="L616">_xlfn.IFS(bike_buyers[[#This Row],[Age]]&gt;= 70, "senior citizen", bike_buyers[[#This Row],[Age]]&gt;=55, "middle age",  bike_buyers[[#This Row],[Age]]&gt;=40,"mature adult ", bike_buyers[[#This Row],[Age]]&gt;=30, "adults", bike_buyers[[#This Row],[Age]]&gt;= 20, "young adults")</f>
        <v xml:space="preserve">mature adult </v>
      </c>
      <c r="M616">
        <v>45</v>
      </c>
      <c r="N616" t="s">
        <v>20</v>
      </c>
    </row>
    <row r="617" spans="1:14" x14ac:dyDescent="0.25">
      <c r="A617">
        <v>11538</v>
      </c>
      <c r="B617" t="s">
        <v>26</v>
      </c>
      <c r="C617" t="s">
        <v>14</v>
      </c>
      <c r="D617" s="1">
        <v>60000</v>
      </c>
      <c r="E617">
        <v>4</v>
      </c>
      <c r="F617" t="s">
        <v>34</v>
      </c>
      <c r="G617" t="s">
        <v>16</v>
      </c>
      <c r="H617" t="s">
        <v>20</v>
      </c>
      <c r="I617">
        <v>0</v>
      </c>
      <c r="J617" t="s">
        <v>18</v>
      </c>
      <c r="K617" t="s">
        <v>35</v>
      </c>
      <c r="L617" t="str" cm="1">
        <f t="array" ref="L617">_xlfn.IFS(bike_buyers[[#This Row],[Age]]&gt;= 70, "senior citizen", bike_buyers[[#This Row],[Age]]&gt;=55, "middle age",  bike_buyers[[#This Row],[Age]]&gt;=40,"mature adult ", bike_buyers[[#This Row],[Age]]&gt;=30, "adults", bike_buyers[[#This Row],[Age]]&gt;= 20, "young adults")</f>
        <v xml:space="preserve">mature adult </v>
      </c>
      <c r="M617">
        <v>47</v>
      </c>
      <c r="N617" t="s">
        <v>17</v>
      </c>
    </row>
    <row r="618" spans="1:14" x14ac:dyDescent="0.25">
      <c r="A618">
        <v>16245</v>
      </c>
      <c r="B618" t="s">
        <v>26</v>
      </c>
      <c r="C618" t="s">
        <v>14</v>
      </c>
      <c r="D618" s="1">
        <v>80000</v>
      </c>
      <c r="E618">
        <v>4</v>
      </c>
      <c r="F618" t="s">
        <v>34</v>
      </c>
      <c r="G618" t="s">
        <v>16</v>
      </c>
      <c r="H618" t="s">
        <v>17</v>
      </c>
      <c r="I618">
        <v>0</v>
      </c>
      <c r="J618" t="s">
        <v>30</v>
      </c>
      <c r="K618" t="s">
        <v>35</v>
      </c>
      <c r="L618" t="str" cm="1">
        <f t="array" ref="L618">_xlfn.IFS(bike_buyers[[#This Row],[Age]]&gt;= 70, "senior citizen", bike_buyers[[#This Row],[Age]]&gt;=55, "middle age",  bike_buyers[[#This Row],[Age]]&gt;=40,"mature adult ", bike_buyers[[#This Row],[Age]]&gt;=30, "adults", bike_buyers[[#This Row],[Age]]&gt;= 20, "young adults")</f>
        <v xml:space="preserve">mature adult </v>
      </c>
      <c r="M618">
        <v>47</v>
      </c>
      <c r="N618" t="s">
        <v>20</v>
      </c>
    </row>
    <row r="619" spans="1:14" x14ac:dyDescent="0.25">
      <c r="A619">
        <v>17858</v>
      </c>
      <c r="B619" t="s">
        <v>13</v>
      </c>
      <c r="C619" t="s">
        <v>21</v>
      </c>
      <c r="D619" s="1">
        <v>40000</v>
      </c>
      <c r="E619">
        <v>4</v>
      </c>
      <c r="F619" t="s">
        <v>31</v>
      </c>
      <c r="G619" t="s">
        <v>16</v>
      </c>
      <c r="H619" t="s">
        <v>17</v>
      </c>
      <c r="I619">
        <v>2</v>
      </c>
      <c r="J619" t="s">
        <v>25</v>
      </c>
      <c r="K619" t="s">
        <v>35</v>
      </c>
      <c r="L619" t="str" cm="1">
        <f t="array" ref="L619">_xlfn.IFS(bike_buyers[[#This Row],[Age]]&gt;= 70, "senior citizen", bike_buyers[[#This Row],[Age]]&gt;=55, "middle age",  bike_buyers[[#This Row],[Age]]&gt;=40,"mature adult ", bike_buyers[[#This Row],[Age]]&gt;=30, "adults", bike_buyers[[#This Row],[Age]]&gt;= 20, "young adults")</f>
        <v xml:space="preserve">mature adult </v>
      </c>
      <c r="M619">
        <v>44</v>
      </c>
      <c r="N619" t="s">
        <v>17</v>
      </c>
    </row>
    <row r="620" spans="1:14" x14ac:dyDescent="0.25">
      <c r="A620">
        <v>25347</v>
      </c>
      <c r="B620" t="s">
        <v>26</v>
      </c>
      <c r="C620" t="s">
        <v>14</v>
      </c>
      <c r="D620" s="1">
        <v>20000</v>
      </c>
      <c r="E620">
        <v>3</v>
      </c>
      <c r="F620" t="s">
        <v>33</v>
      </c>
      <c r="G620" t="s">
        <v>23</v>
      </c>
      <c r="H620" t="s">
        <v>20</v>
      </c>
      <c r="I620">
        <v>2</v>
      </c>
      <c r="J620" t="s">
        <v>18</v>
      </c>
      <c r="K620" t="s">
        <v>35</v>
      </c>
      <c r="L620" t="str" cm="1">
        <f t="array" ref="L620">_xlfn.IFS(bike_buyers[[#This Row],[Age]]&gt;= 70, "senior citizen", bike_buyers[[#This Row],[Age]]&gt;=55, "middle age",  bike_buyers[[#This Row],[Age]]&gt;=40,"mature adult ", bike_buyers[[#This Row],[Age]]&gt;=30, "adults", bike_buyers[[#This Row],[Age]]&gt;= 20, "young adults")</f>
        <v xml:space="preserve">mature adult </v>
      </c>
      <c r="M620">
        <v>49</v>
      </c>
      <c r="N620" t="s">
        <v>20</v>
      </c>
    </row>
    <row r="621" spans="1:14" x14ac:dyDescent="0.25">
      <c r="A621">
        <v>15814</v>
      </c>
      <c r="B621" t="s">
        <v>26</v>
      </c>
      <c r="C621" t="s">
        <v>14</v>
      </c>
      <c r="D621" s="1">
        <v>40000</v>
      </c>
      <c r="E621">
        <v>0</v>
      </c>
      <c r="F621" t="s">
        <v>31</v>
      </c>
      <c r="G621" t="s">
        <v>16</v>
      </c>
      <c r="H621" t="s">
        <v>17</v>
      </c>
      <c r="I621">
        <v>1</v>
      </c>
      <c r="J621" t="s">
        <v>27</v>
      </c>
      <c r="K621" t="s">
        <v>35</v>
      </c>
      <c r="L621" t="str" cm="1">
        <f t="array" ref="L621">_xlfn.IFS(bike_buyers[[#This Row],[Age]]&gt;= 70, "senior citizen", bike_buyers[[#This Row],[Age]]&gt;=55, "middle age",  bike_buyers[[#This Row],[Age]]&gt;=40,"mature adult ", bike_buyers[[#This Row],[Age]]&gt;=30, "adults", bike_buyers[[#This Row],[Age]]&gt;= 20, "young adults")</f>
        <v>adults</v>
      </c>
      <c r="M621">
        <v>30</v>
      </c>
      <c r="N621" t="s">
        <v>20</v>
      </c>
    </row>
    <row r="622" spans="1:14" x14ac:dyDescent="0.25">
      <c r="A622">
        <v>11259</v>
      </c>
      <c r="B622" t="s">
        <v>13</v>
      </c>
      <c r="C622" t="s">
        <v>14</v>
      </c>
      <c r="D622" s="1">
        <v>100000</v>
      </c>
      <c r="E622">
        <v>4</v>
      </c>
      <c r="F622" t="s">
        <v>22</v>
      </c>
      <c r="G622" t="s">
        <v>24</v>
      </c>
      <c r="H622" t="s">
        <v>17</v>
      </c>
      <c r="I622">
        <v>4</v>
      </c>
      <c r="J622" t="s">
        <v>25</v>
      </c>
      <c r="K622" t="s">
        <v>35</v>
      </c>
      <c r="L622" t="str" cm="1">
        <f t="array" ref="L622">_xlfn.IFS(bike_buyers[[#This Row],[Age]]&gt;= 70, "senior citizen", bike_buyers[[#This Row],[Age]]&gt;=55, "middle age",  bike_buyers[[#This Row],[Age]]&gt;=40,"mature adult ", bike_buyers[[#This Row],[Age]]&gt;=30, "adults", bike_buyers[[#This Row],[Age]]&gt;= 20, "young adults")</f>
        <v xml:space="preserve">mature adult </v>
      </c>
      <c r="M622">
        <v>41</v>
      </c>
      <c r="N622" t="s">
        <v>17</v>
      </c>
    </row>
    <row r="623" spans="1:14" x14ac:dyDescent="0.25">
      <c r="A623">
        <v>11200</v>
      </c>
      <c r="B623" t="s">
        <v>13</v>
      </c>
      <c r="C623" t="s">
        <v>21</v>
      </c>
      <c r="D623" s="1">
        <v>70000</v>
      </c>
      <c r="E623">
        <v>4</v>
      </c>
      <c r="F623" t="s">
        <v>15</v>
      </c>
      <c r="G623" t="s">
        <v>32</v>
      </c>
      <c r="H623" t="s">
        <v>17</v>
      </c>
      <c r="I623">
        <v>1</v>
      </c>
      <c r="J623" t="s">
        <v>30</v>
      </c>
      <c r="K623" t="s">
        <v>35</v>
      </c>
      <c r="L623" t="str" cm="1">
        <f t="array" ref="L623">_xlfn.IFS(bike_buyers[[#This Row],[Age]]&gt;= 70, "senior citizen", bike_buyers[[#This Row],[Age]]&gt;=55, "middle age",  bike_buyers[[#This Row],[Age]]&gt;=40,"mature adult ", bike_buyers[[#This Row],[Age]]&gt;=30, "adults", bike_buyers[[#This Row],[Age]]&gt;= 20, "young adults")</f>
        <v>middle age</v>
      </c>
      <c r="M623">
        <v>58</v>
      </c>
      <c r="N623" t="s">
        <v>20</v>
      </c>
    </row>
    <row r="624" spans="1:14" x14ac:dyDescent="0.25">
      <c r="A624">
        <v>25101</v>
      </c>
      <c r="B624" t="s">
        <v>13</v>
      </c>
      <c r="C624" t="s">
        <v>21</v>
      </c>
      <c r="D624" s="1">
        <v>60000</v>
      </c>
      <c r="E624">
        <v>5</v>
      </c>
      <c r="F624" t="s">
        <v>15</v>
      </c>
      <c r="G624" t="s">
        <v>24</v>
      </c>
      <c r="H624" t="s">
        <v>17</v>
      </c>
      <c r="I624">
        <v>1</v>
      </c>
      <c r="J624" t="s">
        <v>25</v>
      </c>
      <c r="K624" t="s">
        <v>35</v>
      </c>
      <c r="L624" t="str" cm="1">
        <f t="array" ref="L624">_xlfn.IFS(bike_buyers[[#This Row],[Age]]&gt;= 70, "senior citizen", bike_buyers[[#This Row],[Age]]&gt;=55, "middle age",  bike_buyers[[#This Row],[Age]]&gt;=40,"mature adult ", bike_buyers[[#This Row],[Age]]&gt;=30, "adults", bike_buyers[[#This Row],[Age]]&gt;= 20, "young adults")</f>
        <v xml:space="preserve">mature adult </v>
      </c>
      <c r="M624">
        <v>47</v>
      </c>
      <c r="N624" t="s">
        <v>20</v>
      </c>
    </row>
    <row r="625" spans="1:14" x14ac:dyDescent="0.25">
      <c r="A625">
        <v>21801</v>
      </c>
      <c r="B625" t="s">
        <v>13</v>
      </c>
      <c r="C625" t="s">
        <v>14</v>
      </c>
      <c r="D625" s="1">
        <v>70000</v>
      </c>
      <c r="E625">
        <v>4</v>
      </c>
      <c r="F625" t="s">
        <v>22</v>
      </c>
      <c r="G625" t="s">
        <v>24</v>
      </c>
      <c r="H625" t="s">
        <v>17</v>
      </c>
      <c r="I625">
        <v>1</v>
      </c>
      <c r="J625" t="s">
        <v>30</v>
      </c>
      <c r="K625" t="s">
        <v>35</v>
      </c>
      <c r="L625" t="str" cm="1">
        <f t="array" ref="L625">_xlfn.IFS(bike_buyers[[#This Row],[Age]]&gt;= 70, "senior citizen", bike_buyers[[#This Row],[Age]]&gt;=55, "middle age",  bike_buyers[[#This Row],[Age]]&gt;=40,"mature adult ", bike_buyers[[#This Row],[Age]]&gt;=30, "adults", bike_buyers[[#This Row],[Age]]&gt;= 20, "young adults")</f>
        <v>middle age</v>
      </c>
      <c r="M625">
        <v>55</v>
      </c>
      <c r="N625" t="s">
        <v>20</v>
      </c>
    </row>
    <row r="626" spans="1:14" x14ac:dyDescent="0.25">
      <c r="A626">
        <v>25943</v>
      </c>
      <c r="B626" t="s">
        <v>26</v>
      </c>
      <c r="C626" t="s">
        <v>14</v>
      </c>
      <c r="D626" s="1">
        <v>70000</v>
      </c>
      <c r="E626">
        <v>0</v>
      </c>
      <c r="F626" t="s">
        <v>22</v>
      </c>
      <c r="G626" t="s">
        <v>16</v>
      </c>
      <c r="H626" t="s">
        <v>20</v>
      </c>
      <c r="I626">
        <v>2</v>
      </c>
      <c r="J626" t="s">
        <v>18</v>
      </c>
      <c r="K626" t="s">
        <v>35</v>
      </c>
      <c r="L626" t="str" cm="1">
        <f t="array" ref="L626">_xlfn.IFS(bike_buyers[[#This Row],[Age]]&gt;= 70, "senior citizen", bike_buyers[[#This Row],[Age]]&gt;=55, "middle age",  bike_buyers[[#This Row],[Age]]&gt;=40,"mature adult ", bike_buyers[[#This Row],[Age]]&gt;=30, "adults", bike_buyers[[#This Row],[Age]]&gt;= 20, "young adults")</f>
        <v>young adults</v>
      </c>
      <c r="M626">
        <v>27</v>
      </c>
      <c r="N626" t="s">
        <v>17</v>
      </c>
    </row>
    <row r="627" spans="1:14" x14ac:dyDescent="0.25">
      <c r="A627">
        <v>22127</v>
      </c>
      <c r="B627" t="s">
        <v>13</v>
      </c>
      <c r="C627" t="s">
        <v>21</v>
      </c>
      <c r="D627" s="1">
        <v>60000</v>
      </c>
      <c r="E627">
        <v>3</v>
      </c>
      <c r="F627" t="s">
        <v>34</v>
      </c>
      <c r="G627" t="s">
        <v>32</v>
      </c>
      <c r="H627" t="s">
        <v>17</v>
      </c>
      <c r="I627">
        <v>2</v>
      </c>
      <c r="J627" t="s">
        <v>30</v>
      </c>
      <c r="K627" t="s">
        <v>35</v>
      </c>
      <c r="L627" t="str" cm="1">
        <f t="array" ref="L627">_xlfn.IFS(bike_buyers[[#This Row],[Age]]&gt;= 70, "senior citizen", bike_buyers[[#This Row],[Age]]&gt;=55, "middle age",  bike_buyers[[#This Row],[Age]]&gt;=40,"mature adult ", bike_buyers[[#This Row],[Age]]&gt;=30, "adults", bike_buyers[[#This Row],[Age]]&gt;= 20, "young adults")</f>
        <v>middle age</v>
      </c>
      <c r="M627">
        <v>67</v>
      </c>
      <c r="N627" t="s">
        <v>20</v>
      </c>
    </row>
    <row r="628" spans="1:14" x14ac:dyDescent="0.25">
      <c r="A628">
        <v>20414</v>
      </c>
      <c r="B628" t="s">
        <v>13</v>
      </c>
      <c r="C628" t="s">
        <v>14</v>
      </c>
      <c r="D628" s="1">
        <v>60000</v>
      </c>
      <c r="E628">
        <v>0</v>
      </c>
      <c r="F628" t="s">
        <v>22</v>
      </c>
      <c r="G628" t="s">
        <v>16</v>
      </c>
      <c r="H628" t="s">
        <v>17</v>
      </c>
      <c r="I628">
        <v>2</v>
      </c>
      <c r="J628" t="s">
        <v>27</v>
      </c>
      <c r="K628" t="s">
        <v>35</v>
      </c>
      <c r="L628" t="str" cm="1">
        <f t="array" ref="L628">_xlfn.IFS(bike_buyers[[#This Row],[Age]]&gt;= 70, "senior citizen", bike_buyers[[#This Row],[Age]]&gt;=55, "middle age",  bike_buyers[[#This Row],[Age]]&gt;=40,"mature adult ", bike_buyers[[#This Row],[Age]]&gt;=30, "adults", bike_buyers[[#This Row],[Age]]&gt;= 20, "young adults")</f>
        <v>young adults</v>
      </c>
      <c r="M628">
        <v>29</v>
      </c>
      <c r="N628" t="s">
        <v>20</v>
      </c>
    </row>
    <row r="629" spans="1:14" x14ac:dyDescent="0.25">
      <c r="A629">
        <v>23672</v>
      </c>
      <c r="B629" t="s">
        <v>13</v>
      </c>
      <c r="C629" t="s">
        <v>14</v>
      </c>
      <c r="D629" s="1">
        <v>60000</v>
      </c>
      <c r="E629">
        <v>3</v>
      </c>
      <c r="F629" t="s">
        <v>34</v>
      </c>
      <c r="G629" t="s">
        <v>32</v>
      </c>
      <c r="H629" t="s">
        <v>17</v>
      </c>
      <c r="I629">
        <v>2</v>
      </c>
      <c r="J629" t="s">
        <v>30</v>
      </c>
      <c r="K629" t="s">
        <v>35</v>
      </c>
      <c r="L629" t="str" cm="1">
        <f t="array" ref="L629">_xlfn.IFS(bike_buyers[[#This Row],[Age]]&gt;= 70, "senior citizen", bike_buyers[[#This Row],[Age]]&gt;=55, "middle age",  bike_buyers[[#This Row],[Age]]&gt;=40,"mature adult ", bike_buyers[[#This Row],[Age]]&gt;=30, "adults", bike_buyers[[#This Row],[Age]]&gt;= 20, "young adults")</f>
        <v>middle age</v>
      </c>
      <c r="M629">
        <v>67</v>
      </c>
      <c r="N629" t="s">
        <v>20</v>
      </c>
    </row>
    <row r="630" spans="1:14" x14ac:dyDescent="0.25">
      <c r="A630">
        <v>29255</v>
      </c>
      <c r="B630" t="s">
        <v>26</v>
      </c>
      <c r="C630" t="s">
        <v>21</v>
      </c>
      <c r="D630" s="1">
        <v>80000</v>
      </c>
      <c r="E630">
        <v>3</v>
      </c>
      <c r="F630" t="s">
        <v>22</v>
      </c>
      <c r="G630" t="s">
        <v>24</v>
      </c>
      <c r="H630" t="s">
        <v>20</v>
      </c>
      <c r="I630">
        <v>1</v>
      </c>
      <c r="J630" t="s">
        <v>30</v>
      </c>
      <c r="K630" t="s">
        <v>35</v>
      </c>
      <c r="L630" t="str" cm="1">
        <f t="array" ref="L630">_xlfn.IFS(bike_buyers[[#This Row],[Age]]&gt;= 70, "senior citizen", bike_buyers[[#This Row],[Age]]&gt;=55, "middle age",  bike_buyers[[#This Row],[Age]]&gt;=40,"mature adult ", bike_buyers[[#This Row],[Age]]&gt;=30, "adults", bike_buyers[[#This Row],[Age]]&gt;= 20, "young adults")</f>
        <v xml:space="preserve">mature adult </v>
      </c>
      <c r="M630">
        <v>51</v>
      </c>
      <c r="N630" t="s">
        <v>17</v>
      </c>
    </row>
    <row r="631" spans="1:14" x14ac:dyDescent="0.25">
      <c r="A631">
        <v>28815</v>
      </c>
      <c r="B631" t="s">
        <v>13</v>
      </c>
      <c r="C631" t="s">
        <v>14</v>
      </c>
      <c r="D631" s="1">
        <v>50000</v>
      </c>
      <c r="E631">
        <v>1</v>
      </c>
      <c r="F631" t="s">
        <v>34</v>
      </c>
      <c r="G631" t="s">
        <v>16</v>
      </c>
      <c r="H631" t="s">
        <v>17</v>
      </c>
      <c r="I631">
        <v>0</v>
      </c>
      <c r="J631" t="s">
        <v>18</v>
      </c>
      <c r="K631" t="s">
        <v>35</v>
      </c>
      <c r="L631" t="str" cm="1">
        <f t="array" ref="L631">_xlfn.IFS(bike_buyers[[#This Row],[Age]]&gt;= 70, "senior citizen", bike_buyers[[#This Row],[Age]]&gt;=55, "middle age",  bike_buyers[[#This Row],[Age]]&gt;=40,"mature adult ", bike_buyers[[#This Row],[Age]]&gt;=30, "adults", bike_buyers[[#This Row],[Age]]&gt;= 20, "young adults")</f>
        <v>adults</v>
      </c>
      <c r="M631">
        <v>35</v>
      </c>
      <c r="N631" t="s">
        <v>20</v>
      </c>
    </row>
    <row r="632" spans="1:14" x14ac:dyDescent="0.25">
      <c r="A632">
        <v>27753</v>
      </c>
      <c r="B632" t="s">
        <v>13</v>
      </c>
      <c r="C632" t="s">
        <v>21</v>
      </c>
      <c r="D632" s="1">
        <v>40000</v>
      </c>
      <c r="E632">
        <v>0</v>
      </c>
      <c r="F632" t="s">
        <v>31</v>
      </c>
      <c r="G632" t="s">
        <v>16</v>
      </c>
      <c r="H632" t="s">
        <v>20</v>
      </c>
      <c r="I632">
        <v>2</v>
      </c>
      <c r="J632" t="s">
        <v>30</v>
      </c>
      <c r="K632" t="s">
        <v>35</v>
      </c>
      <c r="L632" t="str" cm="1">
        <f t="array" ref="L632">_xlfn.IFS(bike_buyers[[#This Row],[Age]]&gt;= 70, "senior citizen", bike_buyers[[#This Row],[Age]]&gt;=55, "middle age",  bike_buyers[[#This Row],[Age]]&gt;=40,"mature adult ", bike_buyers[[#This Row],[Age]]&gt;=30, "adults", bike_buyers[[#This Row],[Age]]&gt;= 20, "young adults")</f>
        <v>adults</v>
      </c>
      <c r="M632">
        <v>30</v>
      </c>
      <c r="N632" t="s">
        <v>20</v>
      </c>
    </row>
    <row r="633" spans="1:14" x14ac:dyDescent="0.25">
      <c r="A633">
        <v>27643</v>
      </c>
      <c r="B633" t="s">
        <v>26</v>
      </c>
      <c r="C633" t="s">
        <v>21</v>
      </c>
      <c r="D633" s="1">
        <v>70000</v>
      </c>
      <c r="E633">
        <v>5</v>
      </c>
      <c r="F633" t="s">
        <v>22</v>
      </c>
      <c r="G633" t="s">
        <v>24</v>
      </c>
      <c r="H633" t="s">
        <v>17</v>
      </c>
      <c r="I633">
        <v>3</v>
      </c>
      <c r="J633" t="s">
        <v>25</v>
      </c>
      <c r="K633" t="s">
        <v>35</v>
      </c>
      <c r="L633" t="str" cm="1">
        <f t="array" ref="L633">_xlfn.IFS(bike_buyers[[#This Row],[Age]]&gt;= 70, "senior citizen", bike_buyers[[#This Row],[Age]]&gt;=55, "middle age",  bike_buyers[[#This Row],[Age]]&gt;=40,"mature adult ", bike_buyers[[#This Row],[Age]]&gt;=30, "adults", bike_buyers[[#This Row],[Age]]&gt;= 20, "young adults")</f>
        <v xml:space="preserve">mature adult </v>
      </c>
      <c r="M633">
        <v>44</v>
      </c>
      <c r="N633" t="s">
        <v>20</v>
      </c>
    </row>
    <row r="634" spans="1:14" x14ac:dyDescent="0.25">
      <c r="A634">
        <v>13754</v>
      </c>
      <c r="B634" t="s">
        <v>26</v>
      </c>
      <c r="C634" t="s">
        <v>14</v>
      </c>
      <c r="D634" s="1">
        <v>80000</v>
      </c>
      <c r="E634">
        <v>4</v>
      </c>
      <c r="F634" t="s">
        <v>34</v>
      </c>
      <c r="G634" t="s">
        <v>16</v>
      </c>
      <c r="H634" t="s">
        <v>17</v>
      </c>
      <c r="I634">
        <v>0</v>
      </c>
      <c r="J634" t="s">
        <v>30</v>
      </c>
      <c r="K634" t="s">
        <v>35</v>
      </c>
      <c r="L634" t="str" cm="1">
        <f t="array" ref="L634">_xlfn.IFS(bike_buyers[[#This Row],[Age]]&gt;= 70, "senior citizen", bike_buyers[[#This Row],[Age]]&gt;=55, "middle age",  bike_buyers[[#This Row],[Age]]&gt;=40,"mature adult ", bike_buyers[[#This Row],[Age]]&gt;=30, "adults", bike_buyers[[#This Row],[Age]]&gt;= 20, "young adults")</f>
        <v xml:space="preserve">mature adult </v>
      </c>
      <c r="M634">
        <v>48</v>
      </c>
      <c r="N634" t="s">
        <v>20</v>
      </c>
    </row>
    <row r="635" spans="1:14" x14ac:dyDescent="0.25">
      <c r="A635">
        <v>22088</v>
      </c>
      <c r="B635" t="s">
        <v>13</v>
      </c>
      <c r="C635" t="s">
        <v>14</v>
      </c>
      <c r="D635" s="1">
        <v>130000</v>
      </c>
      <c r="E635">
        <v>1</v>
      </c>
      <c r="F635" t="s">
        <v>15</v>
      </c>
      <c r="G635" t="s">
        <v>32</v>
      </c>
      <c r="H635" t="s">
        <v>17</v>
      </c>
      <c r="I635">
        <v>2</v>
      </c>
      <c r="J635" t="s">
        <v>18</v>
      </c>
      <c r="K635" t="s">
        <v>35</v>
      </c>
      <c r="L635" t="str" cm="1">
        <f t="array" ref="L635">_xlfn.IFS(bike_buyers[[#This Row],[Age]]&gt;= 70, "senior citizen", bike_buyers[[#This Row],[Age]]&gt;=55, "middle age",  bike_buyers[[#This Row],[Age]]&gt;=40,"mature adult ", bike_buyers[[#This Row],[Age]]&gt;=30, "adults", bike_buyers[[#This Row],[Age]]&gt;= 20, "young adults")</f>
        <v xml:space="preserve">mature adult </v>
      </c>
      <c r="M635">
        <v>45</v>
      </c>
      <c r="N635" t="s">
        <v>17</v>
      </c>
    </row>
    <row r="636" spans="1:14" x14ac:dyDescent="0.25">
      <c r="A636">
        <v>27388</v>
      </c>
      <c r="B636" t="s">
        <v>13</v>
      </c>
      <c r="C636" t="s">
        <v>21</v>
      </c>
      <c r="D636" s="1">
        <v>60000</v>
      </c>
      <c r="E636">
        <v>3</v>
      </c>
      <c r="F636" t="s">
        <v>15</v>
      </c>
      <c r="G636" t="s">
        <v>32</v>
      </c>
      <c r="H636" t="s">
        <v>20</v>
      </c>
      <c r="I636">
        <v>2</v>
      </c>
      <c r="J636" t="s">
        <v>30</v>
      </c>
      <c r="K636" t="s">
        <v>35</v>
      </c>
      <c r="L636" t="str" cm="1">
        <f t="array" ref="L636">_xlfn.IFS(bike_buyers[[#This Row],[Age]]&gt;= 70, "senior citizen", bike_buyers[[#This Row],[Age]]&gt;=55, "middle age",  bike_buyers[[#This Row],[Age]]&gt;=40,"mature adult ", bike_buyers[[#This Row],[Age]]&gt;=30, "adults", bike_buyers[[#This Row],[Age]]&gt;= 20, "young adults")</f>
        <v>middle age</v>
      </c>
      <c r="M636">
        <v>66</v>
      </c>
      <c r="N636" t="s">
        <v>20</v>
      </c>
    </row>
    <row r="637" spans="1:14" x14ac:dyDescent="0.25">
      <c r="A637">
        <v>24745</v>
      </c>
      <c r="B637" t="s">
        <v>26</v>
      </c>
      <c r="C637" t="s">
        <v>14</v>
      </c>
      <c r="D637" s="1">
        <v>30000</v>
      </c>
      <c r="E637">
        <v>2</v>
      </c>
      <c r="F637" t="s">
        <v>31</v>
      </c>
      <c r="G637" t="s">
        <v>16</v>
      </c>
      <c r="H637" t="s">
        <v>20</v>
      </c>
      <c r="I637">
        <v>2</v>
      </c>
      <c r="J637" t="s">
        <v>18</v>
      </c>
      <c r="K637" t="s">
        <v>35</v>
      </c>
      <c r="L637" t="str" cm="1">
        <f t="array" ref="L637">_xlfn.IFS(bike_buyers[[#This Row],[Age]]&gt;= 70, "senior citizen", bike_buyers[[#This Row],[Age]]&gt;=55, "middle age",  bike_buyers[[#This Row],[Age]]&gt;=40,"mature adult ", bike_buyers[[#This Row],[Age]]&gt;=30, "adults", bike_buyers[[#This Row],[Age]]&gt;= 20, "young adults")</f>
        <v xml:space="preserve">mature adult </v>
      </c>
      <c r="M637">
        <v>49</v>
      </c>
      <c r="N637" t="s">
        <v>20</v>
      </c>
    </row>
    <row r="638" spans="1:14" x14ac:dyDescent="0.25">
      <c r="A638">
        <v>29237</v>
      </c>
      <c r="B638" t="s">
        <v>26</v>
      </c>
      <c r="C638" t="s">
        <v>14</v>
      </c>
      <c r="D638" s="1">
        <v>120000</v>
      </c>
      <c r="E638">
        <v>4</v>
      </c>
      <c r="F638" t="s">
        <v>22</v>
      </c>
      <c r="G638" t="s">
        <v>24</v>
      </c>
      <c r="H638" t="s">
        <v>17</v>
      </c>
      <c r="I638">
        <v>3</v>
      </c>
      <c r="J638" t="s">
        <v>27</v>
      </c>
      <c r="K638" t="s">
        <v>35</v>
      </c>
      <c r="L638" t="str" cm="1">
        <f t="array" ref="L638">_xlfn.IFS(bike_buyers[[#This Row],[Age]]&gt;= 70, "senior citizen", bike_buyers[[#This Row],[Age]]&gt;=55, "middle age",  bike_buyers[[#This Row],[Age]]&gt;=40,"mature adult ", bike_buyers[[#This Row],[Age]]&gt;=30, "adults", bike_buyers[[#This Row],[Age]]&gt;= 20, "young adults")</f>
        <v xml:space="preserve">mature adult </v>
      </c>
      <c r="M638">
        <v>43</v>
      </c>
      <c r="N638" t="s">
        <v>17</v>
      </c>
    </row>
    <row r="639" spans="1:14" x14ac:dyDescent="0.25">
      <c r="A639">
        <v>15272</v>
      </c>
      <c r="B639" t="s">
        <v>26</v>
      </c>
      <c r="C639" t="s">
        <v>21</v>
      </c>
      <c r="D639" s="1">
        <v>40000</v>
      </c>
      <c r="E639">
        <v>0</v>
      </c>
      <c r="F639" t="s">
        <v>31</v>
      </c>
      <c r="G639" t="s">
        <v>16</v>
      </c>
      <c r="H639" t="s">
        <v>20</v>
      </c>
      <c r="I639">
        <v>2</v>
      </c>
      <c r="J639" t="s">
        <v>30</v>
      </c>
      <c r="K639" t="s">
        <v>35</v>
      </c>
      <c r="L639" t="str" cm="1">
        <f t="array" ref="L639">_xlfn.IFS(bike_buyers[[#This Row],[Age]]&gt;= 70, "senior citizen", bike_buyers[[#This Row],[Age]]&gt;=55, "middle age",  bike_buyers[[#This Row],[Age]]&gt;=40,"mature adult ", bike_buyers[[#This Row],[Age]]&gt;=30, "adults", bike_buyers[[#This Row],[Age]]&gt;= 20, "young adults")</f>
        <v>adults</v>
      </c>
      <c r="M639">
        <v>30</v>
      </c>
      <c r="N639" t="s">
        <v>20</v>
      </c>
    </row>
    <row r="640" spans="1:14" x14ac:dyDescent="0.25">
      <c r="A640">
        <v>18949</v>
      </c>
      <c r="B640" t="s">
        <v>26</v>
      </c>
      <c r="C640" t="s">
        <v>21</v>
      </c>
      <c r="D640" s="1">
        <v>70000</v>
      </c>
      <c r="E640">
        <v>0</v>
      </c>
      <c r="F640" t="s">
        <v>34</v>
      </c>
      <c r="G640" t="s">
        <v>32</v>
      </c>
      <c r="H640" t="s">
        <v>17</v>
      </c>
      <c r="I640">
        <v>2</v>
      </c>
      <c r="J640" t="s">
        <v>27</v>
      </c>
      <c r="K640" t="s">
        <v>35</v>
      </c>
      <c r="L640" t="str" cm="1">
        <f t="array" ref="L640">_xlfn.IFS(bike_buyers[[#This Row],[Age]]&gt;= 70, "senior citizen", bike_buyers[[#This Row],[Age]]&gt;=55, "middle age",  bike_buyers[[#This Row],[Age]]&gt;=40,"mature adult ", bike_buyers[[#This Row],[Age]]&gt;=30, "adults", bike_buyers[[#This Row],[Age]]&gt;= 20, "young adults")</f>
        <v>senior citizen</v>
      </c>
      <c r="M640">
        <v>74</v>
      </c>
      <c r="N640" t="s">
        <v>17</v>
      </c>
    </row>
    <row r="641" spans="1:14" x14ac:dyDescent="0.25">
      <c r="A641">
        <v>14507</v>
      </c>
      <c r="B641" t="s">
        <v>13</v>
      </c>
      <c r="C641" t="s">
        <v>21</v>
      </c>
      <c r="D641" s="1">
        <v>100000</v>
      </c>
      <c r="E641">
        <v>2</v>
      </c>
      <c r="F641" t="s">
        <v>34</v>
      </c>
      <c r="G641" t="s">
        <v>32</v>
      </c>
      <c r="H641" t="s">
        <v>17</v>
      </c>
      <c r="I641">
        <v>3</v>
      </c>
      <c r="J641" t="s">
        <v>30</v>
      </c>
      <c r="K641" t="s">
        <v>35</v>
      </c>
      <c r="L641" t="str" cm="1">
        <f t="array" ref="L641">_xlfn.IFS(bike_buyers[[#This Row],[Age]]&gt;= 70, "senior citizen", bike_buyers[[#This Row],[Age]]&gt;=55, "middle age",  bike_buyers[[#This Row],[Age]]&gt;=40,"mature adult ", bike_buyers[[#This Row],[Age]]&gt;=30, "adults", bike_buyers[[#This Row],[Age]]&gt;= 20, "young adults")</f>
        <v>middle age</v>
      </c>
      <c r="M641">
        <v>65</v>
      </c>
      <c r="N641" t="s">
        <v>20</v>
      </c>
    </row>
    <row r="642" spans="1:14" x14ac:dyDescent="0.25">
      <c r="A642">
        <v>25886</v>
      </c>
      <c r="B642" t="s">
        <v>13</v>
      </c>
      <c r="C642" t="s">
        <v>14</v>
      </c>
      <c r="D642" s="1">
        <v>60000</v>
      </c>
      <c r="E642">
        <v>2</v>
      </c>
      <c r="F642" t="s">
        <v>22</v>
      </c>
      <c r="G642" t="s">
        <v>24</v>
      </c>
      <c r="H642" t="s">
        <v>17</v>
      </c>
      <c r="I642">
        <v>2</v>
      </c>
      <c r="J642" t="s">
        <v>25</v>
      </c>
      <c r="K642" t="s">
        <v>35</v>
      </c>
      <c r="L642" t="str" cm="1">
        <f t="array" ref="L642">_xlfn.IFS(bike_buyers[[#This Row],[Age]]&gt;= 70, "senior citizen", bike_buyers[[#This Row],[Age]]&gt;=55, "middle age",  bike_buyers[[#This Row],[Age]]&gt;=40,"mature adult ", bike_buyers[[#This Row],[Age]]&gt;=30, "adults", bike_buyers[[#This Row],[Age]]&gt;= 20, "young adults")</f>
        <v>middle age</v>
      </c>
      <c r="M642">
        <v>56</v>
      </c>
      <c r="N642" t="s">
        <v>17</v>
      </c>
    </row>
    <row r="643" spans="1:14" x14ac:dyDescent="0.25">
      <c r="A643">
        <v>21441</v>
      </c>
      <c r="B643" t="s">
        <v>13</v>
      </c>
      <c r="C643" t="s">
        <v>21</v>
      </c>
      <c r="D643" s="1">
        <v>50000</v>
      </c>
      <c r="E643">
        <v>4</v>
      </c>
      <c r="F643" t="s">
        <v>15</v>
      </c>
      <c r="G643" t="s">
        <v>32</v>
      </c>
      <c r="H643" t="s">
        <v>17</v>
      </c>
      <c r="I643">
        <v>2</v>
      </c>
      <c r="J643" t="s">
        <v>41</v>
      </c>
      <c r="K643" t="s">
        <v>35</v>
      </c>
      <c r="L643" t="str" cm="1">
        <f t="array" ref="L643">_xlfn.IFS(bike_buyers[[#This Row],[Age]]&gt;= 70, "senior citizen", bike_buyers[[#This Row],[Age]]&gt;=55, "middle age",  bike_buyers[[#This Row],[Age]]&gt;=40,"mature adult ", bike_buyers[[#This Row],[Age]]&gt;=30, "adults", bike_buyers[[#This Row],[Age]]&gt;= 20, "young adults")</f>
        <v>middle age</v>
      </c>
      <c r="M643">
        <v>64</v>
      </c>
      <c r="N643" t="s">
        <v>20</v>
      </c>
    </row>
    <row r="644" spans="1:14" x14ac:dyDescent="0.25">
      <c r="A644">
        <v>21741</v>
      </c>
      <c r="B644" t="s">
        <v>13</v>
      </c>
      <c r="C644" t="s">
        <v>14</v>
      </c>
      <c r="D644" s="1">
        <v>70000</v>
      </c>
      <c r="E644">
        <v>3</v>
      </c>
      <c r="F644" t="s">
        <v>22</v>
      </c>
      <c r="G644" t="s">
        <v>24</v>
      </c>
      <c r="H644" t="s">
        <v>17</v>
      </c>
      <c r="I644">
        <v>2</v>
      </c>
      <c r="J644" t="s">
        <v>27</v>
      </c>
      <c r="K644" t="s">
        <v>35</v>
      </c>
      <c r="L644" t="str" cm="1">
        <f t="array" ref="L644">_xlfn.IFS(bike_buyers[[#This Row],[Age]]&gt;= 70, "senior citizen", bike_buyers[[#This Row],[Age]]&gt;=55, "middle age",  bike_buyers[[#This Row],[Age]]&gt;=40,"mature adult ", bike_buyers[[#This Row],[Age]]&gt;=30, "adults", bike_buyers[[#This Row],[Age]]&gt;= 20, "young adults")</f>
        <v xml:space="preserve">mature adult </v>
      </c>
      <c r="M644">
        <v>50</v>
      </c>
      <c r="N644" t="s">
        <v>17</v>
      </c>
    </row>
    <row r="645" spans="1:14" x14ac:dyDescent="0.25">
      <c r="A645">
        <v>14572</v>
      </c>
      <c r="B645" t="s">
        <v>13</v>
      </c>
      <c r="C645" t="s">
        <v>14</v>
      </c>
      <c r="D645" s="1">
        <v>70000</v>
      </c>
      <c r="E645">
        <v>3</v>
      </c>
      <c r="F645" t="s">
        <v>34</v>
      </c>
      <c r="G645" t="s">
        <v>24</v>
      </c>
      <c r="H645" t="s">
        <v>17</v>
      </c>
      <c r="I645">
        <v>0</v>
      </c>
      <c r="J645" t="s">
        <v>25</v>
      </c>
      <c r="K645" t="s">
        <v>35</v>
      </c>
      <c r="L645" t="str" cm="1">
        <f t="array" ref="L645">_xlfn.IFS(bike_buyers[[#This Row],[Age]]&gt;= 70, "senior citizen", bike_buyers[[#This Row],[Age]]&gt;=55, "middle age",  bike_buyers[[#This Row],[Age]]&gt;=40,"mature adult ", bike_buyers[[#This Row],[Age]]&gt;=30, "adults", bike_buyers[[#This Row],[Age]]&gt;= 20, "young adults")</f>
        <v>adults</v>
      </c>
      <c r="M645">
        <v>35</v>
      </c>
      <c r="N645" t="s">
        <v>17</v>
      </c>
    </row>
    <row r="646" spans="1:14" x14ac:dyDescent="0.25">
      <c r="A646">
        <v>23368</v>
      </c>
      <c r="B646" t="s">
        <v>13</v>
      </c>
      <c r="C646" t="s">
        <v>14</v>
      </c>
      <c r="D646" s="1">
        <v>60000</v>
      </c>
      <c r="E646">
        <v>5</v>
      </c>
      <c r="F646" t="s">
        <v>15</v>
      </c>
      <c r="G646" t="s">
        <v>16</v>
      </c>
      <c r="H646" t="s">
        <v>17</v>
      </c>
      <c r="I646">
        <v>3</v>
      </c>
      <c r="J646" t="s">
        <v>41</v>
      </c>
      <c r="K646" t="s">
        <v>35</v>
      </c>
      <c r="L646" t="str" cm="1">
        <f t="array" ref="L646">_xlfn.IFS(bike_buyers[[#This Row],[Age]]&gt;= 70, "senior citizen", bike_buyers[[#This Row],[Age]]&gt;=55, "middle age",  bike_buyers[[#This Row],[Age]]&gt;=40,"mature adult ", bike_buyers[[#This Row],[Age]]&gt;=30, "adults", bike_buyers[[#This Row],[Age]]&gt;= 20, "young adults")</f>
        <v xml:space="preserve">mature adult </v>
      </c>
      <c r="M646">
        <v>41</v>
      </c>
      <c r="N646" t="s">
        <v>20</v>
      </c>
    </row>
    <row r="647" spans="1:14" x14ac:dyDescent="0.25">
      <c r="A647">
        <v>16217</v>
      </c>
      <c r="B647" t="s">
        <v>26</v>
      </c>
      <c r="C647" t="s">
        <v>14</v>
      </c>
      <c r="D647" s="1">
        <v>60000</v>
      </c>
      <c r="E647">
        <v>0</v>
      </c>
      <c r="F647" t="s">
        <v>34</v>
      </c>
      <c r="G647" t="s">
        <v>16</v>
      </c>
      <c r="H647" t="s">
        <v>17</v>
      </c>
      <c r="I647">
        <v>0</v>
      </c>
      <c r="J647" t="s">
        <v>18</v>
      </c>
      <c r="K647" t="s">
        <v>35</v>
      </c>
      <c r="L647" t="str" cm="1">
        <f t="array" ref="L647">_xlfn.IFS(bike_buyers[[#This Row],[Age]]&gt;= 70, "senior citizen", bike_buyers[[#This Row],[Age]]&gt;=55, "middle age",  bike_buyers[[#This Row],[Age]]&gt;=40,"mature adult ", bike_buyers[[#This Row],[Age]]&gt;=30, "adults", bike_buyers[[#This Row],[Age]]&gt;= 20, "young adults")</f>
        <v>adults</v>
      </c>
      <c r="M647">
        <v>39</v>
      </c>
      <c r="N647" t="s">
        <v>20</v>
      </c>
    </row>
    <row r="648" spans="1:14" x14ac:dyDescent="0.25">
      <c r="A648">
        <v>16247</v>
      </c>
      <c r="B648" t="s">
        <v>26</v>
      </c>
      <c r="C648" t="s">
        <v>14</v>
      </c>
      <c r="D648" s="1">
        <v>60000</v>
      </c>
      <c r="E648">
        <v>4</v>
      </c>
      <c r="F648" t="s">
        <v>34</v>
      </c>
      <c r="G648" t="s">
        <v>16</v>
      </c>
      <c r="H648" t="s">
        <v>20</v>
      </c>
      <c r="I648">
        <v>0</v>
      </c>
      <c r="J648" t="s">
        <v>30</v>
      </c>
      <c r="K648" t="s">
        <v>35</v>
      </c>
      <c r="L648" t="str" cm="1">
        <f t="array" ref="L648">_xlfn.IFS(bike_buyers[[#This Row],[Age]]&gt;= 70, "senior citizen", bike_buyers[[#This Row],[Age]]&gt;=55, "middle age",  bike_buyers[[#This Row],[Age]]&gt;=40,"mature adult ", bike_buyers[[#This Row],[Age]]&gt;=30, "adults", bike_buyers[[#This Row],[Age]]&gt;= 20, "young adults")</f>
        <v xml:space="preserve">mature adult </v>
      </c>
      <c r="M648">
        <v>47</v>
      </c>
      <c r="N648" t="s">
        <v>20</v>
      </c>
    </row>
    <row r="649" spans="1:14" x14ac:dyDescent="0.25">
      <c r="A649">
        <v>22010</v>
      </c>
      <c r="B649" t="s">
        <v>26</v>
      </c>
      <c r="C649" t="s">
        <v>21</v>
      </c>
      <c r="D649" s="1">
        <v>40000</v>
      </c>
      <c r="E649">
        <v>0</v>
      </c>
      <c r="F649" t="s">
        <v>31</v>
      </c>
      <c r="G649" t="s">
        <v>16</v>
      </c>
      <c r="H649" t="s">
        <v>17</v>
      </c>
      <c r="I649">
        <v>2</v>
      </c>
      <c r="J649" t="s">
        <v>27</v>
      </c>
      <c r="K649" t="s">
        <v>35</v>
      </c>
      <c r="L649" t="str" cm="1">
        <f t="array" ref="L649">_xlfn.IFS(bike_buyers[[#This Row],[Age]]&gt;= 70, "senior citizen", bike_buyers[[#This Row],[Age]]&gt;=55, "middle age",  bike_buyers[[#This Row],[Age]]&gt;=40,"mature adult ", bike_buyers[[#This Row],[Age]]&gt;=30, "adults", bike_buyers[[#This Row],[Age]]&gt;= 20, "young adults")</f>
        <v>adults</v>
      </c>
      <c r="M649">
        <v>31</v>
      </c>
      <c r="N649" t="s">
        <v>20</v>
      </c>
    </row>
    <row r="650" spans="1:14" x14ac:dyDescent="0.25">
      <c r="A650">
        <v>25872</v>
      </c>
      <c r="B650" t="s">
        <v>26</v>
      </c>
      <c r="C650" t="s">
        <v>14</v>
      </c>
      <c r="D650" s="1">
        <v>70000</v>
      </c>
      <c r="E650">
        <v>2</v>
      </c>
      <c r="F650" t="s">
        <v>15</v>
      </c>
      <c r="G650" t="s">
        <v>32</v>
      </c>
      <c r="H650" t="s">
        <v>20</v>
      </c>
      <c r="I650">
        <v>1</v>
      </c>
      <c r="J650" t="s">
        <v>25</v>
      </c>
      <c r="K650" t="s">
        <v>35</v>
      </c>
      <c r="L650" t="str" cm="1">
        <f t="array" ref="L650">_xlfn.IFS(bike_buyers[[#This Row],[Age]]&gt;= 70, "senior citizen", bike_buyers[[#This Row],[Age]]&gt;=55, "middle age",  bike_buyers[[#This Row],[Age]]&gt;=40,"mature adult ", bike_buyers[[#This Row],[Age]]&gt;=30, "adults", bike_buyers[[#This Row],[Age]]&gt;= 20, "young adults")</f>
        <v>middle age</v>
      </c>
      <c r="M650">
        <v>58</v>
      </c>
      <c r="N650" t="s">
        <v>17</v>
      </c>
    </row>
    <row r="651" spans="1:14" x14ac:dyDescent="0.25">
      <c r="A651">
        <v>19164</v>
      </c>
      <c r="B651" t="s">
        <v>26</v>
      </c>
      <c r="C651" t="s">
        <v>14</v>
      </c>
      <c r="D651" s="1">
        <v>70000</v>
      </c>
      <c r="E651">
        <v>0</v>
      </c>
      <c r="F651" t="s">
        <v>15</v>
      </c>
      <c r="G651" t="s">
        <v>24</v>
      </c>
      <c r="H651" t="s">
        <v>20</v>
      </c>
      <c r="I651">
        <v>1</v>
      </c>
      <c r="J651" t="s">
        <v>25</v>
      </c>
      <c r="K651" t="s">
        <v>35</v>
      </c>
      <c r="L651" t="str" cm="1">
        <f t="array" ref="L651">_xlfn.IFS(bike_buyers[[#This Row],[Age]]&gt;= 70, "senior citizen", bike_buyers[[#This Row],[Age]]&gt;=55, "middle age",  bike_buyers[[#This Row],[Age]]&gt;=40,"mature adult ", bike_buyers[[#This Row],[Age]]&gt;=30, "adults", bike_buyers[[#This Row],[Age]]&gt;= 20, "young adults")</f>
        <v>adults</v>
      </c>
      <c r="M651">
        <v>38</v>
      </c>
      <c r="N651" t="s">
        <v>17</v>
      </c>
    </row>
    <row r="652" spans="1:14" x14ac:dyDescent="0.25">
      <c r="A652">
        <v>18435</v>
      </c>
      <c r="B652" t="s">
        <v>26</v>
      </c>
      <c r="C652" t="s">
        <v>14</v>
      </c>
      <c r="D652" s="1">
        <v>70000</v>
      </c>
      <c r="E652">
        <v>5</v>
      </c>
      <c r="F652" t="s">
        <v>34</v>
      </c>
      <c r="G652" t="s">
        <v>32</v>
      </c>
      <c r="H652" t="s">
        <v>17</v>
      </c>
      <c r="I652">
        <v>2</v>
      </c>
      <c r="J652" t="s">
        <v>41</v>
      </c>
      <c r="K652" t="s">
        <v>35</v>
      </c>
      <c r="L652" t="str" cm="1">
        <f t="array" ref="L652">_xlfn.IFS(bike_buyers[[#This Row],[Age]]&gt;= 70, "senior citizen", bike_buyers[[#This Row],[Age]]&gt;=55, "middle age",  bike_buyers[[#This Row],[Age]]&gt;=40,"mature adult ", bike_buyers[[#This Row],[Age]]&gt;=30, "adults", bike_buyers[[#This Row],[Age]]&gt;= 20, "young adults")</f>
        <v>middle age</v>
      </c>
      <c r="M652">
        <v>67</v>
      </c>
      <c r="N652" t="s">
        <v>17</v>
      </c>
    </row>
    <row r="653" spans="1:14" x14ac:dyDescent="0.25">
      <c r="A653">
        <v>14284</v>
      </c>
      <c r="B653" t="s">
        <v>26</v>
      </c>
      <c r="C653" t="s">
        <v>21</v>
      </c>
      <c r="D653" s="1">
        <v>60000</v>
      </c>
      <c r="E653">
        <v>0</v>
      </c>
      <c r="F653" t="s">
        <v>22</v>
      </c>
      <c r="G653" t="s">
        <v>24</v>
      </c>
      <c r="H653" t="s">
        <v>20</v>
      </c>
      <c r="I653">
        <v>2</v>
      </c>
      <c r="J653" t="s">
        <v>30</v>
      </c>
      <c r="K653" t="s">
        <v>35</v>
      </c>
      <c r="L653" t="str" cm="1">
        <f t="array" ref="L653">_xlfn.IFS(bike_buyers[[#This Row],[Age]]&gt;= 70, "senior citizen", bike_buyers[[#This Row],[Age]]&gt;=55, "middle age",  bike_buyers[[#This Row],[Age]]&gt;=40,"mature adult ", bike_buyers[[#This Row],[Age]]&gt;=30, "adults", bike_buyers[[#This Row],[Age]]&gt;= 20, "young adults")</f>
        <v>adults</v>
      </c>
      <c r="M653">
        <v>32</v>
      </c>
      <c r="N653" t="s">
        <v>17</v>
      </c>
    </row>
    <row r="654" spans="1:14" x14ac:dyDescent="0.25">
      <c r="A654">
        <v>11287</v>
      </c>
      <c r="B654" t="s">
        <v>13</v>
      </c>
      <c r="C654" t="s">
        <v>21</v>
      </c>
      <c r="D654" s="1">
        <v>70000</v>
      </c>
      <c r="E654">
        <v>5</v>
      </c>
      <c r="F654" t="s">
        <v>22</v>
      </c>
      <c r="G654" t="s">
        <v>24</v>
      </c>
      <c r="H654" t="s">
        <v>20</v>
      </c>
      <c r="I654">
        <v>3</v>
      </c>
      <c r="J654" t="s">
        <v>27</v>
      </c>
      <c r="K654" t="s">
        <v>35</v>
      </c>
      <c r="L654" t="str" cm="1">
        <f t="array" ref="L654">_xlfn.IFS(bike_buyers[[#This Row],[Age]]&gt;= 70, "senior citizen", bike_buyers[[#This Row],[Age]]&gt;=55, "middle age",  bike_buyers[[#This Row],[Age]]&gt;=40,"mature adult ", bike_buyers[[#This Row],[Age]]&gt;=30, "adults", bike_buyers[[#This Row],[Age]]&gt;= 20, "young adults")</f>
        <v xml:space="preserve">mature adult </v>
      </c>
      <c r="M654">
        <v>45</v>
      </c>
      <c r="N654" t="s">
        <v>20</v>
      </c>
    </row>
    <row r="655" spans="1:14" x14ac:dyDescent="0.25">
      <c r="A655">
        <v>13066</v>
      </c>
      <c r="B655" t="s">
        <v>26</v>
      </c>
      <c r="C655" t="s">
        <v>21</v>
      </c>
      <c r="D655" s="1">
        <v>30000</v>
      </c>
      <c r="E655">
        <v>0</v>
      </c>
      <c r="F655" t="s">
        <v>31</v>
      </c>
      <c r="G655" t="s">
        <v>16</v>
      </c>
      <c r="H655" t="s">
        <v>20</v>
      </c>
      <c r="I655">
        <v>2</v>
      </c>
      <c r="J655" t="s">
        <v>30</v>
      </c>
      <c r="K655" t="s">
        <v>35</v>
      </c>
      <c r="L655" t="str" cm="1">
        <f t="array" ref="L655">_xlfn.IFS(bike_buyers[[#This Row],[Age]]&gt;= 70, "senior citizen", bike_buyers[[#This Row],[Age]]&gt;=55, "middle age",  bike_buyers[[#This Row],[Age]]&gt;=40,"mature adult ", bike_buyers[[#This Row],[Age]]&gt;=30, "adults", bike_buyers[[#This Row],[Age]]&gt;= 20, "young adults")</f>
        <v>adults</v>
      </c>
      <c r="M655">
        <v>31</v>
      </c>
      <c r="N655" t="s">
        <v>17</v>
      </c>
    </row>
    <row r="656" spans="1:14" x14ac:dyDescent="0.25">
      <c r="A656">
        <v>29106</v>
      </c>
      <c r="B656" t="s">
        <v>26</v>
      </c>
      <c r="C656" t="s">
        <v>21</v>
      </c>
      <c r="D656" s="1">
        <v>40000</v>
      </c>
      <c r="E656">
        <v>0</v>
      </c>
      <c r="F656" t="s">
        <v>31</v>
      </c>
      <c r="G656" t="s">
        <v>16</v>
      </c>
      <c r="H656" t="s">
        <v>20</v>
      </c>
      <c r="I656">
        <v>2</v>
      </c>
      <c r="J656" t="s">
        <v>30</v>
      </c>
      <c r="K656" t="s">
        <v>35</v>
      </c>
      <c r="L656" t="str" cm="1">
        <f t="array" ref="L656">_xlfn.IFS(bike_buyers[[#This Row],[Age]]&gt;= 70, "senior citizen", bike_buyers[[#This Row],[Age]]&gt;=55, "middle age",  bike_buyers[[#This Row],[Age]]&gt;=40,"mature adult ", bike_buyers[[#This Row],[Age]]&gt;=30, "adults", bike_buyers[[#This Row],[Age]]&gt;= 20, "young adults")</f>
        <v>adults</v>
      </c>
      <c r="M656">
        <v>31</v>
      </c>
      <c r="N656" t="s">
        <v>17</v>
      </c>
    </row>
    <row r="657" spans="1:14" x14ac:dyDescent="0.25">
      <c r="A657">
        <v>26236</v>
      </c>
      <c r="B657" t="s">
        <v>13</v>
      </c>
      <c r="C657" t="s">
        <v>14</v>
      </c>
      <c r="D657" s="1">
        <v>40000</v>
      </c>
      <c r="E657">
        <v>3</v>
      </c>
      <c r="F657" t="s">
        <v>22</v>
      </c>
      <c r="G657" t="s">
        <v>23</v>
      </c>
      <c r="H657" t="s">
        <v>17</v>
      </c>
      <c r="I657">
        <v>1</v>
      </c>
      <c r="J657" t="s">
        <v>18</v>
      </c>
      <c r="K657" t="s">
        <v>35</v>
      </c>
      <c r="L657" t="str" cm="1">
        <f t="array" ref="L657">_xlfn.IFS(bike_buyers[[#This Row],[Age]]&gt;= 70, "senior citizen", bike_buyers[[#This Row],[Age]]&gt;=55, "middle age",  bike_buyers[[#This Row],[Age]]&gt;=40,"mature adult ", bike_buyers[[#This Row],[Age]]&gt;=30, "adults", bike_buyers[[#This Row],[Age]]&gt;= 20, "young adults")</f>
        <v>adults</v>
      </c>
      <c r="M657">
        <v>31</v>
      </c>
      <c r="N657" t="s">
        <v>20</v>
      </c>
    </row>
    <row r="658" spans="1:14" x14ac:dyDescent="0.25">
      <c r="A658">
        <v>17531</v>
      </c>
      <c r="B658" t="s">
        <v>13</v>
      </c>
      <c r="C658" t="s">
        <v>21</v>
      </c>
      <c r="D658" s="1">
        <v>60000</v>
      </c>
      <c r="E658">
        <v>2</v>
      </c>
      <c r="F658" t="s">
        <v>31</v>
      </c>
      <c r="G658" t="s">
        <v>24</v>
      </c>
      <c r="H658" t="s">
        <v>20</v>
      </c>
      <c r="I658">
        <v>2</v>
      </c>
      <c r="J658" t="s">
        <v>27</v>
      </c>
      <c r="K658" t="s">
        <v>35</v>
      </c>
      <c r="L658" t="str" cm="1">
        <f t="array" ref="L658">_xlfn.IFS(bike_buyers[[#This Row],[Age]]&gt;= 70, "senior citizen", bike_buyers[[#This Row],[Age]]&gt;=55, "middle age",  bike_buyers[[#This Row],[Age]]&gt;=40,"mature adult ", bike_buyers[[#This Row],[Age]]&gt;=30, "adults", bike_buyers[[#This Row],[Age]]&gt;= 20, "young adults")</f>
        <v xml:space="preserve">mature adult </v>
      </c>
      <c r="M658">
        <v>50</v>
      </c>
      <c r="N658" t="s">
        <v>20</v>
      </c>
    </row>
    <row r="659" spans="1:14" x14ac:dyDescent="0.25">
      <c r="A659">
        <v>12964</v>
      </c>
      <c r="B659" t="s">
        <v>13</v>
      </c>
      <c r="C659" t="s">
        <v>21</v>
      </c>
      <c r="D659" s="1">
        <v>70000</v>
      </c>
      <c r="E659">
        <v>1</v>
      </c>
      <c r="F659" t="s">
        <v>22</v>
      </c>
      <c r="G659" t="s">
        <v>16</v>
      </c>
      <c r="H659" t="s">
        <v>17</v>
      </c>
      <c r="I659">
        <v>1</v>
      </c>
      <c r="J659" t="s">
        <v>18</v>
      </c>
      <c r="K659" t="s">
        <v>35</v>
      </c>
      <c r="L659" t="str" cm="1">
        <f t="array" ref="L659">_xlfn.IFS(bike_buyers[[#This Row],[Age]]&gt;= 70, "senior citizen", bike_buyers[[#This Row],[Age]]&gt;=55, "middle age",  bike_buyers[[#This Row],[Age]]&gt;=40,"mature adult ", bike_buyers[[#This Row],[Age]]&gt;=30, "adults", bike_buyers[[#This Row],[Age]]&gt;= 20, "young adults")</f>
        <v xml:space="preserve">mature adult </v>
      </c>
      <c r="M659">
        <v>44</v>
      </c>
      <c r="N659" t="s">
        <v>20</v>
      </c>
    </row>
    <row r="660" spans="1:14" x14ac:dyDescent="0.25">
      <c r="A660">
        <v>19133</v>
      </c>
      <c r="B660" t="s">
        <v>26</v>
      </c>
      <c r="C660" t="s">
        <v>21</v>
      </c>
      <c r="D660" s="1">
        <v>50000</v>
      </c>
      <c r="E660">
        <v>2</v>
      </c>
      <c r="F660" t="s">
        <v>15</v>
      </c>
      <c r="G660" t="s">
        <v>16</v>
      </c>
      <c r="H660" t="s">
        <v>17</v>
      </c>
      <c r="I660">
        <v>1</v>
      </c>
      <c r="J660" t="s">
        <v>25</v>
      </c>
      <c r="K660" t="s">
        <v>35</v>
      </c>
      <c r="L660" t="str" cm="1">
        <f t="array" ref="L660">_xlfn.IFS(bike_buyers[[#This Row],[Age]]&gt;= 70, "senior citizen", bike_buyers[[#This Row],[Age]]&gt;=55, "middle age",  bike_buyers[[#This Row],[Age]]&gt;=40,"mature adult ", bike_buyers[[#This Row],[Age]]&gt;=30, "adults", bike_buyers[[#This Row],[Age]]&gt;= 20, "young adults")</f>
        <v>adults</v>
      </c>
      <c r="M660">
        <v>38</v>
      </c>
      <c r="N660" t="s">
        <v>17</v>
      </c>
    </row>
    <row r="661" spans="1:14" x14ac:dyDescent="0.25">
      <c r="A661">
        <v>24643</v>
      </c>
      <c r="B661" t="s">
        <v>26</v>
      </c>
      <c r="C661" t="s">
        <v>14</v>
      </c>
      <c r="D661" s="1">
        <v>60000</v>
      </c>
      <c r="E661">
        <v>4</v>
      </c>
      <c r="F661" t="s">
        <v>15</v>
      </c>
      <c r="G661" t="s">
        <v>32</v>
      </c>
      <c r="H661" t="s">
        <v>17</v>
      </c>
      <c r="I661">
        <v>2</v>
      </c>
      <c r="J661" t="s">
        <v>41</v>
      </c>
      <c r="K661" t="s">
        <v>35</v>
      </c>
      <c r="L661" t="str" cm="1">
        <f t="array" ref="L661">_xlfn.IFS(bike_buyers[[#This Row],[Age]]&gt;= 70, "senior citizen", bike_buyers[[#This Row],[Age]]&gt;=55, "middle age",  bike_buyers[[#This Row],[Age]]&gt;=40,"mature adult ", bike_buyers[[#This Row],[Age]]&gt;=30, "adults", bike_buyers[[#This Row],[Age]]&gt;= 20, "young adults")</f>
        <v>middle age</v>
      </c>
      <c r="M661">
        <v>63</v>
      </c>
      <c r="N661" t="s">
        <v>20</v>
      </c>
    </row>
    <row r="662" spans="1:14" x14ac:dyDescent="0.25">
      <c r="A662">
        <v>21599</v>
      </c>
      <c r="B662" t="s">
        <v>13</v>
      </c>
      <c r="C662" t="s">
        <v>14</v>
      </c>
      <c r="D662" s="1">
        <v>60000</v>
      </c>
      <c r="E662">
        <v>1</v>
      </c>
      <c r="F662" t="s">
        <v>34</v>
      </c>
      <c r="G662" t="s">
        <v>24</v>
      </c>
      <c r="H662" t="s">
        <v>17</v>
      </c>
      <c r="I662">
        <v>0</v>
      </c>
      <c r="J662" t="s">
        <v>25</v>
      </c>
      <c r="K662" t="s">
        <v>35</v>
      </c>
      <c r="L662" t="str" cm="1">
        <f t="array" ref="L662">_xlfn.IFS(bike_buyers[[#This Row],[Age]]&gt;= 70, "senior citizen", bike_buyers[[#This Row],[Age]]&gt;=55, "middle age",  bike_buyers[[#This Row],[Age]]&gt;=40,"mature adult ", bike_buyers[[#This Row],[Age]]&gt;=30, "adults", bike_buyers[[#This Row],[Age]]&gt;= 20, "young adults")</f>
        <v>adults</v>
      </c>
      <c r="M662">
        <v>36</v>
      </c>
      <c r="N662" t="s">
        <v>17</v>
      </c>
    </row>
    <row r="663" spans="1:14" x14ac:dyDescent="0.25">
      <c r="A663">
        <v>22976</v>
      </c>
      <c r="B663" t="s">
        <v>26</v>
      </c>
      <c r="C663" t="s">
        <v>21</v>
      </c>
      <c r="D663" s="1">
        <v>40000</v>
      </c>
      <c r="E663">
        <v>0</v>
      </c>
      <c r="F663" t="s">
        <v>31</v>
      </c>
      <c r="G663" t="s">
        <v>16</v>
      </c>
      <c r="H663" t="s">
        <v>20</v>
      </c>
      <c r="I663">
        <v>2</v>
      </c>
      <c r="J663" t="s">
        <v>18</v>
      </c>
      <c r="K663" t="s">
        <v>35</v>
      </c>
      <c r="L663" t="str" cm="1">
        <f t="array" ref="L663">_xlfn.IFS(bike_buyers[[#This Row],[Age]]&gt;= 70, "senior citizen", bike_buyers[[#This Row],[Age]]&gt;=55, "middle age",  bike_buyers[[#This Row],[Age]]&gt;=40,"mature adult ", bike_buyers[[#This Row],[Age]]&gt;=30, "adults", bike_buyers[[#This Row],[Age]]&gt;= 20, "young adults")</f>
        <v>young adults</v>
      </c>
      <c r="M663">
        <v>28</v>
      </c>
      <c r="N663" t="s">
        <v>17</v>
      </c>
    </row>
    <row r="664" spans="1:14" x14ac:dyDescent="0.25">
      <c r="A664">
        <v>27637</v>
      </c>
      <c r="B664" t="s">
        <v>26</v>
      </c>
      <c r="C664" t="s">
        <v>14</v>
      </c>
      <c r="D664" s="1">
        <v>100000</v>
      </c>
      <c r="E664">
        <v>1</v>
      </c>
      <c r="F664" t="s">
        <v>22</v>
      </c>
      <c r="G664" t="s">
        <v>24</v>
      </c>
      <c r="H664" t="s">
        <v>20</v>
      </c>
      <c r="I664">
        <v>3</v>
      </c>
      <c r="J664" t="s">
        <v>30</v>
      </c>
      <c r="K664" t="s">
        <v>35</v>
      </c>
      <c r="L664" t="str" cm="1">
        <f t="array" ref="L664">_xlfn.IFS(bike_buyers[[#This Row],[Age]]&gt;= 70, "senior citizen", bike_buyers[[#This Row],[Age]]&gt;=55, "middle age",  bike_buyers[[#This Row],[Age]]&gt;=40,"mature adult ", bike_buyers[[#This Row],[Age]]&gt;=30, "adults", bike_buyers[[#This Row],[Age]]&gt;= 20, "young adults")</f>
        <v xml:space="preserve">mature adult </v>
      </c>
      <c r="M664">
        <v>44</v>
      </c>
      <c r="N664" t="s">
        <v>20</v>
      </c>
    </row>
    <row r="665" spans="1:14" x14ac:dyDescent="0.25">
      <c r="A665">
        <v>11890</v>
      </c>
      <c r="B665" t="s">
        <v>13</v>
      </c>
      <c r="C665" t="s">
        <v>14</v>
      </c>
      <c r="D665" s="1">
        <v>70000</v>
      </c>
      <c r="E665">
        <v>5</v>
      </c>
      <c r="F665" t="s">
        <v>34</v>
      </c>
      <c r="G665" t="s">
        <v>24</v>
      </c>
      <c r="H665" t="s">
        <v>17</v>
      </c>
      <c r="I665">
        <v>1</v>
      </c>
      <c r="J665" t="s">
        <v>18</v>
      </c>
      <c r="K665" t="s">
        <v>35</v>
      </c>
      <c r="L665" t="str" cm="1">
        <f t="array" ref="L665">_xlfn.IFS(bike_buyers[[#This Row],[Age]]&gt;= 70, "senior citizen", bike_buyers[[#This Row],[Age]]&gt;=55, "middle age",  bike_buyers[[#This Row],[Age]]&gt;=40,"mature adult ", bike_buyers[[#This Row],[Age]]&gt;=30, "adults", bike_buyers[[#This Row],[Age]]&gt;= 20, "young adults")</f>
        <v xml:space="preserve">mature adult </v>
      </c>
      <c r="M665">
        <v>47</v>
      </c>
      <c r="N665" t="s">
        <v>20</v>
      </c>
    </row>
    <row r="666" spans="1:14" x14ac:dyDescent="0.25">
      <c r="A666">
        <v>28580</v>
      </c>
      <c r="B666" t="s">
        <v>13</v>
      </c>
      <c r="C666" t="s">
        <v>14</v>
      </c>
      <c r="D666" s="1">
        <v>80000</v>
      </c>
      <c r="E666">
        <v>0</v>
      </c>
      <c r="F666" t="s">
        <v>34</v>
      </c>
      <c r="G666" t="s">
        <v>16</v>
      </c>
      <c r="H666" t="s">
        <v>17</v>
      </c>
      <c r="I666">
        <v>0</v>
      </c>
      <c r="J666" t="s">
        <v>30</v>
      </c>
      <c r="K666" t="s">
        <v>35</v>
      </c>
      <c r="L666" t="str" cm="1">
        <f t="array" ref="L666">_xlfn.IFS(bike_buyers[[#This Row],[Age]]&gt;= 70, "senior citizen", bike_buyers[[#This Row],[Age]]&gt;=55, "middle age",  bike_buyers[[#This Row],[Age]]&gt;=40,"mature adult ", bike_buyers[[#This Row],[Age]]&gt;=30, "adults", bike_buyers[[#This Row],[Age]]&gt;= 20, "young adults")</f>
        <v xml:space="preserve">mature adult </v>
      </c>
      <c r="M666">
        <v>40</v>
      </c>
      <c r="N666" t="s">
        <v>17</v>
      </c>
    </row>
    <row r="667" spans="1:14" x14ac:dyDescent="0.25">
      <c r="A667">
        <v>14443</v>
      </c>
      <c r="B667" t="s">
        <v>13</v>
      </c>
      <c r="C667" t="s">
        <v>21</v>
      </c>
      <c r="D667" s="1">
        <v>130000</v>
      </c>
      <c r="E667">
        <v>1</v>
      </c>
      <c r="F667" t="s">
        <v>34</v>
      </c>
      <c r="G667" t="s">
        <v>32</v>
      </c>
      <c r="H667" t="s">
        <v>17</v>
      </c>
      <c r="I667">
        <v>4</v>
      </c>
      <c r="J667" t="s">
        <v>18</v>
      </c>
      <c r="K667" t="s">
        <v>35</v>
      </c>
      <c r="L667" t="str" cm="1">
        <f t="array" ref="L667">_xlfn.IFS(bike_buyers[[#This Row],[Age]]&gt;= 70, "senior citizen", bike_buyers[[#This Row],[Age]]&gt;=55, "middle age",  bike_buyers[[#This Row],[Age]]&gt;=40,"mature adult ", bike_buyers[[#This Row],[Age]]&gt;=30, "adults", bike_buyers[[#This Row],[Age]]&gt;= 20, "young adults")</f>
        <v xml:space="preserve">mature adult </v>
      </c>
      <c r="M667">
        <v>40</v>
      </c>
      <c r="N667" t="s">
        <v>20</v>
      </c>
    </row>
    <row r="668" spans="1:14" x14ac:dyDescent="0.25">
      <c r="A668">
        <v>17864</v>
      </c>
      <c r="B668" t="s">
        <v>13</v>
      </c>
      <c r="C668" t="s">
        <v>14</v>
      </c>
      <c r="D668" s="1">
        <v>60000</v>
      </c>
      <c r="E668">
        <v>1</v>
      </c>
      <c r="F668" t="s">
        <v>22</v>
      </c>
      <c r="G668" t="s">
        <v>16</v>
      </c>
      <c r="H668" t="s">
        <v>17</v>
      </c>
      <c r="I668">
        <v>1</v>
      </c>
      <c r="J668" t="s">
        <v>25</v>
      </c>
      <c r="K668" t="s">
        <v>35</v>
      </c>
      <c r="L668" t="str" cm="1">
        <f t="array" ref="L668">_xlfn.IFS(bike_buyers[[#This Row],[Age]]&gt;= 70, "senior citizen", bike_buyers[[#This Row],[Age]]&gt;=55, "middle age",  bike_buyers[[#This Row],[Age]]&gt;=40,"mature adult ", bike_buyers[[#This Row],[Age]]&gt;=30, "adults", bike_buyers[[#This Row],[Age]]&gt;= 20, "young adults")</f>
        <v xml:space="preserve">mature adult </v>
      </c>
      <c r="M668">
        <v>46</v>
      </c>
      <c r="N668" t="s">
        <v>17</v>
      </c>
    </row>
    <row r="669" spans="1:14" x14ac:dyDescent="0.25">
      <c r="A669">
        <v>20505</v>
      </c>
      <c r="B669" t="s">
        <v>13</v>
      </c>
      <c r="C669" t="s">
        <v>14</v>
      </c>
      <c r="D669" s="1">
        <v>40000</v>
      </c>
      <c r="E669">
        <v>5</v>
      </c>
      <c r="F669" t="s">
        <v>31</v>
      </c>
      <c r="G669" t="s">
        <v>24</v>
      </c>
      <c r="H669" t="s">
        <v>20</v>
      </c>
      <c r="I669">
        <v>2</v>
      </c>
      <c r="J669" t="s">
        <v>41</v>
      </c>
      <c r="K669" t="s">
        <v>35</v>
      </c>
      <c r="L669" t="str" cm="1">
        <f t="array" ref="L669">_xlfn.IFS(bike_buyers[[#This Row],[Age]]&gt;= 70, "senior citizen", bike_buyers[[#This Row],[Age]]&gt;=55, "middle age",  bike_buyers[[#This Row],[Age]]&gt;=40,"mature adult ", bike_buyers[[#This Row],[Age]]&gt;=30, "adults", bike_buyers[[#This Row],[Age]]&gt;= 20, "young adults")</f>
        <v>middle age</v>
      </c>
      <c r="M669">
        <v>61</v>
      </c>
      <c r="N669" t="s">
        <v>20</v>
      </c>
    </row>
    <row r="670" spans="1:14" x14ac:dyDescent="0.25">
      <c r="A670">
        <v>14592</v>
      </c>
      <c r="B670" t="s">
        <v>13</v>
      </c>
      <c r="C670" t="s">
        <v>14</v>
      </c>
      <c r="D670" s="1">
        <v>60000</v>
      </c>
      <c r="E670">
        <v>0</v>
      </c>
      <c r="F670" t="s">
        <v>34</v>
      </c>
      <c r="G670" t="s">
        <v>24</v>
      </c>
      <c r="H670" t="s">
        <v>17</v>
      </c>
      <c r="I670">
        <v>0</v>
      </c>
      <c r="J670" t="s">
        <v>18</v>
      </c>
      <c r="K670" t="s">
        <v>35</v>
      </c>
      <c r="L670" t="str" cm="1">
        <f t="array" ref="L670">_xlfn.IFS(bike_buyers[[#This Row],[Age]]&gt;= 70, "senior citizen", bike_buyers[[#This Row],[Age]]&gt;=55, "middle age",  bike_buyers[[#This Row],[Age]]&gt;=40,"mature adult ", bike_buyers[[#This Row],[Age]]&gt;=30, "adults", bike_buyers[[#This Row],[Age]]&gt;= 20, "young adults")</f>
        <v xml:space="preserve">mature adult </v>
      </c>
      <c r="M670">
        <v>40</v>
      </c>
      <c r="N670" t="s">
        <v>20</v>
      </c>
    </row>
    <row r="671" spans="1:14" x14ac:dyDescent="0.25">
      <c r="A671">
        <v>22227</v>
      </c>
      <c r="B671" t="s">
        <v>13</v>
      </c>
      <c r="C671" t="s">
        <v>14</v>
      </c>
      <c r="D671" s="1">
        <v>60000</v>
      </c>
      <c r="E671">
        <v>2</v>
      </c>
      <c r="F671" t="s">
        <v>31</v>
      </c>
      <c r="G671" t="s">
        <v>24</v>
      </c>
      <c r="H671" t="s">
        <v>17</v>
      </c>
      <c r="I671">
        <v>2</v>
      </c>
      <c r="J671" t="s">
        <v>27</v>
      </c>
      <c r="K671" t="s">
        <v>35</v>
      </c>
      <c r="L671" t="str" cm="1">
        <f t="array" ref="L671">_xlfn.IFS(bike_buyers[[#This Row],[Age]]&gt;= 70, "senior citizen", bike_buyers[[#This Row],[Age]]&gt;=55, "middle age",  bike_buyers[[#This Row],[Age]]&gt;=40,"mature adult ", bike_buyers[[#This Row],[Age]]&gt;=30, "adults", bike_buyers[[#This Row],[Age]]&gt;= 20, "young adults")</f>
        <v xml:space="preserve">mature adult </v>
      </c>
      <c r="M671">
        <v>50</v>
      </c>
      <c r="N671" t="s">
        <v>20</v>
      </c>
    </row>
    <row r="672" spans="1:14" x14ac:dyDescent="0.25">
      <c r="A672">
        <v>21471</v>
      </c>
      <c r="B672" t="s">
        <v>13</v>
      </c>
      <c r="C672" t="s">
        <v>21</v>
      </c>
      <c r="D672" s="1">
        <v>70000</v>
      </c>
      <c r="E672">
        <v>2</v>
      </c>
      <c r="F672" t="s">
        <v>22</v>
      </c>
      <c r="G672" t="s">
        <v>24</v>
      </c>
      <c r="H672" t="s">
        <v>17</v>
      </c>
      <c r="I672">
        <v>1</v>
      </c>
      <c r="J672" t="s">
        <v>41</v>
      </c>
      <c r="K672" t="s">
        <v>35</v>
      </c>
      <c r="L672" t="str" cm="1">
        <f t="array" ref="L672">_xlfn.IFS(bike_buyers[[#This Row],[Age]]&gt;= 70, "senior citizen", bike_buyers[[#This Row],[Age]]&gt;=55, "middle age",  bike_buyers[[#This Row],[Age]]&gt;=40,"mature adult ", bike_buyers[[#This Row],[Age]]&gt;=30, "adults", bike_buyers[[#This Row],[Age]]&gt;= 20, "young adults")</f>
        <v>middle age</v>
      </c>
      <c r="M672">
        <v>59</v>
      </c>
      <c r="N672" t="s">
        <v>20</v>
      </c>
    </row>
    <row r="673" spans="1:14" x14ac:dyDescent="0.25">
      <c r="A673">
        <v>22252</v>
      </c>
      <c r="B673" t="s">
        <v>26</v>
      </c>
      <c r="C673" t="s">
        <v>14</v>
      </c>
      <c r="D673" s="1">
        <v>60000</v>
      </c>
      <c r="E673">
        <v>1</v>
      </c>
      <c r="F673" t="s">
        <v>34</v>
      </c>
      <c r="G673" t="s">
        <v>24</v>
      </c>
      <c r="H673" t="s">
        <v>17</v>
      </c>
      <c r="I673">
        <v>0</v>
      </c>
      <c r="J673" t="s">
        <v>25</v>
      </c>
      <c r="K673" t="s">
        <v>35</v>
      </c>
      <c r="L673" t="str" cm="1">
        <f t="array" ref="L673">_xlfn.IFS(bike_buyers[[#This Row],[Age]]&gt;= 70, "senior citizen", bike_buyers[[#This Row],[Age]]&gt;=55, "middle age",  bike_buyers[[#This Row],[Age]]&gt;=40,"mature adult ", bike_buyers[[#This Row],[Age]]&gt;=30, "adults", bike_buyers[[#This Row],[Age]]&gt;= 20, "young adults")</f>
        <v>adults</v>
      </c>
      <c r="M673">
        <v>36</v>
      </c>
      <c r="N673" t="s">
        <v>17</v>
      </c>
    </row>
    <row r="674" spans="1:14" x14ac:dyDescent="0.25">
      <c r="A674">
        <v>21260</v>
      </c>
      <c r="B674" t="s">
        <v>26</v>
      </c>
      <c r="C674" t="s">
        <v>14</v>
      </c>
      <c r="D674" s="1">
        <v>40000</v>
      </c>
      <c r="E674">
        <v>0</v>
      </c>
      <c r="F674" t="s">
        <v>31</v>
      </c>
      <c r="G674" t="s">
        <v>16</v>
      </c>
      <c r="H674" t="s">
        <v>17</v>
      </c>
      <c r="I674">
        <v>2</v>
      </c>
      <c r="J674" t="s">
        <v>27</v>
      </c>
      <c r="K674" t="s">
        <v>35</v>
      </c>
      <c r="L674" t="str" cm="1">
        <f t="array" ref="L674">_xlfn.IFS(bike_buyers[[#This Row],[Age]]&gt;= 70, "senior citizen", bike_buyers[[#This Row],[Age]]&gt;=55, "middle age",  bike_buyers[[#This Row],[Age]]&gt;=40,"mature adult ", bike_buyers[[#This Row],[Age]]&gt;=30, "adults", bike_buyers[[#This Row],[Age]]&gt;= 20, "young adults")</f>
        <v>adults</v>
      </c>
      <c r="M674">
        <v>30</v>
      </c>
      <c r="N674" t="s">
        <v>20</v>
      </c>
    </row>
    <row r="675" spans="1:14" x14ac:dyDescent="0.25">
      <c r="A675">
        <v>11817</v>
      </c>
      <c r="B675" t="s">
        <v>26</v>
      </c>
      <c r="C675" t="s">
        <v>14</v>
      </c>
      <c r="D675" s="1">
        <v>70000</v>
      </c>
      <c r="E675">
        <v>4</v>
      </c>
      <c r="F675" t="s">
        <v>34</v>
      </c>
      <c r="G675" t="s">
        <v>24</v>
      </c>
      <c r="H675" t="s">
        <v>17</v>
      </c>
      <c r="I675">
        <v>0</v>
      </c>
      <c r="J675" t="s">
        <v>25</v>
      </c>
      <c r="K675" t="s">
        <v>35</v>
      </c>
      <c r="L675" t="str" cm="1">
        <f t="array" ref="L675">_xlfn.IFS(bike_buyers[[#This Row],[Age]]&gt;= 70, "senior citizen", bike_buyers[[#This Row],[Age]]&gt;=55, "middle age",  bike_buyers[[#This Row],[Age]]&gt;=40,"mature adult ", bike_buyers[[#This Row],[Age]]&gt;=30, "adults", bike_buyers[[#This Row],[Age]]&gt;= 20, "young adults")</f>
        <v>adults</v>
      </c>
      <c r="M675">
        <v>35</v>
      </c>
      <c r="N675" t="s">
        <v>17</v>
      </c>
    </row>
    <row r="676" spans="1:14" x14ac:dyDescent="0.25">
      <c r="A676">
        <v>19223</v>
      </c>
      <c r="B676" t="s">
        <v>13</v>
      </c>
      <c r="C676" t="s">
        <v>14</v>
      </c>
      <c r="D676" s="1">
        <v>30000</v>
      </c>
      <c r="E676">
        <v>2</v>
      </c>
      <c r="F676" t="s">
        <v>31</v>
      </c>
      <c r="G676" t="s">
        <v>16</v>
      </c>
      <c r="H676" t="s">
        <v>17</v>
      </c>
      <c r="I676">
        <v>2</v>
      </c>
      <c r="J676" t="s">
        <v>30</v>
      </c>
      <c r="K676" t="s">
        <v>35</v>
      </c>
      <c r="L676" t="str" cm="1">
        <f t="array" ref="L676">_xlfn.IFS(bike_buyers[[#This Row],[Age]]&gt;= 70, "senior citizen", bike_buyers[[#This Row],[Age]]&gt;=55, "middle age",  bike_buyers[[#This Row],[Age]]&gt;=40,"mature adult ", bike_buyers[[#This Row],[Age]]&gt;=30, "adults", bike_buyers[[#This Row],[Age]]&gt;= 20, "young adults")</f>
        <v xml:space="preserve">mature adult </v>
      </c>
      <c r="M676">
        <v>48</v>
      </c>
      <c r="N676" t="s">
        <v>20</v>
      </c>
    </row>
    <row r="677" spans="1:14" x14ac:dyDescent="0.25">
      <c r="A677">
        <v>18517</v>
      </c>
      <c r="B677" t="s">
        <v>13</v>
      </c>
      <c r="C677" t="s">
        <v>21</v>
      </c>
      <c r="D677" s="1">
        <v>100000</v>
      </c>
      <c r="E677">
        <v>3</v>
      </c>
      <c r="F677" t="s">
        <v>15</v>
      </c>
      <c r="G677" t="s">
        <v>32</v>
      </c>
      <c r="H677" t="s">
        <v>17</v>
      </c>
      <c r="I677">
        <v>4</v>
      </c>
      <c r="J677" t="s">
        <v>18</v>
      </c>
      <c r="K677" t="s">
        <v>35</v>
      </c>
      <c r="L677" t="str" cm="1">
        <f t="array" ref="L677">_xlfn.IFS(bike_buyers[[#This Row],[Age]]&gt;= 70, "senior citizen", bike_buyers[[#This Row],[Age]]&gt;=55, "middle age",  bike_buyers[[#This Row],[Age]]&gt;=40,"mature adult ", bike_buyers[[#This Row],[Age]]&gt;=30, "adults", bike_buyers[[#This Row],[Age]]&gt;= 20, "young adults")</f>
        <v xml:space="preserve">mature adult </v>
      </c>
      <c r="M677">
        <v>41</v>
      </c>
      <c r="N677" t="s">
        <v>20</v>
      </c>
    </row>
    <row r="678" spans="1:14" x14ac:dyDescent="0.25">
      <c r="A678">
        <v>21717</v>
      </c>
      <c r="B678" t="s">
        <v>13</v>
      </c>
      <c r="C678" t="s">
        <v>21</v>
      </c>
      <c r="D678" s="1">
        <v>40000</v>
      </c>
      <c r="E678">
        <v>2</v>
      </c>
      <c r="F678" t="s">
        <v>22</v>
      </c>
      <c r="G678" t="s">
        <v>23</v>
      </c>
      <c r="H678" t="s">
        <v>17</v>
      </c>
      <c r="I678">
        <v>1</v>
      </c>
      <c r="J678" t="s">
        <v>18</v>
      </c>
      <c r="K678" t="s">
        <v>35</v>
      </c>
      <c r="L678" t="str" cm="1">
        <f t="array" ref="L678">_xlfn.IFS(bike_buyers[[#This Row],[Age]]&gt;= 70, "senior citizen", bike_buyers[[#This Row],[Age]]&gt;=55, "middle age",  bike_buyers[[#This Row],[Age]]&gt;=40,"mature adult ", bike_buyers[[#This Row],[Age]]&gt;=30, "adults", bike_buyers[[#This Row],[Age]]&gt;= 20, "young adults")</f>
        <v xml:space="preserve">mature adult </v>
      </c>
      <c r="M678">
        <v>47</v>
      </c>
      <c r="N678" t="s">
        <v>20</v>
      </c>
    </row>
    <row r="679" spans="1:14" x14ac:dyDescent="0.25">
      <c r="A679">
        <v>13760</v>
      </c>
      <c r="B679" t="s">
        <v>13</v>
      </c>
      <c r="C679" t="s">
        <v>21</v>
      </c>
      <c r="D679" s="1">
        <v>60000</v>
      </c>
      <c r="E679">
        <v>4</v>
      </c>
      <c r="F679" t="s">
        <v>34</v>
      </c>
      <c r="G679" t="s">
        <v>16</v>
      </c>
      <c r="H679" t="s">
        <v>20</v>
      </c>
      <c r="I679">
        <v>0</v>
      </c>
      <c r="J679" t="s">
        <v>18</v>
      </c>
      <c r="K679" t="s">
        <v>35</v>
      </c>
      <c r="L679" t="str" cm="1">
        <f t="array" ref="L679">_xlfn.IFS(bike_buyers[[#This Row],[Age]]&gt;= 70, "senior citizen", bike_buyers[[#This Row],[Age]]&gt;=55, "middle age",  bike_buyers[[#This Row],[Age]]&gt;=40,"mature adult ", bike_buyers[[#This Row],[Age]]&gt;=30, "adults", bike_buyers[[#This Row],[Age]]&gt;= 20, "young adults")</f>
        <v xml:space="preserve">mature adult </v>
      </c>
      <c r="M679">
        <v>47</v>
      </c>
      <c r="N679" t="s">
        <v>20</v>
      </c>
    </row>
    <row r="680" spans="1:14" x14ac:dyDescent="0.25">
      <c r="A680">
        <v>18145</v>
      </c>
      <c r="B680" t="s">
        <v>13</v>
      </c>
      <c r="C680" t="s">
        <v>21</v>
      </c>
      <c r="D680" s="1">
        <v>80000</v>
      </c>
      <c r="E680">
        <v>5</v>
      </c>
      <c r="F680" t="s">
        <v>15</v>
      </c>
      <c r="G680" t="s">
        <v>32</v>
      </c>
      <c r="H680" t="s">
        <v>20</v>
      </c>
      <c r="I680">
        <v>2</v>
      </c>
      <c r="J680" t="s">
        <v>25</v>
      </c>
      <c r="K680" t="s">
        <v>19</v>
      </c>
      <c r="L680" t="str" cm="1">
        <f t="array" ref="L680">_xlfn.IFS(bike_buyers[[#This Row],[Age]]&gt;= 70, "senior citizen", bike_buyers[[#This Row],[Age]]&gt;=55, "middle age",  bike_buyers[[#This Row],[Age]]&gt;=40,"mature adult ", bike_buyers[[#This Row],[Age]]&gt;=30, "adults", bike_buyers[[#This Row],[Age]]&gt;= 20, "young adults")</f>
        <v>middle age</v>
      </c>
      <c r="M680">
        <v>62</v>
      </c>
      <c r="N680" t="s">
        <v>20</v>
      </c>
    </row>
    <row r="681" spans="1:14" x14ac:dyDescent="0.25">
      <c r="A681">
        <v>21770</v>
      </c>
      <c r="B681" t="s">
        <v>13</v>
      </c>
      <c r="C681" t="s">
        <v>21</v>
      </c>
      <c r="D681" s="1">
        <v>60000</v>
      </c>
      <c r="E681">
        <v>4</v>
      </c>
      <c r="F681" t="s">
        <v>15</v>
      </c>
      <c r="G681" t="s">
        <v>32</v>
      </c>
      <c r="H681" t="s">
        <v>17</v>
      </c>
      <c r="I681">
        <v>2</v>
      </c>
      <c r="J681" t="s">
        <v>41</v>
      </c>
      <c r="K681" t="s">
        <v>35</v>
      </c>
      <c r="L681" t="str" cm="1">
        <f t="array" ref="L681">_xlfn.IFS(bike_buyers[[#This Row],[Age]]&gt;= 70, "senior citizen", bike_buyers[[#This Row],[Age]]&gt;=55, "middle age",  bike_buyers[[#This Row],[Age]]&gt;=40,"mature adult ", bike_buyers[[#This Row],[Age]]&gt;=30, "adults", bike_buyers[[#This Row],[Age]]&gt;= 20, "young adults")</f>
        <v>middle age</v>
      </c>
      <c r="M681">
        <v>60</v>
      </c>
      <c r="N681" t="s">
        <v>20</v>
      </c>
    </row>
    <row r="682" spans="1:14" x14ac:dyDescent="0.25">
      <c r="A682">
        <v>11165</v>
      </c>
      <c r="B682" t="s">
        <v>13</v>
      </c>
      <c r="C682" t="s">
        <v>14</v>
      </c>
      <c r="D682" s="1">
        <v>60000</v>
      </c>
      <c r="E682">
        <v>0</v>
      </c>
      <c r="F682" t="s">
        <v>22</v>
      </c>
      <c r="G682" t="s">
        <v>16</v>
      </c>
      <c r="H682" t="s">
        <v>20</v>
      </c>
      <c r="I682">
        <v>1</v>
      </c>
      <c r="J682" t="s">
        <v>30</v>
      </c>
      <c r="K682" t="s">
        <v>35</v>
      </c>
      <c r="L682" t="str" cm="1">
        <f t="array" ref="L682">_xlfn.IFS(bike_buyers[[#This Row],[Age]]&gt;= 70, "senior citizen", bike_buyers[[#This Row],[Age]]&gt;=55, "middle age",  bike_buyers[[#This Row],[Age]]&gt;=40,"mature adult ", bike_buyers[[#This Row],[Age]]&gt;=30, "adults", bike_buyers[[#This Row],[Age]]&gt;= 20, "young adults")</f>
        <v>adults</v>
      </c>
      <c r="M682">
        <v>33</v>
      </c>
      <c r="N682" t="s">
        <v>20</v>
      </c>
    </row>
    <row r="683" spans="1:14" x14ac:dyDescent="0.25">
      <c r="A683">
        <v>16377</v>
      </c>
      <c r="B683" t="s">
        <v>26</v>
      </c>
      <c r="C683" t="s">
        <v>14</v>
      </c>
      <c r="D683" s="1">
        <v>80000</v>
      </c>
      <c r="E683">
        <v>4</v>
      </c>
      <c r="F683" t="s">
        <v>34</v>
      </c>
      <c r="G683" t="s">
        <v>16</v>
      </c>
      <c r="H683" t="s">
        <v>20</v>
      </c>
      <c r="I683">
        <v>0</v>
      </c>
      <c r="J683" t="s">
        <v>18</v>
      </c>
      <c r="K683" t="s">
        <v>35</v>
      </c>
      <c r="L683" t="str" cm="1">
        <f t="array" ref="L683">_xlfn.IFS(bike_buyers[[#This Row],[Age]]&gt;= 70, "senior citizen", bike_buyers[[#This Row],[Age]]&gt;=55, "middle age",  bike_buyers[[#This Row],[Age]]&gt;=40,"mature adult ", bike_buyers[[#This Row],[Age]]&gt;=30, "adults", bike_buyers[[#This Row],[Age]]&gt;= 20, "young adults")</f>
        <v xml:space="preserve">mature adult </v>
      </c>
      <c r="M683">
        <v>47</v>
      </c>
      <c r="N683" t="s">
        <v>20</v>
      </c>
    </row>
    <row r="684" spans="1:14" x14ac:dyDescent="0.25">
      <c r="A684">
        <v>26248</v>
      </c>
      <c r="B684" t="s">
        <v>13</v>
      </c>
      <c r="C684" t="s">
        <v>21</v>
      </c>
      <c r="D684" s="1">
        <v>20000</v>
      </c>
      <c r="E684">
        <v>3</v>
      </c>
      <c r="F684" t="s">
        <v>33</v>
      </c>
      <c r="G684" t="s">
        <v>23</v>
      </c>
      <c r="H684" t="s">
        <v>20</v>
      </c>
      <c r="I684">
        <v>2</v>
      </c>
      <c r="J684" t="s">
        <v>18</v>
      </c>
      <c r="K684" t="s">
        <v>35</v>
      </c>
      <c r="L684" t="str" cm="1">
        <f t="array" ref="L684">_xlfn.IFS(bike_buyers[[#This Row],[Age]]&gt;= 70, "senior citizen", bike_buyers[[#This Row],[Age]]&gt;=55, "middle age",  bike_buyers[[#This Row],[Age]]&gt;=40,"mature adult ", bike_buyers[[#This Row],[Age]]&gt;=30, "adults", bike_buyers[[#This Row],[Age]]&gt;= 20, "young adults")</f>
        <v xml:space="preserve">mature adult </v>
      </c>
      <c r="M684">
        <v>52</v>
      </c>
      <c r="N684" t="s">
        <v>20</v>
      </c>
    </row>
    <row r="685" spans="1:14" x14ac:dyDescent="0.25">
      <c r="A685">
        <v>23461</v>
      </c>
      <c r="B685" t="s">
        <v>13</v>
      </c>
      <c r="C685" t="s">
        <v>14</v>
      </c>
      <c r="D685" s="1">
        <v>90000</v>
      </c>
      <c r="E685">
        <v>5</v>
      </c>
      <c r="F685" t="s">
        <v>22</v>
      </c>
      <c r="G685" t="s">
        <v>24</v>
      </c>
      <c r="H685" t="s">
        <v>17</v>
      </c>
      <c r="I685">
        <v>3</v>
      </c>
      <c r="J685" t="s">
        <v>25</v>
      </c>
      <c r="K685" t="s">
        <v>35</v>
      </c>
      <c r="L685" t="str" cm="1">
        <f t="array" ref="L685">_xlfn.IFS(bike_buyers[[#This Row],[Age]]&gt;= 70, "senior citizen", bike_buyers[[#This Row],[Age]]&gt;=55, "middle age",  bike_buyers[[#This Row],[Age]]&gt;=40,"mature adult ", bike_buyers[[#This Row],[Age]]&gt;=30, "adults", bike_buyers[[#This Row],[Age]]&gt;= 20, "young adults")</f>
        <v xml:space="preserve">mature adult </v>
      </c>
      <c r="M685">
        <v>40</v>
      </c>
      <c r="N685" t="s">
        <v>20</v>
      </c>
    </row>
    <row r="686" spans="1:14" x14ac:dyDescent="0.25">
      <c r="A686">
        <v>29133</v>
      </c>
      <c r="B686" t="s">
        <v>26</v>
      </c>
      <c r="C686" t="s">
        <v>14</v>
      </c>
      <c r="D686" s="1">
        <v>60000</v>
      </c>
      <c r="E686">
        <v>4</v>
      </c>
      <c r="F686" t="s">
        <v>15</v>
      </c>
      <c r="G686" t="s">
        <v>16</v>
      </c>
      <c r="H686" t="s">
        <v>20</v>
      </c>
      <c r="I686">
        <v>2</v>
      </c>
      <c r="J686" t="s">
        <v>18</v>
      </c>
      <c r="K686" t="s">
        <v>35</v>
      </c>
      <c r="L686" t="str" cm="1">
        <f t="array" ref="L686">_xlfn.IFS(bike_buyers[[#This Row],[Age]]&gt;= 70, "senior citizen", bike_buyers[[#This Row],[Age]]&gt;=55, "middle age",  bike_buyers[[#This Row],[Age]]&gt;=40,"mature adult ", bike_buyers[[#This Row],[Age]]&gt;=30, "adults", bike_buyers[[#This Row],[Age]]&gt;= 20, "young adults")</f>
        <v xml:space="preserve">mature adult </v>
      </c>
      <c r="M686">
        <v>42</v>
      </c>
      <c r="N686" t="s">
        <v>20</v>
      </c>
    </row>
    <row r="687" spans="1:14" x14ac:dyDescent="0.25">
      <c r="A687">
        <v>27673</v>
      </c>
      <c r="B687" t="s">
        <v>26</v>
      </c>
      <c r="C687" t="s">
        <v>14</v>
      </c>
      <c r="D687" s="1">
        <v>60000</v>
      </c>
      <c r="E687">
        <v>3</v>
      </c>
      <c r="F687" t="s">
        <v>34</v>
      </c>
      <c r="G687" t="s">
        <v>32</v>
      </c>
      <c r="H687" t="s">
        <v>17</v>
      </c>
      <c r="I687">
        <v>2</v>
      </c>
      <c r="J687" t="s">
        <v>27</v>
      </c>
      <c r="K687" t="s">
        <v>35</v>
      </c>
      <c r="L687" t="str" cm="1">
        <f t="array" ref="L687">_xlfn.IFS(bike_buyers[[#This Row],[Age]]&gt;= 70, "senior citizen", bike_buyers[[#This Row],[Age]]&gt;=55, "middle age",  bike_buyers[[#This Row],[Age]]&gt;=40,"mature adult ", bike_buyers[[#This Row],[Age]]&gt;=30, "adults", bike_buyers[[#This Row],[Age]]&gt;= 20, "young adults")</f>
        <v xml:space="preserve">mature adult </v>
      </c>
      <c r="M687">
        <v>53</v>
      </c>
      <c r="N687" t="s">
        <v>17</v>
      </c>
    </row>
    <row r="688" spans="1:14" x14ac:dyDescent="0.25">
      <c r="A688">
        <v>12774</v>
      </c>
      <c r="B688" t="s">
        <v>13</v>
      </c>
      <c r="C688" t="s">
        <v>14</v>
      </c>
      <c r="D688" s="1">
        <v>40000</v>
      </c>
      <c r="E688">
        <v>1</v>
      </c>
      <c r="F688" t="s">
        <v>22</v>
      </c>
      <c r="G688" t="s">
        <v>23</v>
      </c>
      <c r="H688" t="s">
        <v>17</v>
      </c>
      <c r="I688">
        <v>1</v>
      </c>
      <c r="J688" t="s">
        <v>30</v>
      </c>
      <c r="K688" t="s">
        <v>35</v>
      </c>
      <c r="L688" t="str" cm="1">
        <f t="array" ref="L688">_xlfn.IFS(bike_buyers[[#This Row],[Age]]&gt;= 70, "senior citizen", bike_buyers[[#This Row],[Age]]&gt;=55, "middle age",  bike_buyers[[#This Row],[Age]]&gt;=40,"mature adult ", bike_buyers[[#This Row],[Age]]&gt;=30, "adults", bike_buyers[[#This Row],[Age]]&gt;= 20, "young adults")</f>
        <v xml:space="preserve">mature adult </v>
      </c>
      <c r="M688">
        <v>51</v>
      </c>
      <c r="N688" t="s">
        <v>17</v>
      </c>
    </row>
    <row r="689" spans="1:14" x14ac:dyDescent="0.25">
      <c r="A689">
        <v>18910</v>
      </c>
      <c r="B689" t="s">
        <v>26</v>
      </c>
      <c r="C689" t="s">
        <v>21</v>
      </c>
      <c r="D689" s="1">
        <v>30000</v>
      </c>
      <c r="E689">
        <v>0</v>
      </c>
      <c r="F689" t="s">
        <v>22</v>
      </c>
      <c r="G689" t="s">
        <v>16</v>
      </c>
      <c r="H689" t="s">
        <v>17</v>
      </c>
      <c r="I689">
        <v>2</v>
      </c>
      <c r="J689" t="s">
        <v>27</v>
      </c>
      <c r="K689" t="s">
        <v>35</v>
      </c>
      <c r="L689" t="str" cm="1">
        <f t="array" ref="L689">_xlfn.IFS(bike_buyers[[#This Row],[Age]]&gt;= 70, "senior citizen", bike_buyers[[#This Row],[Age]]&gt;=55, "middle age",  bike_buyers[[#This Row],[Age]]&gt;=40,"mature adult ", bike_buyers[[#This Row],[Age]]&gt;=30, "adults", bike_buyers[[#This Row],[Age]]&gt;= 20, "young adults")</f>
        <v>adults</v>
      </c>
      <c r="M689">
        <v>30</v>
      </c>
      <c r="N689" t="s">
        <v>20</v>
      </c>
    </row>
    <row r="690" spans="1:14" x14ac:dyDescent="0.25">
      <c r="A690">
        <v>11699</v>
      </c>
      <c r="B690" t="s">
        <v>26</v>
      </c>
      <c r="C690" t="s">
        <v>21</v>
      </c>
      <c r="D690" s="1">
        <v>60000</v>
      </c>
      <c r="E690">
        <v>0</v>
      </c>
      <c r="F690" t="s">
        <v>15</v>
      </c>
      <c r="G690" t="s">
        <v>16</v>
      </c>
      <c r="H690" t="s">
        <v>20</v>
      </c>
      <c r="I690">
        <v>2</v>
      </c>
      <c r="J690" t="s">
        <v>18</v>
      </c>
      <c r="K690" t="s">
        <v>35</v>
      </c>
      <c r="L690" t="str" cm="1">
        <f t="array" ref="L690">_xlfn.IFS(bike_buyers[[#This Row],[Age]]&gt;= 70, "senior citizen", bike_buyers[[#This Row],[Age]]&gt;=55, "middle age",  bike_buyers[[#This Row],[Age]]&gt;=40,"mature adult ", bike_buyers[[#This Row],[Age]]&gt;=30, "adults", bike_buyers[[#This Row],[Age]]&gt;= 20, "young adults")</f>
        <v>adults</v>
      </c>
      <c r="M690">
        <v>30</v>
      </c>
      <c r="N690" t="s">
        <v>20</v>
      </c>
    </row>
    <row r="691" spans="1:14" x14ac:dyDescent="0.25">
      <c r="A691">
        <v>16725</v>
      </c>
      <c r="B691" t="s">
        <v>13</v>
      </c>
      <c r="C691" t="s">
        <v>21</v>
      </c>
      <c r="D691" s="1">
        <v>30000</v>
      </c>
      <c r="E691">
        <v>0</v>
      </c>
      <c r="F691" t="s">
        <v>31</v>
      </c>
      <c r="G691" t="s">
        <v>16</v>
      </c>
      <c r="H691" t="s">
        <v>17</v>
      </c>
      <c r="I691">
        <v>2</v>
      </c>
      <c r="J691" t="s">
        <v>27</v>
      </c>
      <c r="K691" t="s">
        <v>35</v>
      </c>
      <c r="L691" t="str" cm="1">
        <f t="array" ref="L691">_xlfn.IFS(bike_buyers[[#This Row],[Age]]&gt;= 70, "senior citizen", bike_buyers[[#This Row],[Age]]&gt;=55, "middle age",  bike_buyers[[#This Row],[Age]]&gt;=40,"mature adult ", bike_buyers[[#This Row],[Age]]&gt;=30, "adults", bike_buyers[[#This Row],[Age]]&gt;= 20, "young adults")</f>
        <v>young adults</v>
      </c>
      <c r="M691">
        <v>26</v>
      </c>
      <c r="N691" t="s">
        <v>20</v>
      </c>
    </row>
    <row r="692" spans="1:14" x14ac:dyDescent="0.25">
      <c r="A692">
        <v>28269</v>
      </c>
      <c r="B692" t="s">
        <v>26</v>
      </c>
      <c r="C692" t="s">
        <v>14</v>
      </c>
      <c r="D692" s="1">
        <v>130000</v>
      </c>
      <c r="E692">
        <v>1</v>
      </c>
      <c r="F692" t="s">
        <v>15</v>
      </c>
      <c r="G692" t="s">
        <v>32</v>
      </c>
      <c r="H692" t="s">
        <v>20</v>
      </c>
      <c r="I692">
        <v>1</v>
      </c>
      <c r="J692" t="s">
        <v>25</v>
      </c>
      <c r="K692" t="s">
        <v>35</v>
      </c>
      <c r="L692" t="str" cm="1">
        <f t="array" ref="L692">_xlfn.IFS(bike_buyers[[#This Row],[Age]]&gt;= 70, "senior citizen", bike_buyers[[#This Row],[Age]]&gt;=55, "middle age",  bike_buyers[[#This Row],[Age]]&gt;=40,"mature adult ", bike_buyers[[#This Row],[Age]]&gt;=30, "adults", bike_buyers[[#This Row],[Age]]&gt;= 20, "young adults")</f>
        <v xml:space="preserve">mature adult </v>
      </c>
      <c r="M692">
        <v>45</v>
      </c>
      <c r="N692" t="s">
        <v>20</v>
      </c>
    </row>
    <row r="693" spans="1:14" x14ac:dyDescent="0.25">
      <c r="A693">
        <v>23144</v>
      </c>
      <c r="B693" t="s">
        <v>13</v>
      </c>
      <c r="C693" t="s">
        <v>21</v>
      </c>
      <c r="D693" s="1">
        <v>50000</v>
      </c>
      <c r="E693">
        <v>1</v>
      </c>
      <c r="F693" t="s">
        <v>15</v>
      </c>
      <c r="G693" t="s">
        <v>16</v>
      </c>
      <c r="H693" t="s">
        <v>17</v>
      </c>
      <c r="I693">
        <v>0</v>
      </c>
      <c r="J693" t="s">
        <v>18</v>
      </c>
      <c r="K693" t="s">
        <v>35</v>
      </c>
      <c r="L693" t="str" cm="1">
        <f t="array" ref="L693">_xlfn.IFS(bike_buyers[[#This Row],[Age]]&gt;= 70, "senior citizen", bike_buyers[[#This Row],[Age]]&gt;=55, "middle age",  bike_buyers[[#This Row],[Age]]&gt;=40,"mature adult ", bike_buyers[[#This Row],[Age]]&gt;=30, "adults", bike_buyers[[#This Row],[Age]]&gt;= 20, "young adults")</f>
        <v>adults</v>
      </c>
      <c r="M693">
        <v>34</v>
      </c>
      <c r="N693" t="s">
        <v>17</v>
      </c>
    </row>
    <row r="694" spans="1:14" x14ac:dyDescent="0.25">
      <c r="A694">
        <v>23376</v>
      </c>
      <c r="B694" t="s">
        <v>13</v>
      </c>
      <c r="C694" t="s">
        <v>21</v>
      </c>
      <c r="D694" s="1">
        <v>70000</v>
      </c>
      <c r="E694">
        <v>1</v>
      </c>
      <c r="F694" t="s">
        <v>15</v>
      </c>
      <c r="G694" t="s">
        <v>24</v>
      </c>
      <c r="H694" t="s">
        <v>17</v>
      </c>
      <c r="I694">
        <v>1</v>
      </c>
      <c r="J694" t="s">
        <v>25</v>
      </c>
      <c r="K694" t="s">
        <v>35</v>
      </c>
      <c r="L694" t="str" cm="1">
        <f t="array" ref="L694">_xlfn.IFS(bike_buyers[[#This Row],[Age]]&gt;= 70, "senior citizen", bike_buyers[[#This Row],[Age]]&gt;=55, "middle age",  bike_buyers[[#This Row],[Age]]&gt;=40,"mature adult ", bike_buyers[[#This Row],[Age]]&gt;=30, "adults", bike_buyers[[#This Row],[Age]]&gt;= 20, "young adults")</f>
        <v xml:space="preserve">mature adult </v>
      </c>
      <c r="M694">
        <v>44</v>
      </c>
      <c r="N694" t="s">
        <v>17</v>
      </c>
    </row>
    <row r="695" spans="1:14" x14ac:dyDescent="0.25">
      <c r="A695">
        <v>25970</v>
      </c>
      <c r="B695" t="s">
        <v>26</v>
      </c>
      <c r="C695" t="s">
        <v>14</v>
      </c>
      <c r="D695" s="1">
        <v>60000</v>
      </c>
      <c r="E695">
        <v>4</v>
      </c>
      <c r="F695" t="s">
        <v>15</v>
      </c>
      <c r="G695" t="s">
        <v>16</v>
      </c>
      <c r="H695" t="s">
        <v>20</v>
      </c>
      <c r="I695">
        <v>2</v>
      </c>
      <c r="J695" t="s">
        <v>18</v>
      </c>
      <c r="K695" t="s">
        <v>35</v>
      </c>
      <c r="L695" t="str" cm="1">
        <f t="array" ref="L695">_xlfn.IFS(bike_buyers[[#This Row],[Age]]&gt;= 70, "senior citizen", bike_buyers[[#This Row],[Age]]&gt;=55, "middle age",  bike_buyers[[#This Row],[Age]]&gt;=40,"mature adult ", bike_buyers[[#This Row],[Age]]&gt;=30, "adults", bike_buyers[[#This Row],[Age]]&gt;= 20, "young adults")</f>
        <v xml:space="preserve">mature adult </v>
      </c>
      <c r="M695">
        <v>41</v>
      </c>
      <c r="N695" t="s">
        <v>17</v>
      </c>
    </row>
    <row r="696" spans="1:14" x14ac:dyDescent="0.25">
      <c r="A696">
        <v>28068</v>
      </c>
      <c r="B696" t="s">
        <v>26</v>
      </c>
      <c r="C696" t="s">
        <v>14</v>
      </c>
      <c r="D696" s="1">
        <v>80000</v>
      </c>
      <c r="E696">
        <v>3</v>
      </c>
      <c r="F696" t="s">
        <v>34</v>
      </c>
      <c r="G696" t="s">
        <v>24</v>
      </c>
      <c r="H696" t="s">
        <v>20</v>
      </c>
      <c r="I696">
        <v>0</v>
      </c>
      <c r="J696" t="s">
        <v>18</v>
      </c>
      <c r="K696" t="s">
        <v>35</v>
      </c>
      <c r="L696" t="str" cm="1">
        <f t="array" ref="L696">_xlfn.IFS(bike_buyers[[#This Row],[Age]]&gt;= 70, "senior citizen", bike_buyers[[#This Row],[Age]]&gt;=55, "middle age",  bike_buyers[[#This Row],[Age]]&gt;=40,"mature adult ", bike_buyers[[#This Row],[Age]]&gt;=30, "adults", bike_buyers[[#This Row],[Age]]&gt;= 20, "young adults")</f>
        <v>adults</v>
      </c>
      <c r="M696">
        <v>36</v>
      </c>
      <c r="N696" t="s">
        <v>17</v>
      </c>
    </row>
    <row r="697" spans="1:14" x14ac:dyDescent="0.25">
      <c r="A697">
        <v>18390</v>
      </c>
      <c r="B697" t="s">
        <v>13</v>
      </c>
      <c r="C697" t="s">
        <v>21</v>
      </c>
      <c r="D697" s="1">
        <v>80000</v>
      </c>
      <c r="E697">
        <v>5</v>
      </c>
      <c r="F697" t="s">
        <v>22</v>
      </c>
      <c r="G697" t="s">
        <v>24</v>
      </c>
      <c r="H697" t="s">
        <v>17</v>
      </c>
      <c r="I697">
        <v>2</v>
      </c>
      <c r="J697" t="s">
        <v>18</v>
      </c>
      <c r="K697" t="s">
        <v>35</v>
      </c>
      <c r="L697" t="str" cm="1">
        <f t="array" ref="L697">_xlfn.IFS(bike_buyers[[#This Row],[Age]]&gt;= 70, "senior citizen", bike_buyers[[#This Row],[Age]]&gt;=55, "middle age",  bike_buyers[[#This Row],[Age]]&gt;=40,"mature adult ", bike_buyers[[#This Row],[Age]]&gt;=30, "adults", bike_buyers[[#This Row],[Age]]&gt;= 20, "young adults")</f>
        <v xml:space="preserve">mature adult </v>
      </c>
      <c r="M697">
        <v>44</v>
      </c>
      <c r="N697" t="s">
        <v>20</v>
      </c>
    </row>
    <row r="698" spans="1:14" x14ac:dyDescent="0.25">
      <c r="A698">
        <v>29112</v>
      </c>
      <c r="B698" t="s">
        <v>26</v>
      </c>
      <c r="C698" t="s">
        <v>21</v>
      </c>
      <c r="D698" s="1">
        <v>60000</v>
      </c>
      <c r="E698">
        <v>0</v>
      </c>
      <c r="F698" t="s">
        <v>22</v>
      </c>
      <c r="G698" t="s">
        <v>24</v>
      </c>
      <c r="H698" t="s">
        <v>20</v>
      </c>
      <c r="I698">
        <v>2</v>
      </c>
      <c r="J698" t="s">
        <v>30</v>
      </c>
      <c r="K698" t="s">
        <v>35</v>
      </c>
      <c r="L698" t="str" cm="1">
        <f t="array" ref="L698">_xlfn.IFS(bike_buyers[[#This Row],[Age]]&gt;= 70, "senior citizen", bike_buyers[[#This Row],[Age]]&gt;=55, "middle age",  bike_buyers[[#This Row],[Age]]&gt;=40,"mature adult ", bike_buyers[[#This Row],[Age]]&gt;=30, "adults", bike_buyers[[#This Row],[Age]]&gt;= 20, "young adults")</f>
        <v>adults</v>
      </c>
      <c r="M698">
        <v>30</v>
      </c>
      <c r="N698" t="s">
        <v>20</v>
      </c>
    </row>
    <row r="699" spans="1:14" x14ac:dyDescent="0.25">
      <c r="A699">
        <v>14090</v>
      </c>
      <c r="B699" t="s">
        <v>13</v>
      </c>
      <c r="C699" t="s">
        <v>14</v>
      </c>
      <c r="D699" s="1">
        <v>30000</v>
      </c>
      <c r="E699">
        <v>0</v>
      </c>
      <c r="F699" t="s">
        <v>33</v>
      </c>
      <c r="G699" t="s">
        <v>23</v>
      </c>
      <c r="H699" t="s">
        <v>20</v>
      </c>
      <c r="I699">
        <v>2</v>
      </c>
      <c r="J699" t="s">
        <v>18</v>
      </c>
      <c r="K699" t="s">
        <v>35</v>
      </c>
      <c r="L699" t="str" cm="1">
        <f t="array" ref="L699">_xlfn.IFS(bike_buyers[[#This Row],[Age]]&gt;= 70, "senior citizen", bike_buyers[[#This Row],[Age]]&gt;=55, "middle age",  bike_buyers[[#This Row],[Age]]&gt;=40,"mature adult ", bike_buyers[[#This Row],[Age]]&gt;=30, "adults", bike_buyers[[#This Row],[Age]]&gt;= 20, "young adults")</f>
        <v>young adults</v>
      </c>
      <c r="M699">
        <v>28</v>
      </c>
      <c r="N699" t="s">
        <v>20</v>
      </c>
    </row>
    <row r="700" spans="1:14" x14ac:dyDescent="0.25">
      <c r="A700">
        <v>27040</v>
      </c>
      <c r="B700" t="s">
        <v>13</v>
      </c>
      <c r="C700" t="s">
        <v>21</v>
      </c>
      <c r="D700" s="1">
        <v>20000</v>
      </c>
      <c r="E700">
        <v>2</v>
      </c>
      <c r="F700" t="s">
        <v>33</v>
      </c>
      <c r="G700" t="s">
        <v>23</v>
      </c>
      <c r="H700" t="s">
        <v>17</v>
      </c>
      <c r="I700">
        <v>2</v>
      </c>
      <c r="J700" t="s">
        <v>30</v>
      </c>
      <c r="K700" t="s">
        <v>35</v>
      </c>
      <c r="L700" t="str" cm="1">
        <f t="array" ref="L700">_xlfn.IFS(bike_buyers[[#This Row],[Age]]&gt;= 70, "senior citizen", bike_buyers[[#This Row],[Age]]&gt;=55, "middle age",  bike_buyers[[#This Row],[Age]]&gt;=40,"mature adult ", bike_buyers[[#This Row],[Age]]&gt;=30, "adults", bike_buyers[[#This Row],[Age]]&gt;= 20, "young adults")</f>
        <v xml:space="preserve">mature adult </v>
      </c>
      <c r="M700">
        <v>49</v>
      </c>
      <c r="N700" t="s">
        <v>20</v>
      </c>
    </row>
    <row r="701" spans="1:14" x14ac:dyDescent="0.25">
      <c r="A701">
        <v>23479</v>
      </c>
      <c r="B701" t="s">
        <v>26</v>
      </c>
      <c r="C701" t="s">
        <v>21</v>
      </c>
      <c r="D701" s="1">
        <v>90000</v>
      </c>
      <c r="E701">
        <v>0</v>
      </c>
      <c r="F701" t="s">
        <v>22</v>
      </c>
      <c r="G701" t="s">
        <v>24</v>
      </c>
      <c r="H701" t="s">
        <v>20</v>
      </c>
      <c r="I701">
        <v>2</v>
      </c>
      <c r="J701" t="s">
        <v>18</v>
      </c>
      <c r="K701" t="s">
        <v>35</v>
      </c>
      <c r="L701" t="str" cm="1">
        <f t="array" ref="L701">_xlfn.IFS(bike_buyers[[#This Row],[Age]]&gt;= 70, "senior citizen", bike_buyers[[#This Row],[Age]]&gt;=55, "middle age",  bike_buyers[[#This Row],[Age]]&gt;=40,"mature adult ", bike_buyers[[#This Row],[Age]]&gt;=30, "adults", bike_buyers[[#This Row],[Age]]&gt;= 20, "young adults")</f>
        <v xml:space="preserve">mature adult </v>
      </c>
      <c r="M701">
        <v>43</v>
      </c>
      <c r="N701" t="s">
        <v>17</v>
      </c>
    </row>
    <row r="702" spans="1:14" x14ac:dyDescent="0.25">
      <c r="A702">
        <v>16795</v>
      </c>
      <c r="B702" t="s">
        <v>13</v>
      </c>
      <c r="C702" t="s">
        <v>14</v>
      </c>
      <c r="D702" s="1">
        <v>70000</v>
      </c>
      <c r="E702">
        <v>4</v>
      </c>
      <c r="F702" t="s">
        <v>15</v>
      </c>
      <c r="G702" t="s">
        <v>32</v>
      </c>
      <c r="H702" t="s">
        <v>17</v>
      </c>
      <c r="I702">
        <v>1</v>
      </c>
      <c r="J702" t="s">
        <v>30</v>
      </c>
      <c r="K702" t="s">
        <v>35</v>
      </c>
      <c r="L702" t="str" cm="1">
        <f t="array" ref="L702">_xlfn.IFS(bike_buyers[[#This Row],[Age]]&gt;= 70, "senior citizen", bike_buyers[[#This Row],[Age]]&gt;=55, "middle age",  bike_buyers[[#This Row],[Age]]&gt;=40,"mature adult ", bike_buyers[[#This Row],[Age]]&gt;=30, "adults", bike_buyers[[#This Row],[Age]]&gt;= 20, "young adults")</f>
        <v>middle age</v>
      </c>
      <c r="M702">
        <v>59</v>
      </c>
      <c r="N702" t="s">
        <v>20</v>
      </c>
    </row>
    <row r="703" spans="1:14" x14ac:dyDescent="0.25">
      <c r="A703">
        <v>22014</v>
      </c>
      <c r="B703" t="s">
        <v>26</v>
      </c>
      <c r="C703" t="s">
        <v>21</v>
      </c>
      <c r="D703" s="1">
        <v>30000</v>
      </c>
      <c r="E703">
        <v>0</v>
      </c>
      <c r="F703" t="s">
        <v>31</v>
      </c>
      <c r="G703" t="s">
        <v>16</v>
      </c>
      <c r="H703" t="s">
        <v>17</v>
      </c>
      <c r="I703">
        <v>2</v>
      </c>
      <c r="J703" t="s">
        <v>27</v>
      </c>
      <c r="K703" t="s">
        <v>35</v>
      </c>
      <c r="L703" t="str" cm="1">
        <f t="array" ref="L703">_xlfn.IFS(bike_buyers[[#This Row],[Age]]&gt;= 70, "senior citizen", bike_buyers[[#This Row],[Age]]&gt;=55, "middle age",  bike_buyers[[#This Row],[Age]]&gt;=40,"mature adult ", bike_buyers[[#This Row],[Age]]&gt;=30, "adults", bike_buyers[[#This Row],[Age]]&gt;= 20, "young adults")</f>
        <v>young adults</v>
      </c>
      <c r="M703">
        <v>26</v>
      </c>
      <c r="N703" t="s">
        <v>20</v>
      </c>
    </row>
    <row r="704" spans="1:14" x14ac:dyDescent="0.25">
      <c r="A704">
        <v>13314</v>
      </c>
      <c r="B704" t="s">
        <v>13</v>
      </c>
      <c r="C704" t="s">
        <v>21</v>
      </c>
      <c r="D704" s="1">
        <v>120000</v>
      </c>
      <c r="E704">
        <v>1</v>
      </c>
      <c r="F704" t="s">
        <v>31</v>
      </c>
      <c r="G704" t="s">
        <v>24</v>
      </c>
      <c r="H704" t="s">
        <v>17</v>
      </c>
      <c r="I704">
        <v>4</v>
      </c>
      <c r="J704" t="s">
        <v>27</v>
      </c>
      <c r="K704" t="s">
        <v>35</v>
      </c>
      <c r="L704" t="str" cm="1">
        <f t="array" ref="L704">_xlfn.IFS(bike_buyers[[#This Row],[Age]]&gt;= 70, "senior citizen", bike_buyers[[#This Row],[Age]]&gt;=55, "middle age",  bike_buyers[[#This Row],[Age]]&gt;=40,"mature adult ", bike_buyers[[#This Row],[Age]]&gt;=30, "adults", bike_buyers[[#This Row],[Age]]&gt;= 20, "young adults")</f>
        <v xml:space="preserve">mature adult </v>
      </c>
      <c r="M704">
        <v>46</v>
      </c>
      <c r="N704" t="s">
        <v>17</v>
      </c>
    </row>
    <row r="705" spans="1:14" x14ac:dyDescent="0.25">
      <c r="A705">
        <v>11619</v>
      </c>
      <c r="B705" t="s">
        <v>26</v>
      </c>
      <c r="C705" t="s">
        <v>14</v>
      </c>
      <c r="D705" s="1">
        <v>50000</v>
      </c>
      <c r="E705">
        <v>0</v>
      </c>
      <c r="F705" t="s">
        <v>34</v>
      </c>
      <c r="G705" t="s">
        <v>16</v>
      </c>
      <c r="H705" t="s">
        <v>17</v>
      </c>
      <c r="I705">
        <v>0</v>
      </c>
      <c r="J705" t="s">
        <v>30</v>
      </c>
      <c r="K705" t="s">
        <v>35</v>
      </c>
      <c r="L705" t="str" cm="1">
        <f t="array" ref="L705">_xlfn.IFS(bike_buyers[[#This Row],[Age]]&gt;= 70, "senior citizen", bike_buyers[[#This Row],[Age]]&gt;=55, "middle age",  bike_buyers[[#This Row],[Age]]&gt;=40,"mature adult ", bike_buyers[[#This Row],[Age]]&gt;=30, "adults", bike_buyers[[#This Row],[Age]]&gt;= 20, "young adults")</f>
        <v>adults</v>
      </c>
      <c r="M705">
        <v>33</v>
      </c>
      <c r="N705" t="s">
        <v>20</v>
      </c>
    </row>
    <row r="706" spans="1:14" x14ac:dyDescent="0.25">
      <c r="A706">
        <v>29132</v>
      </c>
      <c r="B706" t="s">
        <v>26</v>
      </c>
      <c r="C706" t="s">
        <v>14</v>
      </c>
      <c r="D706" s="1">
        <v>40000</v>
      </c>
      <c r="E706">
        <v>0</v>
      </c>
      <c r="F706" t="s">
        <v>15</v>
      </c>
      <c r="G706" t="s">
        <v>24</v>
      </c>
      <c r="H706" t="s">
        <v>17</v>
      </c>
      <c r="I706">
        <v>1</v>
      </c>
      <c r="J706" t="s">
        <v>25</v>
      </c>
      <c r="K706" t="s">
        <v>35</v>
      </c>
      <c r="L706" t="str" cm="1">
        <f t="array" ref="L706">_xlfn.IFS(bike_buyers[[#This Row],[Age]]&gt;= 70, "senior citizen", bike_buyers[[#This Row],[Age]]&gt;=55, "middle age",  bike_buyers[[#This Row],[Age]]&gt;=40,"mature adult ", bike_buyers[[#This Row],[Age]]&gt;=30, "adults", bike_buyers[[#This Row],[Age]]&gt;= 20, "young adults")</f>
        <v xml:space="preserve">mature adult </v>
      </c>
      <c r="M706">
        <v>42</v>
      </c>
      <c r="N706" t="s">
        <v>17</v>
      </c>
    </row>
    <row r="707" spans="1:14" x14ac:dyDescent="0.25">
      <c r="A707">
        <v>11199</v>
      </c>
      <c r="B707" t="s">
        <v>13</v>
      </c>
      <c r="C707" t="s">
        <v>14</v>
      </c>
      <c r="D707" s="1">
        <v>70000</v>
      </c>
      <c r="E707">
        <v>4</v>
      </c>
      <c r="F707" t="s">
        <v>15</v>
      </c>
      <c r="G707" t="s">
        <v>32</v>
      </c>
      <c r="H707" t="s">
        <v>17</v>
      </c>
      <c r="I707">
        <v>1</v>
      </c>
      <c r="J707" t="s">
        <v>41</v>
      </c>
      <c r="K707" t="s">
        <v>35</v>
      </c>
      <c r="L707" t="str" cm="1">
        <f t="array" ref="L707">_xlfn.IFS(bike_buyers[[#This Row],[Age]]&gt;= 70, "senior citizen", bike_buyers[[#This Row],[Age]]&gt;=55, "middle age",  bike_buyers[[#This Row],[Age]]&gt;=40,"mature adult ", bike_buyers[[#This Row],[Age]]&gt;=30, "adults", bike_buyers[[#This Row],[Age]]&gt;= 20, "young adults")</f>
        <v>middle age</v>
      </c>
      <c r="M707">
        <v>59</v>
      </c>
      <c r="N707" t="s">
        <v>20</v>
      </c>
    </row>
    <row r="708" spans="1:14" x14ac:dyDescent="0.25">
      <c r="A708">
        <v>20296</v>
      </c>
      <c r="B708" t="s">
        <v>26</v>
      </c>
      <c r="C708" t="s">
        <v>14</v>
      </c>
      <c r="D708" s="1">
        <v>60000</v>
      </c>
      <c r="E708">
        <v>0</v>
      </c>
      <c r="F708" t="s">
        <v>22</v>
      </c>
      <c r="G708" t="s">
        <v>16</v>
      </c>
      <c r="H708" t="s">
        <v>20</v>
      </c>
      <c r="I708">
        <v>1</v>
      </c>
      <c r="J708" t="s">
        <v>30</v>
      </c>
      <c r="K708" t="s">
        <v>35</v>
      </c>
      <c r="L708" t="str" cm="1">
        <f t="array" ref="L708">_xlfn.IFS(bike_buyers[[#This Row],[Age]]&gt;= 70, "senior citizen", bike_buyers[[#This Row],[Age]]&gt;=55, "middle age",  bike_buyers[[#This Row],[Age]]&gt;=40,"mature adult ", bike_buyers[[#This Row],[Age]]&gt;=30, "adults", bike_buyers[[#This Row],[Age]]&gt;= 20, "young adults")</f>
        <v>adults</v>
      </c>
      <c r="M708">
        <v>33</v>
      </c>
      <c r="N708" t="s">
        <v>17</v>
      </c>
    </row>
    <row r="709" spans="1:14" x14ac:dyDescent="0.25">
      <c r="A709">
        <v>17546</v>
      </c>
      <c r="B709" t="s">
        <v>13</v>
      </c>
      <c r="C709" t="s">
        <v>14</v>
      </c>
      <c r="D709" s="1">
        <v>70000</v>
      </c>
      <c r="E709">
        <v>1</v>
      </c>
      <c r="F709" t="s">
        <v>22</v>
      </c>
      <c r="G709" t="s">
        <v>16</v>
      </c>
      <c r="H709" t="s">
        <v>17</v>
      </c>
      <c r="I709">
        <v>1</v>
      </c>
      <c r="J709" t="s">
        <v>18</v>
      </c>
      <c r="K709" t="s">
        <v>35</v>
      </c>
      <c r="L709" t="str" cm="1">
        <f t="array" ref="L709">_xlfn.IFS(bike_buyers[[#This Row],[Age]]&gt;= 70, "senior citizen", bike_buyers[[#This Row],[Age]]&gt;=55, "middle age",  bike_buyers[[#This Row],[Age]]&gt;=40,"mature adult ", bike_buyers[[#This Row],[Age]]&gt;=30, "adults", bike_buyers[[#This Row],[Age]]&gt;= 20, "young adults")</f>
        <v xml:space="preserve">mature adult </v>
      </c>
      <c r="M709">
        <v>44</v>
      </c>
      <c r="N709" t="s">
        <v>17</v>
      </c>
    </row>
    <row r="710" spans="1:14" x14ac:dyDescent="0.25">
      <c r="A710">
        <v>18069</v>
      </c>
      <c r="B710" t="s">
        <v>13</v>
      </c>
      <c r="C710" t="s">
        <v>21</v>
      </c>
      <c r="D710" s="1">
        <v>70000</v>
      </c>
      <c r="E710">
        <v>5</v>
      </c>
      <c r="F710" t="s">
        <v>15</v>
      </c>
      <c r="G710" t="s">
        <v>32</v>
      </c>
      <c r="H710" t="s">
        <v>17</v>
      </c>
      <c r="I710">
        <v>4</v>
      </c>
      <c r="J710" t="s">
        <v>41</v>
      </c>
      <c r="K710" t="s">
        <v>35</v>
      </c>
      <c r="L710" t="str" cm="1">
        <f t="array" ref="L710">_xlfn.IFS(bike_buyers[[#This Row],[Age]]&gt;= 70, "senior citizen", bike_buyers[[#This Row],[Age]]&gt;=55, "middle age",  bike_buyers[[#This Row],[Age]]&gt;=40,"mature adult ", bike_buyers[[#This Row],[Age]]&gt;=30, "adults", bike_buyers[[#This Row],[Age]]&gt;= 20, "young adults")</f>
        <v>middle age</v>
      </c>
      <c r="M710">
        <v>60</v>
      </c>
      <c r="N710" t="s">
        <v>20</v>
      </c>
    </row>
    <row r="711" spans="1:14" x14ac:dyDescent="0.25">
      <c r="A711">
        <v>23712</v>
      </c>
      <c r="B711" t="s">
        <v>26</v>
      </c>
      <c r="C711" t="s">
        <v>14</v>
      </c>
      <c r="D711" s="1">
        <v>70000</v>
      </c>
      <c r="E711">
        <v>2</v>
      </c>
      <c r="F711" t="s">
        <v>15</v>
      </c>
      <c r="G711" t="s">
        <v>32</v>
      </c>
      <c r="H711" t="s">
        <v>17</v>
      </c>
      <c r="I711">
        <v>1</v>
      </c>
      <c r="J711" t="s">
        <v>41</v>
      </c>
      <c r="K711" t="s">
        <v>35</v>
      </c>
      <c r="L711" t="str" cm="1">
        <f t="array" ref="L711">_xlfn.IFS(bike_buyers[[#This Row],[Age]]&gt;= 70, "senior citizen", bike_buyers[[#This Row],[Age]]&gt;=55, "middle age",  bike_buyers[[#This Row],[Age]]&gt;=40,"mature adult ", bike_buyers[[#This Row],[Age]]&gt;=30, "adults", bike_buyers[[#This Row],[Age]]&gt;= 20, "young adults")</f>
        <v>middle age</v>
      </c>
      <c r="M711">
        <v>59</v>
      </c>
      <c r="N711" t="s">
        <v>20</v>
      </c>
    </row>
    <row r="712" spans="1:14" x14ac:dyDescent="0.25">
      <c r="A712">
        <v>23358</v>
      </c>
      <c r="B712" t="s">
        <v>13</v>
      </c>
      <c r="C712" t="s">
        <v>21</v>
      </c>
      <c r="D712" s="1">
        <v>60000</v>
      </c>
      <c r="E712">
        <v>0</v>
      </c>
      <c r="F712" t="s">
        <v>31</v>
      </c>
      <c r="G712" t="s">
        <v>24</v>
      </c>
      <c r="H712" t="s">
        <v>17</v>
      </c>
      <c r="I712">
        <v>2</v>
      </c>
      <c r="J712" t="s">
        <v>27</v>
      </c>
      <c r="K712" t="s">
        <v>35</v>
      </c>
      <c r="L712" t="str" cm="1">
        <f t="array" ref="L712">_xlfn.IFS(bike_buyers[[#This Row],[Age]]&gt;= 70, "senior citizen", bike_buyers[[#This Row],[Age]]&gt;=55, "middle age",  bike_buyers[[#This Row],[Age]]&gt;=40,"mature adult ", bike_buyers[[#This Row],[Age]]&gt;=30, "adults", bike_buyers[[#This Row],[Age]]&gt;= 20, "young adults")</f>
        <v>adults</v>
      </c>
      <c r="M712">
        <v>32</v>
      </c>
      <c r="N712" t="s">
        <v>17</v>
      </c>
    </row>
    <row r="713" spans="1:14" x14ac:dyDescent="0.25">
      <c r="A713">
        <v>20518</v>
      </c>
      <c r="B713" t="s">
        <v>13</v>
      </c>
      <c r="C713" t="s">
        <v>14</v>
      </c>
      <c r="D713" s="1">
        <v>70000</v>
      </c>
      <c r="E713">
        <v>2</v>
      </c>
      <c r="F713" t="s">
        <v>22</v>
      </c>
      <c r="G713" t="s">
        <v>24</v>
      </c>
      <c r="H713" t="s">
        <v>17</v>
      </c>
      <c r="I713">
        <v>1</v>
      </c>
      <c r="J713" t="s">
        <v>41</v>
      </c>
      <c r="K713" t="s">
        <v>35</v>
      </c>
      <c r="L713" t="str" cm="1">
        <f t="array" ref="L713">_xlfn.IFS(bike_buyers[[#This Row],[Age]]&gt;= 70, "senior citizen", bike_buyers[[#This Row],[Age]]&gt;=55, "middle age",  bike_buyers[[#This Row],[Age]]&gt;=40,"mature adult ", bike_buyers[[#This Row],[Age]]&gt;=30, "adults", bike_buyers[[#This Row],[Age]]&gt;= 20, "young adults")</f>
        <v>middle age</v>
      </c>
      <c r="M713">
        <v>58</v>
      </c>
      <c r="N713" t="s">
        <v>20</v>
      </c>
    </row>
    <row r="714" spans="1:14" x14ac:dyDescent="0.25">
      <c r="A714">
        <v>28026</v>
      </c>
      <c r="B714" t="s">
        <v>13</v>
      </c>
      <c r="C714" t="s">
        <v>14</v>
      </c>
      <c r="D714" s="1">
        <v>40000</v>
      </c>
      <c r="E714">
        <v>2</v>
      </c>
      <c r="F714" t="s">
        <v>31</v>
      </c>
      <c r="G714" t="s">
        <v>24</v>
      </c>
      <c r="H714" t="s">
        <v>20</v>
      </c>
      <c r="I714">
        <v>2</v>
      </c>
      <c r="J714" t="s">
        <v>25</v>
      </c>
      <c r="K714" t="s">
        <v>35</v>
      </c>
      <c r="L714" t="str" cm="1">
        <f t="array" ref="L714">_xlfn.IFS(bike_buyers[[#This Row],[Age]]&gt;= 70, "senior citizen", bike_buyers[[#This Row],[Age]]&gt;=55, "middle age",  bike_buyers[[#This Row],[Age]]&gt;=40,"mature adult ", bike_buyers[[#This Row],[Age]]&gt;=30, "adults", bike_buyers[[#This Row],[Age]]&gt;= 20, "young adults")</f>
        <v>middle age</v>
      </c>
      <c r="M714">
        <v>59</v>
      </c>
      <c r="N714" t="s">
        <v>20</v>
      </c>
    </row>
    <row r="715" spans="1:14" x14ac:dyDescent="0.25">
      <c r="A715">
        <v>11669</v>
      </c>
      <c r="B715" t="s">
        <v>26</v>
      </c>
      <c r="C715" t="s">
        <v>14</v>
      </c>
      <c r="D715" s="1">
        <v>70000</v>
      </c>
      <c r="E715">
        <v>2</v>
      </c>
      <c r="F715" t="s">
        <v>15</v>
      </c>
      <c r="G715" t="s">
        <v>16</v>
      </c>
      <c r="H715" t="s">
        <v>17</v>
      </c>
      <c r="I715">
        <v>1</v>
      </c>
      <c r="J715" t="s">
        <v>25</v>
      </c>
      <c r="K715" t="s">
        <v>35</v>
      </c>
      <c r="L715" t="str" cm="1">
        <f t="array" ref="L715">_xlfn.IFS(bike_buyers[[#This Row],[Age]]&gt;= 70, "senior citizen", bike_buyers[[#This Row],[Age]]&gt;=55, "middle age",  bike_buyers[[#This Row],[Age]]&gt;=40,"mature adult ", bike_buyers[[#This Row],[Age]]&gt;=30, "adults", bike_buyers[[#This Row],[Age]]&gt;= 20, "young adults")</f>
        <v>adults</v>
      </c>
      <c r="M715">
        <v>38</v>
      </c>
      <c r="N715" t="s">
        <v>20</v>
      </c>
    </row>
    <row r="716" spans="1:14" x14ac:dyDescent="0.25">
      <c r="A716">
        <v>16020</v>
      </c>
      <c r="B716" t="s">
        <v>13</v>
      </c>
      <c r="C716" t="s">
        <v>21</v>
      </c>
      <c r="D716" s="1">
        <v>40000</v>
      </c>
      <c r="E716">
        <v>0</v>
      </c>
      <c r="F716" t="s">
        <v>31</v>
      </c>
      <c r="G716" t="s">
        <v>16</v>
      </c>
      <c r="H716" t="s">
        <v>17</v>
      </c>
      <c r="I716">
        <v>2</v>
      </c>
      <c r="J716" t="s">
        <v>27</v>
      </c>
      <c r="K716" t="s">
        <v>35</v>
      </c>
      <c r="L716" t="str" cm="1">
        <f t="array" ref="L716">_xlfn.IFS(bike_buyers[[#This Row],[Age]]&gt;= 70, "senior citizen", bike_buyers[[#This Row],[Age]]&gt;=55, "middle age",  bike_buyers[[#This Row],[Age]]&gt;=40,"mature adult ", bike_buyers[[#This Row],[Age]]&gt;=30, "adults", bike_buyers[[#This Row],[Age]]&gt;= 20, "young adults")</f>
        <v>young adults</v>
      </c>
      <c r="M716">
        <v>28</v>
      </c>
      <c r="N716" t="s">
        <v>17</v>
      </c>
    </row>
    <row r="717" spans="1:14" x14ac:dyDescent="0.25">
      <c r="A717">
        <v>27090</v>
      </c>
      <c r="B717" t="s">
        <v>13</v>
      </c>
      <c r="C717" t="s">
        <v>14</v>
      </c>
      <c r="D717" s="1">
        <v>60000</v>
      </c>
      <c r="E717">
        <v>1</v>
      </c>
      <c r="F717" t="s">
        <v>34</v>
      </c>
      <c r="G717" t="s">
        <v>24</v>
      </c>
      <c r="H717" t="s">
        <v>17</v>
      </c>
      <c r="I717">
        <v>0</v>
      </c>
      <c r="J717" t="s">
        <v>25</v>
      </c>
      <c r="K717" t="s">
        <v>35</v>
      </c>
      <c r="L717" t="str" cm="1">
        <f t="array" ref="L717">_xlfn.IFS(bike_buyers[[#This Row],[Age]]&gt;= 70, "senior citizen", bike_buyers[[#This Row],[Age]]&gt;=55, "middle age",  bike_buyers[[#This Row],[Age]]&gt;=40,"mature adult ", bike_buyers[[#This Row],[Age]]&gt;=30, "adults", bike_buyers[[#This Row],[Age]]&gt;= 20, "young adults")</f>
        <v>adults</v>
      </c>
      <c r="M717">
        <v>37</v>
      </c>
      <c r="N717" t="s">
        <v>17</v>
      </c>
    </row>
    <row r="718" spans="1:14" x14ac:dyDescent="0.25">
      <c r="A718">
        <v>27198</v>
      </c>
      <c r="B718" t="s">
        <v>26</v>
      </c>
      <c r="C718" t="s">
        <v>14</v>
      </c>
      <c r="D718" s="1">
        <v>80000</v>
      </c>
      <c r="E718">
        <v>0</v>
      </c>
      <c r="F718" t="s">
        <v>34</v>
      </c>
      <c r="G718" t="s">
        <v>16</v>
      </c>
      <c r="H718" t="s">
        <v>20</v>
      </c>
      <c r="I718">
        <v>0</v>
      </c>
      <c r="J718" t="s">
        <v>18</v>
      </c>
      <c r="K718" t="s">
        <v>35</v>
      </c>
      <c r="L718" t="str" cm="1">
        <f t="array" ref="L718">_xlfn.IFS(bike_buyers[[#This Row],[Age]]&gt;= 70, "senior citizen", bike_buyers[[#This Row],[Age]]&gt;=55, "middle age",  bike_buyers[[#This Row],[Age]]&gt;=40,"mature adult ", bike_buyers[[#This Row],[Age]]&gt;=30, "adults", bike_buyers[[#This Row],[Age]]&gt;= 20, "young adults")</f>
        <v xml:space="preserve">mature adult </v>
      </c>
      <c r="M718">
        <v>40</v>
      </c>
      <c r="N718" t="s">
        <v>20</v>
      </c>
    </row>
    <row r="719" spans="1:14" x14ac:dyDescent="0.25">
      <c r="A719">
        <v>19661</v>
      </c>
      <c r="B719" t="s">
        <v>26</v>
      </c>
      <c r="C719" t="s">
        <v>21</v>
      </c>
      <c r="D719" s="1">
        <v>90000</v>
      </c>
      <c r="E719">
        <v>4</v>
      </c>
      <c r="F719" t="s">
        <v>15</v>
      </c>
      <c r="G719" t="s">
        <v>32</v>
      </c>
      <c r="H719" t="s">
        <v>17</v>
      </c>
      <c r="I719">
        <v>1</v>
      </c>
      <c r="J719" t="s">
        <v>30</v>
      </c>
      <c r="K719" t="s">
        <v>35</v>
      </c>
      <c r="L719" t="str" cm="1">
        <f t="array" ref="L719">_xlfn.IFS(bike_buyers[[#This Row],[Age]]&gt;= 70, "senior citizen", bike_buyers[[#This Row],[Age]]&gt;=55, "middle age",  bike_buyers[[#This Row],[Age]]&gt;=40,"mature adult ", bike_buyers[[#This Row],[Age]]&gt;=30, "adults", bike_buyers[[#This Row],[Age]]&gt;= 20, "young adults")</f>
        <v>adults</v>
      </c>
      <c r="M719">
        <v>38</v>
      </c>
      <c r="N719" t="s">
        <v>17</v>
      </c>
    </row>
    <row r="720" spans="1:14" x14ac:dyDescent="0.25">
      <c r="A720">
        <v>26327</v>
      </c>
      <c r="B720" t="s">
        <v>13</v>
      </c>
      <c r="C720" t="s">
        <v>21</v>
      </c>
      <c r="D720" s="1">
        <v>70000</v>
      </c>
      <c r="E720">
        <v>4</v>
      </c>
      <c r="F720" t="s">
        <v>34</v>
      </c>
      <c r="G720" t="s">
        <v>24</v>
      </c>
      <c r="H720" t="s">
        <v>17</v>
      </c>
      <c r="I720">
        <v>0</v>
      </c>
      <c r="J720" t="s">
        <v>25</v>
      </c>
      <c r="K720" t="s">
        <v>35</v>
      </c>
      <c r="L720" t="str" cm="1">
        <f t="array" ref="L720">_xlfn.IFS(bike_buyers[[#This Row],[Age]]&gt;= 70, "senior citizen", bike_buyers[[#This Row],[Age]]&gt;=55, "middle age",  bike_buyers[[#This Row],[Age]]&gt;=40,"mature adult ", bike_buyers[[#This Row],[Age]]&gt;=30, "adults", bike_buyers[[#This Row],[Age]]&gt;= 20, "young adults")</f>
        <v>adults</v>
      </c>
      <c r="M720">
        <v>36</v>
      </c>
      <c r="N720" t="s">
        <v>17</v>
      </c>
    </row>
    <row r="721" spans="1:14" x14ac:dyDescent="0.25">
      <c r="A721">
        <v>26341</v>
      </c>
      <c r="B721" t="s">
        <v>13</v>
      </c>
      <c r="C721" t="s">
        <v>14</v>
      </c>
      <c r="D721" s="1">
        <v>70000</v>
      </c>
      <c r="E721">
        <v>5</v>
      </c>
      <c r="F721" t="s">
        <v>34</v>
      </c>
      <c r="G721" t="s">
        <v>24</v>
      </c>
      <c r="H721" t="s">
        <v>17</v>
      </c>
      <c r="I721">
        <v>2</v>
      </c>
      <c r="J721" t="s">
        <v>18</v>
      </c>
      <c r="K721" t="s">
        <v>35</v>
      </c>
      <c r="L721" t="str" cm="1">
        <f t="array" ref="L721">_xlfn.IFS(bike_buyers[[#This Row],[Age]]&gt;= 70, "senior citizen", bike_buyers[[#This Row],[Age]]&gt;=55, "middle age",  bike_buyers[[#This Row],[Age]]&gt;=40,"mature adult ", bike_buyers[[#This Row],[Age]]&gt;=30, "adults", bike_buyers[[#This Row],[Age]]&gt;= 20, "young adults")</f>
        <v>adults</v>
      </c>
      <c r="M721">
        <v>37</v>
      </c>
      <c r="N721" t="s">
        <v>20</v>
      </c>
    </row>
    <row r="722" spans="1:14" x14ac:dyDescent="0.25">
      <c r="A722">
        <v>24958</v>
      </c>
      <c r="B722" t="s">
        <v>26</v>
      </c>
      <c r="C722" t="s">
        <v>14</v>
      </c>
      <c r="D722" s="1">
        <v>40000</v>
      </c>
      <c r="E722">
        <v>5</v>
      </c>
      <c r="F722" t="s">
        <v>31</v>
      </c>
      <c r="G722" t="s">
        <v>24</v>
      </c>
      <c r="H722" t="s">
        <v>20</v>
      </c>
      <c r="I722">
        <v>3</v>
      </c>
      <c r="J722" t="s">
        <v>25</v>
      </c>
      <c r="K722" t="s">
        <v>35</v>
      </c>
      <c r="L722" t="str" cm="1">
        <f t="array" ref="L722">_xlfn.IFS(bike_buyers[[#This Row],[Age]]&gt;= 70, "senior citizen", bike_buyers[[#This Row],[Age]]&gt;=55, "middle age",  bike_buyers[[#This Row],[Age]]&gt;=40,"mature adult ", bike_buyers[[#This Row],[Age]]&gt;=30, "adults", bike_buyers[[#This Row],[Age]]&gt;= 20, "young adults")</f>
        <v>middle age</v>
      </c>
      <c r="M722">
        <v>60</v>
      </c>
      <c r="N722" t="s">
        <v>17</v>
      </c>
    </row>
    <row r="723" spans="1:14" x14ac:dyDescent="0.25">
      <c r="A723">
        <v>13287</v>
      </c>
      <c r="B723" t="s">
        <v>26</v>
      </c>
      <c r="C723" t="s">
        <v>21</v>
      </c>
      <c r="D723" s="1">
        <v>110000</v>
      </c>
      <c r="E723">
        <v>4</v>
      </c>
      <c r="F723" t="s">
        <v>15</v>
      </c>
      <c r="G723" t="s">
        <v>32</v>
      </c>
      <c r="H723" t="s">
        <v>17</v>
      </c>
      <c r="I723">
        <v>4</v>
      </c>
      <c r="J723" t="s">
        <v>27</v>
      </c>
      <c r="K723" t="s">
        <v>35</v>
      </c>
      <c r="L723" t="str" cm="1">
        <f t="array" ref="L723">_xlfn.IFS(bike_buyers[[#This Row],[Age]]&gt;= 70, "senior citizen", bike_buyers[[#This Row],[Age]]&gt;=55, "middle age",  bike_buyers[[#This Row],[Age]]&gt;=40,"mature adult ", bike_buyers[[#This Row],[Age]]&gt;=30, "adults", bike_buyers[[#This Row],[Age]]&gt;= 20, "young adults")</f>
        <v xml:space="preserve">mature adult </v>
      </c>
      <c r="M723">
        <v>42</v>
      </c>
      <c r="N723" t="s">
        <v>17</v>
      </c>
    </row>
    <row r="724" spans="1:14" x14ac:dyDescent="0.25">
      <c r="A724">
        <v>14493</v>
      </c>
      <c r="B724" t="s">
        <v>26</v>
      </c>
      <c r="C724" t="s">
        <v>14</v>
      </c>
      <c r="D724" s="1">
        <v>70000</v>
      </c>
      <c r="E724">
        <v>3</v>
      </c>
      <c r="F724" t="s">
        <v>34</v>
      </c>
      <c r="G724" t="s">
        <v>32</v>
      </c>
      <c r="H724" t="s">
        <v>20</v>
      </c>
      <c r="I724">
        <v>2</v>
      </c>
      <c r="J724" t="s">
        <v>30</v>
      </c>
      <c r="K724" t="s">
        <v>35</v>
      </c>
      <c r="L724" t="str" cm="1">
        <f t="array" ref="L724">_xlfn.IFS(bike_buyers[[#This Row],[Age]]&gt;= 70, "senior citizen", bike_buyers[[#This Row],[Age]]&gt;=55, "middle age",  bike_buyers[[#This Row],[Age]]&gt;=40,"mature adult ", bike_buyers[[#This Row],[Age]]&gt;=30, "adults", bike_buyers[[#This Row],[Age]]&gt;= 20, "young adults")</f>
        <v xml:space="preserve">mature adult </v>
      </c>
      <c r="M724">
        <v>53</v>
      </c>
      <c r="N724" t="s">
        <v>20</v>
      </c>
    </row>
    <row r="725" spans="1:14" x14ac:dyDescent="0.25">
      <c r="A725">
        <v>26678</v>
      </c>
      <c r="B725" t="s">
        <v>26</v>
      </c>
      <c r="C725" t="s">
        <v>14</v>
      </c>
      <c r="D725" s="1">
        <v>80000</v>
      </c>
      <c r="E725">
        <v>2</v>
      </c>
      <c r="F725" t="s">
        <v>33</v>
      </c>
      <c r="G725" t="s">
        <v>16</v>
      </c>
      <c r="H725" t="s">
        <v>17</v>
      </c>
      <c r="I725">
        <v>2</v>
      </c>
      <c r="J725" t="s">
        <v>27</v>
      </c>
      <c r="K725" t="s">
        <v>35</v>
      </c>
      <c r="L725" t="str" cm="1">
        <f t="array" ref="L725">_xlfn.IFS(bike_buyers[[#This Row],[Age]]&gt;= 70, "senior citizen", bike_buyers[[#This Row],[Age]]&gt;=55, "middle age",  bike_buyers[[#This Row],[Age]]&gt;=40,"mature adult ", bike_buyers[[#This Row],[Age]]&gt;=30, "adults", bike_buyers[[#This Row],[Age]]&gt;= 20, "young adults")</f>
        <v xml:space="preserve">mature adult </v>
      </c>
      <c r="M725">
        <v>49</v>
      </c>
      <c r="N725" t="s">
        <v>20</v>
      </c>
    </row>
    <row r="726" spans="1:14" x14ac:dyDescent="0.25">
      <c r="A726">
        <v>23275</v>
      </c>
      <c r="B726" t="s">
        <v>13</v>
      </c>
      <c r="C726" t="s">
        <v>21</v>
      </c>
      <c r="D726" s="1">
        <v>30000</v>
      </c>
      <c r="E726">
        <v>2</v>
      </c>
      <c r="F726" t="s">
        <v>31</v>
      </c>
      <c r="G726" t="s">
        <v>16</v>
      </c>
      <c r="H726" t="s">
        <v>17</v>
      </c>
      <c r="I726">
        <v>2</v>
      </c>
      <c r="J726" t="s">
        <v>30</v>
      </c>
      <c r="K726" t="s">
        <v>35</v>
      </c>
      <c r="L726" t="str" cm="1">
        <f t="array" ref="L726">_xlfn.IFS(bike_buyers[[#This Row],[Age]]&gt;= 70, "senior citizen", bike_buyers[[#This Row],[Age]]&gt;=55, "middle age",  bike_buyers[[#This Row],[Age]]&gt;=40,"mature adult ", bike_buyers[[#This Row],[Age]]&gt;=30, "adults", bike_buyers[[#This Row],[Age]]&gt;= 20, "young adults")</f>
        <v xml:space="preserve">mature adult </v>
      </c>
      <c r="M726">
        <v>49</v>
      </c>
      <c r="N726" t="s">
        <v>20</v>
      </c>
    </row>
    <row r="727" spans="1:14" x14ac:dyDescent="0.25">
      <c r="A727">
        <v>11270</v>
      </c>
      <c r="B727" t="s">
        <v>13</v>
      </c>
      <c r="C727" t="s">
        <v>21</v>
      </c>
      <c r="D727" s="1">
        <v>130000</v>
      </c>
      <c r="E727">
        <v>2</v>
      </c>
      <c r="F727" t="s">
        <v>34</v>
      </c>
      <c r="G727" t="s">
        <v>32</v>
      </c>
      <c r="H727" t="s">
        <v>17</v>
      </c>
      <c r="I727">
        <v>3</v>
      </c>
      <c r="J727" t="s">
        <v>18</v>
      </c>
      <c r="K727" t="s">
        <v>35</v>
      </c>
      <c r="L727" t="str" cm="1">
        <f t="array" ref="L727">_xlfn.IFS(bike_buyers[[#This Row],[Age]]&gt;= 70, "senior citizen", bike_buyers[[#This Row],[Age]]&gt;=55, "middle age",  bike_buyers[[#This Row],[Age]]&gt;=40,"mature adult ", bike_buyers[[#This Row],[Age]]&gt;=30, "adults", bike_buyers[[#This Row],[Age]]&gt;= 20, "young adults")</f>
        <v xml:space="preserve">mature adult </v>
      </c>
      <c r="M727">
        <v>42</v>
      </c>
      <c r="N727" t="s">
        <v>17</v>
      </c>
    </row>
    <row r="728" spans="1:14" x14ac:dyDescent="0.25">
      <c r="A728">
        <v>20084</v>
      </c>
      <c r="B728" t="s">
        <v>13</v>
      </c>
      <c r="C728" t="s">
        <v>21</v>
      </c>
      <c r="D728" s="1">
        <v>20000</v>
      </c>
      <c r="E728">
        <v>2</v>
      </c>
      <c r="F728" t="s">
        <v>31</v>
      </c>
      <c r="G728" t="s">
        <v>29</v>
      </c>
      <c r="H728" t="s">
        <v>20</v>
      </c>
      <c r="I728">
        <v>2</v>
      </c>
      <c r="J728" t="s">
        <v>18</v>
      </c>
      <c r="K728" t="s">
        <v>35</v>
      </c>
      <c r="L728" t="str" cm="1">
        <f t="array" ref="L728">_xlfn.IFS(bike_buyers[[#This Row],[Age]]&gt;= 70, "senior citizen", bike_buyers[[#This Row],[Age]]&gt;=55, "middle age",  bike_buyers[[#This Row],[Age]]&gt;=40,"mature adult ", bike_buyers[[#This Row],[Age]]&gt;=30, "adults", bike_buyers[[#This Row],[Age]]&gt;= 20, "young adults")</f>
        <v xml:space="preserve">mature adult </v>
      </c>
      <c r="M728">
        <v>53</v>
      </c>
      <c r="N728" t="s">
        <v>20</v>
      </c>
    </row>
    <row r="729" spans="1:14" x14ac:dyDescent="0.25">
      <c r="A729">
        <v>16144</v>
      </c>
      <c r="B729" t="s">
        <v>13</v>
      </c>
      <c r="C729" t="s">
        <v>21</v>
      </c>
      <c r="D729" s="1">
        <v>70000</v>
      </c>
      <c r="E729">
        <v>1</v>
      </c>
      <c r="F729" t="s">
        <v>34</v>
      </c>
      <c r="G729" t="s">
        <v>24</v>
      </c>
      <c r="H729" t="s">
        <v>17</v>
      </c>
      <c r="I729">
        <v>1</v>
      </c>
      <c r="J729" t="s">
        <v>18</v>
      </c>
      <c r="K729" t="s">
        <v>35</v>
      </c>
      <c r="L729" t="str" cm="1">
        <f t="array" ref="L729">_xlfn.IFS(bike_buyers[[#This Row],[Age]]&gt;= 70, "senior citizen", bike_buyers[[#This Row],[Age]]&gt;=55, "middle age",  bike_buyers[[#This Row],[Age]]&gt;=40,"mature adult ", bike_buyers[[#This Row],[Age]]&gt;=30, "adults", bike_buyers[[#This Row],[Age]]&gt;= 20, "young adults")</f>
        <v xml:space="preserve">mature adult </v>
      </c>
      <c r="M729">
        <v>46</v>
      </c>
      <c r="N729" t="s">
        <v>17</v>
      </c>
    </row>
    <row r="730" spans="1:14" x14ac:dyDescent="0.25">
      <c r="A730">
        <v>27731</v>
      </c>
      <c r="B730" t="s">
        <v>13</v>
      </c>
      <c r="C730" t="s">
        <v>21</v>
      </c>
      <c r="D730" s="1">
        <v>40000</v>
      </c>
      <c r="E730">
        <v>0</v>
      </c>
      <c r="F730" t="s">
        <v>31</v>
      </c>
      <c r="G730" t="s">
        <v>16</v>
      </c>
      <c r="H730" t="s">
        <v>17</v>
      </c>
      <c r="I730">
        <v>2</v>
      </c>
      <c r="J730" t="s">
        <v>27</v>
      </c>
      <c r="K730" t="s">
        <v>35</v>
      </c>
      <c r="L730" t="str" cm="1">
        <f t="array" ref="L730">_xlfn.IFS(bike_buyers[[#This Row],[Age]]&gt;= 70, "senior citizen", bike_buyers[[#This Row],[Age]]&gt;=55, "middle age",  bike_buyers[[#This Row],[Age]]&gt;=40,"mature adult ", bike_buyers[[#This Row],[Age]]&gt;=30, "adults", bike_buyers[[#This Row],[Age]]&gt;= 20, "young adults")</f>
        <v>young adults</v>
      </c>
      <c r="M730">
        <v>27</v>
      </c>
      <c r="N730" t="s">
        <v>20</v>
      </c>
    </row>
    <row r="731" spans="1:14" x14ac:dyDescent="0.25">
      <c r="A731">
        <v>11886</v>
      </c>
      <c r="B731" t="s">
        <v>13</v>
      </c>
      <c r="C731" t="s">
        <v>14</v>
      </c>
      <c r="D731" s="1">
        <v>60000</v>
      </c>
      <c r="E731">
        <v>3</v>
      </c>
      <c r="F731" t="s">
        <v>15</v>
      </c>
      <c r="G731" t="s">
        <v>24</v>
      </c>
      <c r="H731" t="s">
        <v>17</v>
      </c>
      <c r="I731">
        <v>1</v>
      </c>
      <c r="J731" t="s">
        <v>18</v>
      </c>
      <c r="K731" t="s">
        <v>35</v>
      </c>
      <c r="L731" t="str" cm="1">
        <f t="array" ref="L731">_xlfn.IFS(bike_buyers[[#This Row],[Age]]&gt;= 70, "senior citizen", bike_buyers[[#This Row],[Age]]&gt;=55, "middle age",  bike_buyers[[#This Row],[Age]]&gt;=40,"mature adult ", bike_buyers[[#This Row],[Age]]&gt;=30, "adults", bike_buyers[[#This Row],[Age]]&gt;= 20, "young adults")</f>
        <v xml:space="preserve">mature adult </v>
      </c>
      <c r="M731">
        <v>48</v>
      </c>
      <c r="N731" t="s">
        <v>17</v>
      </c>
    </row>
    <row r="732" spans="1:14" x14ac:dyDescent="0.25">
      <c r="A732">
        <v>24324</v>
      </c>
      <c r="B732" t="s">
        <v>26</v>
      </c>
      <c r="C732" t="s">
        <v>14</v>
      </c>
      <c r="D732" s="1">
        <v>60000</v>
      </c>
      <c r="E732">
        <v>4</v>
      </c>
      <c r="F732" t="s">
        <v>15</v>
      </c>
      <c r="G732" t="s">
        <v>16</v>
      </c>
      <c r="H732" t="s">
        <v>17</v>
      </c>
      <c r="I732">
        <v>2</v>
      </c>
      <c r="J732" t="s">
        <v>25</v>
      </c>
      <c r="K732" t="s">
        <v>35</v>
      </c>
      <c r="L732" t="str" cm="1">
        <f t="array" ref="L732">_xlfn.IFS(bike_buyers[[#This Row],[Age]]&gt;= 70, "senior citizen", bike_buyers[[#This Row],[Age]]&gt;=55, "middle age",  bike_buyers[[#This Row],[Age]]&gt;=40,"mature adult ", bike_buyers[[#This Row],[Age]]&gt;=30, "adults", bike_buyers[[#This Row],[Age]]&gt;= 20, "young adults")</f>
        <v xml:space="preserve">mature adult </v>
      </c>
      <c r="M732">
        <v>41</v>
      </c>
      <c r="N732" t="s">
        <v>17</v>
      </c>
    </row>
    <row r="733" spans="1:14" x14ac:dyDescent="0.25">
      <c r="A733">
        <v>22220</v>
      </c>
      <c r="B733" t="s">
        <v>13</v>
      </c>
      <c r="C733" t="s">
        <v>21</v>
      </c>
      <c r="D733" s="1">
        <v>60000</v>
      </c>
      <c r="E733">
        <v>2</v>
      </c>
      <c r="F733" t="s">
        <v>31</v>
      </c>
      <c r="G733" t="s">
        <v>24</v>
      </c>
      <c r="H733" t="s">
        <v>20</v>
      </c>
      <c r="I733">
        <v>2</v>
      </c>
      <c r="J733" t="s">
        <v>30</v>
      </c>
      <c r="K733" t="s">
        <v>35</v>
      </c>
      <c r="L733" t="str" cm="1">
        <f t="array" ref="L733">_xlfn.IFS(bike_buyers[[#This Row],[Age]]&gt;= 70, "senior citizen", bike_buyers[[#This Row],[Age]]&gt;=55, "middle age",  bike_buyers[[#This Row],[Age]]&gt;=40,"mature adult ", bike_buyers[[#This Row],[Age]]&gt;=30, "adults", bike_buyers[[#This Row],[Age]]&gt;= 20, "young adults")</f>
        <v xml:space="preserve">mature adult </v>
      </c>
      <c r="M733">
        <v>49</v>
      </c>
      <c r="N733" t="s">
        <v>17</v>
      </c>
    </row>
    <row r="734" spans="1:14" x14ac:dyDescent="0.25">
      <c r="A734">
        <v>26625</v>
      </c>
      <c r="B734" t="s">
        <v>26</v>
      </c>
      <c r="C734" t="s">
        <v>14</v>
      </c>
      <c r="D734" s="1">
        <v>60000</v>
      </c>
      <c r="E734">
        <v>0</v>
      </c>
      <c r="F734" t="s">
        <v>34</v>
      </c>
      <c r="G734" t="s">
        <v>24</v>
      </c>
      <c r="H734" t="s">
        <v>17</v>
      </c>
      <c r="I734">
        <v>1</v>
      </c>
      <c r="J734" t="s">
        <v>25</v>
      </c>
      <c r="K734" t="s">
        <v>35</v>
      </c>
      <c r="L734" t="str" cm="1">
        <f t="array" ref="L734">_xlfn.IFS(bike_buyers[[#This Row],[Age]]&gt;= 70, "senior citizen", bike_buyers[[#This Row],[Age]]&gt;=55, "middle age",  bike_buyers[[#This Row],[Age]]&gt;=40,"mature adult ", bike_buyers[[#This Row],[Age]]&gt;=30, "adults", bike_buyers[[#This Row],[Age]]&gt;= 20, "young adults")</f>
        <v>adults</v>
      </c>
      <c r="M734">
        <v>38</v>
      </c>
      <c r="N734" t="s">
        <v>17</v>
      </c>
    </row>
    <row r="735" spans="1:14" x14ac:dyDescent="0.25">
      <c r="A735">
        <v>23027</v>
      </c>
      <c r="B735" t="s">
        <v>26</v>
      </c>
      <c r="C735" t="s">
        <v>21</v>
      </c>
      <c r="D735" s="1">
        <v>130000</v>
      </c>
      <c r="E735">
        <v>1</v>
      </c>
      <c r="F735" t="s">
        <v>15</v>
      </c>
      <c r="G735" t="s">
        <v>32</v>
      </c>
      <c r="H735" t="s">
        <v>20</v>
      </c>
      <c r="I735">
        <v>4</v>
      </c>
      <c r="J735" t="s">
        <v>18</v>
      </c>
      <c r="K735" t="s">
        <v>35</v>
      </c>
      <c r="L735" t="str" cm="1">
        <f t="array" ref="L735">_xlfn.IFS(bike_buyers[[#This Row],[Age]]&gt;= 70, "senior citizen", bike_buyers[[#This Row],[Age]]&gt;=55, "middle age",  bike_buyers[[#This Row],[Age]]&gt;=40,"mature adult ", bike_buyers[[#This Row],[Age]]&gt;=30, "adults", bike_buyers[[#This Row],[Age]]&gt;= 20, "young adults")</f>
        <v xml:space="preserve">mature adult </v>
      </c>
      <c r="M735">
        <v>44</v>
      </c>
      <c r="N735" t="s">
        <v>20</v>
      </c>
    </row>
    <row r="736" spans="1:14" x14ac:dyDescent="0.25">
      <c r="A736">
        <v>16867</v>
      </c>
      <c r="B736" t="s">
        <v>26</v>
      </c>
      <c r="C736" t="s">
        <v>14</v>
      </c>
      <c r="D736" s="1">
        <v>130000</v>
      </c>
      <c r="E736">
        <v>1</v>
      </c>
      <c r="F736" t="s">
        <v>15</v>
      </c>
      <c r="G736" t="s">
        <v>32</v>
      </c>
      <c r="H736" t="s">
        <v>20</v>
      </c>
      <c r="I736">
        <v>3</v>
      </c>
      <c r="J736" t="s">
        <v>18</v>
      </c>
      <c r="K736" t="s">
        <v>35</v>
      </c>
      <c r="L736" t="str" cm="1">
        <f t="array" ref="L736">_xlfn.IFS(bike_buyers[[#This Row],[Age]]&gt;= 70, "senior citizen", bike_buyers[[#This Row],[Age]]&gt;=55, "middle age",  bike_buyers[[#This Row],[Age]]&gt;=40,"mature adult ", bike_buyers[[#This Row],[Age]]&gt;=30, "adults", bike_buyers[[#This Row],[Age]]&gt;= 20, "young adults")</f>
        <v xml:space="preserve">mature adult </v>
      </c>
      <c r="M736">
        <v>45</v>
      </c>
      <c r="N736" t="s">
        <v>17</v>
      </c>
    </row>
    <row r="737" spans="1:14" x14ac:dyDescent="0.25">
      <c r="A737">
        <v>14514</v>
      </c>
      <c r="B737" t="s">
        <v>26</v>
      </c>
      <c r="C737" t="s">
        <v>14</v>
      </c>
      <c r="D737" s="1">
        <v>30000</v>
      </c>
      <c r="E737">
        <v>0</v>
      </c>
      <c r="F737" t="s">
        <v>22</v>
      </c>
      <c r="G737" t="s">
        <v>16</v>
      </c>
      <c r="H737" t="s">
        <v>17</v>
      </c>
      <c r="I737">
        <v>1</v>
      </c>
      <c r="J737" t="s">
        <v>27</v>
      </c>
      <c r="K737" t="s">
        <v>35</v>
      </c>
      <c r="L737" t="str" cm="1">
        <f t="array" ref="L737">_xlfn.IFS(bike_buyers[[#This Row],[Age]]&gt;= 70, "senior citizen", bike_buyers[[#This Row],[Age]]&gt;=55, "middle age",  bike_buyers[[#This Row],[Age]]&gt;=40,"mature adult ", bike_buyers[[#This Row],[Age]]&gt;=30, "adults", bike_buyers[[#This Row],[Age]]&gt;= 20, "young adults")</f>
        <v>young adults</v>
      </c>
      <c r="M737">
        <v>26</v>
      </c>
      <c r="N737" t="s">
        <v>20</v>
      </c>
    </row>
    <row r="738" spans="1:14" x14ac:dyDescent="0.25">
      <c r="A738">
        <v>19634</v>
      </c>
      <c r="B738" t="s">
        <v>13</v>
      </c>
      <c r="C738" t="s">
        <v>21</v>
      </c>
      <c r="D738" s="1">
        <v>40000</v>
      </c>
      <c r="E738">
        <v>0</v>
      </c>
      <c r="F738" t="s">
        <v>31</v>
      </c>
      <c r="G738" t="s">
        <v>16</v>
      </c>
      <c r="H738" t="s">
        <v>17</v>
      </c>
      <c r="I738">
        <v>1</v>
      </c>
      <c r="J738" t="s">
        <v>27</v>
      </c>
      <c r="K738" t="s">
        <v>35</v>
      </c>
      <c r="L738" t="str" cm="1">
        <f t="array" ref="L738">_xlfn.IFS(bike_buyers[[#This Row],[Age]]&gt;= 70, "senior citizen", bike_buyers[[#This Row],[Age]]&gt;=55, "middle age",  bike_buyers[[#This Row],[Age]]&gt;=40,"mature adult ", bike_buyers[[#This Row],[Age]]&gt;=30, "adults", bike_buyers[[#This Row],[Age]]&gt;= 20, "young adults")</f>
        <v>adults</v>
      </c>
      <c r="M738">
        <v>31</v>
      </c>
      <c r="N738" t="s">
        <v>20</v>
      </c>
    </row>
    <row r="739" spans="1:14" x14ac:dyDescent="0.25">
      <c r="A739">
        <v>18504</v>
      </c>
      <c r="B739" t="s">
        <v>13</v>
      </c>
      <c r="C739" t="s">
        <v>21</v>
      </c>
      <c r="D739" s="1">
        <v>70000</v>
      </c>
      <c r="E739">
        <v>2</v>
      </c>
      <c r="F739" t="s">
        <v>33</v>
      </c>
      <c r="G739" t="s">
        <v>16</v>
      </c>
      <c r="H739" t="s">
        <v>20</v>
      </c>
      <c r="I739">
        <v>2</v>
      </c>
      <c r="J739" t="s">
        <v>30</v>
      </c>
      <c r="K739" t="s">
        <v>35</v>
      </c>
      <c r="L739" t="str" cm="1">
        <f t="array" ref="L739">_xlfn.IFS(bike_buyers[[#This Row],[Age]]&gt;= 70, "senior citizen", bike_buyers[[#This Row],[Age]]&gt;=55, "middle age",  bike_buyers[[#This Row],[Age]]&gt;=40,"mature adult ", bike_buyers[[#This Row],[Age]]&gt;=30, "adults", bike_buyers[[#This Row],[Age]]&gt;= 20, "young adults")</f>
        <v xml:space="preserve">mature adult </v>
      </c>
      <c r="M739">
        <v>49</v>
      </c>
      <c r="N739" t="s">
        <v>20</v>
      </c>
    </row>
    <row r="740" spans="1:14" x14ac:dyDescent="0.25">
      <c r="A740">
        <v>28799</v>
      </c>
      <c r="B740" t="s">
        <v>26</v>
      </c>
      <c r="C740" t="s">
        <v>14</v>
      </c>
      <c r="D740" s="1">
        <v>40000</v>
      </c>
      <c r="E740">
        <v>2</v>
      </c>
      <c r="F740" t="s">
        <v>22</v>
      </c>
      <c r="G740" t="s">
        <v>23</v>
      </c>
      <c r="H740" t="s">
        <v>20</v>
      </c>
      <c r="I740">
        <v>1</v>
      </c>
      <c r="J740" t="s">
        <v>30</v>
      </c>
      <c r="K740" t="s">
        <v>35</v>
      </c>
      <c r="L740" t="str" cm="1">
        <f t="array" ref="L740">_xlfn.IFS(bike_buyers[[#This Row],[Age]]&gt;= 70, "senior citizen", bike_buyers[[#This Row],[Age]]&gt;=55, "middle age",  bike_buyers[[#This Row],[Age]]&gt;=40,"mature adult ", bike_buyers[[#This Row],[Age]]&gt;=30, "adults", bike_buyers[[#This Row],[Age]]&gt;= 20, "young adults")</f>
        <v xml:space="preserve">mature adult </v>
      </c>
      <c r="M740">
        <v>47</v>
      </c>
      <c r="N740" t="s">
        <v>17</v>
      </c>
    </row>
    <row r="741" spans="1:14" x14ac:dyDescent="0.25">
      <c r="A741">
        <v>11225</v>
      </c>
      <c r="B741" t="s">
        <v>13</v>
      </c>
      <c r="C741" t="s">
        <v>14</v>
      </c>
      <c r="D741" s="1">
        <v>60000</v>
      </c>
      <c r="E741">
        <v>2</v>
      </c>
      <c r="F741" t="s">
        <v>22</v>
      </c>
      <c r="G741" t="s">
        <v>24</v>
      </c>
      <c r="H741" t="s">
        <v>17</v>
      </c>
      <c r="I741">
        <v>1</v>
      </c>
      <c r="J741" t="s">
        <v>41</v>
      </c>
      <c r="K741" t="s">
        <v>35</v>
      </c>
      <c r="L741" t="str" cm="1">
        <f t="array" ref="L741">_xlfn.IFS(bike_buyers[[#This Row],[Age]]&gt;= 70, "senior citizen", bike_buyers[[#This Row],[Age]]&gt;=55, "middle age",  bike_buyers[[#This Row],[Age]]&gt;=40,"mature adult ", bike_buyers[[#This Row],[Age]]&gt;=30, "adults", bike_buyers[[#This Row],[Age]]&gt;= 20, "young adults")</f>
        <v>middle age</v>
      </c>
      <c r="M741">
        <v>55</v>
      </c>
      <c r="N741" t="s">
        <v>20</v>
      </c>
    </row>
    <row r="742" spans="1:14" x14ac:dyDescent="0.25">
      <c r="A742">
        <v>17657</v>
      </c>
      <c r="B742" t="s">
        <v>13</v>
      </c>
      <c r="C742" t="s">
        <v>21</v>
      </c>
      <c r="D742" s="1">
        <v>40000</v>
      </c>
      <c r="E742">
        <v>4</v>
      </c>
      <c r="F742" t="s">
        <v>22</v>
      </c>
      <c r="G742" t="s">
        <v>23</v>
      </c>
      <c r="H742" t="s">
        <v>20</v>
      </c>
      <c r="I742">
        <v>0</v>
      </c>
      <c r="J742" t="s">
        <v>18</v>
      </c>
      <c r="K742" t="s">
        <v>35</v>
      </c>
      <c r="L742" t="str" cm="1">
        <f t="array" ref="L742">_xlfn.IFS(bike_buyers[[#This Row],[Age]]&gt;= 70, "senior citizen", bike_buyers[[#This Row],[Age]]&gt;=55, "middle age",  bike_buyers[[#This Row],[Age]]&gt;=40,"mature adult ", bike_buyers[[#This Row],[Age]]&gt;=30, "adults", bike_buyers[[#This Row],[Age]]&gt;= 20, "young adults")</f>
        <v>adults</v>
      </c>
      <c r="M742">
        <v>30</v>
      </c>
      <c r="N742" t="s">
        <v>20</v>
      </c>
    </row>
    <row r="743" spans="1:14" x14ac:dyDescent="0.25">
      <c r="A743">
        <v>14913</v>
      </c>
      <c r="B743" t="s">
        <v>13</v>
      </c>
      <c r="C743" t="s">
        <v>14</v>
      </c>
      <c r="D743" s="1">
        <v>40000</v>
      </c>
      <c r="E743">
        <v>1</v>
      </c>
      <c r="F743" t="s">
        <v>22</v>
      </c>
      <c r="G743" t="s">
        <v>23</v>
      </c>
      <c r="H743" t="s">
        <v>17</v>
      </c>
      <c r="I743">
        <v>1</v>
      </c>
      <c r="J743" t="s">
        <v>30</v>
      </c>
      <c r="K743" t="s">
        <v>35</v>
      </c>
      <c r="L743" t="str" cm="1">
        <f t="array" ref="L743">_xlfn.IFS(bike_buyers[[#This Row],[Age]]&gt;= 70, "senior citizen", bike_buyers[[#This Row],[Age]]&gt;=55, "middle age",  bike_buyers[[#This Row],[Age]]&gt;=40,"mature adult ", bike_buyers[[#This Row],[Age]]&gt;=30, "adults", bike_buyers[[#This Row],[Age]]&gt;= 20, "young adults")</f>
        <v xml:space="preserve">mature adult </v>
      </c>
      <c r="M743">
        <v>48</v>
      </c>
      <c r="N743" t="s">
        <v>17</v>
      </c>
    </row>
    <row r="744" spans="1:14" x14ac:dyDescent="0.25">
      <c r="A744">
        <v>14077</v>
      </c>
      <c r="B744" t="s">
        <v>26</v>
      </c>
      <c r="C744" t="s">
        <v>21</v>
      </c>
      <c r="D744" s="1">
        <v>30000</v>
      </c>
      <c r="E744">
        <v>0</v>
      </c>
      <c r="F744" t="s">
        <v>31</v>
      </c>
      <c r="G744" t="s">
        <v>16</v>
      </c>
      <c r="H744" t="s">
        <v>17</v>
      </c>
      <c r="I744">
        <v>2</v>
      </c>
      <c r="J744" t="s">
        <v>27</v>
      </c>
      <c r="K744" t="s">
        <v>35</v>
      </c>
      <c r="L744" t="str" cm="1">
        <f t="array" ref="L744">_xlfn.IFS(bike_buyers[[#This Row],[Age]]&gt;= 70, "senior citizen", bike_buyers[[#This Row],[Age]]&gt;=55, "middle age",  bike_buyers[[#This Row],[Age]]&gt;=40,"mature adult ", bike_buyers[[#This Row],[Age]]&gt;=30, "adults", bike_buyers[[#This Row],[Age]]&gt;= 20, "young adults")</f>
        <v>adults</v>
      </c>
      <c r="M744">
        <v>30</v>
      </c>
      <c r="N744" t="s">
        <v>20</v>
      </c>
    </row>
    <row r="745" spans="1:14" x14ac:dyDescent="0.25">
      <c r="A745">
        <v>13296</v>
      </c>
      <c r="B745" t="s">
        <v>13</v>
      </c>
      <c r="C745" t="s">
        <v>21</v>
      </c>
      <c r="D745" s="1">
        <v>110000</v>
      </c>
      <c r="E745">
        <v>1</v>
      </c>
      <c r="F745" t="s">
        <v>15</v>
      </c>
      <c r="G745" t="s">
        <v>32</v>
      </c>
      <c r="H745" t="s">
        <v>17</v>
      </c>
      <c r="I745">
        <v>3</v>
      </c>
      <c r="J745" t="s">
        <v>27</v>
      </c>
      <c r="K745" t="s">
        <v>35</v>
      </c>
      <c r="L745" t="str" cm="1">
        <f t="array" ref="L745">_xlfn.IFS(bike_buyers[[#This Row],[Age]]&gt;= 70, "senior citizen", bike_buyers[[#This Row],[Age]]&gt;=55, "middle age",  bike_buyers[[#This Row],[Age]]&gt;=40,"mature adult ", bike_buyers[[#This Row],[Age]]&gt;=30, "adults", bike_buyers[[#This Row],[Age]]&gt;= 20, "young adults")</f>
        <v xml:space="preserve">mature adult </v>
      </c>
      <c r="M745">
        <v>45</v>
      </c>
      <c r="N745" t="s">
        <v>20</v>
      </c>
    </row>
    <row r="746" spans="1:14" x14ac:dyDescent="0.25">
      <c r="A746">
        <v>20535</v>
      </c>
      <c r="B746" t="s">
        <v>13</v>
      </c>
      <c r="C746" t="s">
        <v>14</v>
      </c>
      <c r="D746" s="1">
        <v>70000</v>
      </c>
      <c r="E746">
        <v>4</v>
      </c>
      <c r="F746" t="s">
        <v>22</v>
      </c>
      <c r="G746" t="s">
        <v>24</v>
      </c>
      <c r="H746" t="s">
        <v>17</v>
      </c>
      <c r="I746">
        <v>1</v>
      </c>
      <c r="J746" t="s">
        <v>41</v>
      </c>
      <c r="K746" t="s">
        <v>35</v>
      </c>
      <c r="L746" t="str" cm="1">
        <f t="array" ref="L746">_xlfn.IFS(bike_buyers[[#This Row],[Age]]&gt;= 70, "senior citizen", bike_buyers[[#This Row],[Age]]&gt;=55, "middle age",  bike_buyers[[#This Row],[Age]]&gt;=40,"mature adult ", bike_buyers[[#This Row],[Age]]&gt;=30, "adults", bike_buyers[[#This Row],[Age]]&gt;= 20, "young adults")</f>
        <v>middle age</v>
      </c>
      <c r="M746">
        <v>56</v>
      </c>
      <c r="N746" t="s">
        <v>20</v>
      </c>
    </row>
    <row r="747" spans="1:14" x14ac:dyDescent="0.25">
      <c r="A747">
        <v>12452</v>
      </c>
      <c r="B747" t="s">
        <v>13</v>
      </c>
      <c r="C747" t="s">
        <v>21</v>
      </c>
      <c r="D747" s="1">
        <v>60000</v>
      </c>
      <c r="E747">
        <v>4</v>
      </c>
      <c r="F747" t="s">
        <v>34</v>
      </c>
      <c r="G747" t="s">
        <v>16</v>
      </c>
      <c r="H747" t="s">
        <v>17</v>
      </c>
      <c r="I747">
        <v>0</v>
      </c>
      <c r="J747" t="s">
        <v>30</v>
      </c>
      <c r="K747" t="s">
        <v>35</v>
      </c>
      <c r="L747" t="str" cm="1">
        <f t="array" ref="L747">_xlfn.IFS(bike_buyers[[#This Row],[Age]]&gt;= 70, "senior citizen", bike_buyers[[#This Row],[Age]]&gt;=55, "middle age",  bike_buyers[[#This Row],[Age]]&gt;=40,"mature adult ", bike_buyers[[#This Row],[Age]]&gt;=30, "adults", bike_buyers[[#This Row],[Age]]&gt;= 20, "young adults")</f>
        <v xml:space="preserve">mature adult </v>
      </c>
      <c r="M747">
        <v>47</v>
      </c>
      <c r="N747" t="s">
        <v>17</v>
      </c>
    </row>
    <row r="748" spans="1:14" x14ac:dyDescent="0.25">
      <c r="A748">
        <v>28043</v>
      </c>
      <c r="B748" t="s">
        <v>13</v>
      </c>
      <c r="C748" t="s">
        <v>14</v>
      </c>
      <c r="D748" s="1">
        <v>60000</v>
      </c>
      <c r="E748">
        <v>2</v>
      </c>
      <c r="F748" t="s">
        <v>15</v>
      </c>
      <c r="G748" t="s">
        <v>32</v>
      </c>
      <c r="H748" t="s">
        <v>17</v>
      </c>
      <c r="I748">
        <v>0</v>
      </c>
      <c r="J748" t="s">
        <v>41</v>
      </c>
      <c r="K748" t="s">
        <v>35</v>
      </c>
      <c r="L748" t="str" cm="1">
        <f t="array" ref="L748">_xlfn.IFS(bike_buyers[[#This Row],[Age]]&gt;= 70, "senior citizen", bike_buyers[[#This Row],[Age]]&gt;=55, "middle age",  bike_buyers[[#This Row],[Age]]&gt;=40,"mature adult ", bike_buyers[[#This Row],[Age]]&gt;=30, "adults", bike_buyers[[#This Row],[Age]]&gt;= 20, "young adults")</f>
        <v>middle age</v>
      </c>
      <c r="M748">
        <v>56</v>
      </c>
      <c r="N748" t="s">
        <v>20</v>
      </c>
    </row>
    <row r="749" spans="1:14" x14ac:dyDescent="0.25">
      <c r="A749">
        <v>12957</v>
      </c>
      <c r="B749" t="s">
        <v>26</v>
      </c>
      <c r="C749" t="s">
        <v>14</v>
      </c>
      <c r="D749" s="1">
        <v>70000</v>
      </c>
      <c r="E749">
        <v>1</v>
      </c>
      <c r="F749" t="s">
        <v>15</v>
      </c>
      <c r="G749" t="s">
        <v>24</v>
      </c>
      <c r="H749" t="s">
        <v>20</v>
      </c>
      <c r="I749">
        <v>1</v>
      </c>
      <c r="J749" t="s">
        <v>18</v>
      </c>
      <c r="K749" t="s">
        <v>35</v>
      </c>
      <c r="L749" t="str" cm="1">
        <f t="array" ref="L749">_xlfn.IFS(bike_buyers[[#This Row],[Age]]&gt;= 70, "senior citizen", bike_buyers[[#This Row],[Age]]&gt;=55, "middle age",  bike_buyers[[#This Row],[Age]]&gt;=40,"mature adult ", bike_buyers[[#This Row],[Age]]&gt;=30, "adults", bike_buyers[[#This Row],[Age]]&gt;= 20, "young adults")</f>
        <v xml:space="preserve">mature adult </v>
      </c>
      <c r="M749">
        <v>44</v>
      </c>
      <c r="N749" t="s">
        <v>20</v>
      </c>
    </row>
    <row r="750" spans="1:14" x14ac:dyDescent="0.25">
      <c r="A750">
        <v>15412</v>
      </c>
      <c r="B750" t="s">
        <v>13</v>
      </c>
      <c r="C750" t="s">
        <v>21</v>
      </c>
      <c r="D750" s="1">
        <v>130000</v>
      </c>
      <c r="E750">
        <v>2</v>
      </c>
      <c r="F750" t="s">
        <v>34</v>
      </c>
      <c r="G750" t="s">
        <v>32</v>
      </c>
      <c r="H750" t="s">
        <v>17</v>
      </c>
      <c r="I750">
        <v>3</v>
      </c>
      <c r="J750" t="s">
        <v>25</v>
      </c>
      <c r="K750" t="s">
        <v>35</v>
      </c>
      <c r="L750" t="str" cm="1">
        <f t="array" ref="L750">_xlfn.IFS(bike_buyers[[#This Row],[Age]]&gt;= 70, "senior citizen", bike_buyers[[#This Row],[Age]]&gt;=55, "middle age",  bike_buyers[[#This Row],[Age]]&gt;=40,"mature adult ", bike_buyers[[#This Row],[Age]]&gt;=30, "adults", bike_buyers[[#This Row],[Age]]&gt;= 20, "young adults")</f>
        <v>middle age</v>
      </c>
      <c r="M750">
        <v>69</v>
      </c>
      <c r="N750" t="s">
        <v>20</v>
      </c>
    </row>
    <row r="751" spans="1:14" x14ac:dyDescent="0.25">
      <c r="A751">
        <v>20514</v>
      </c>
      <c r="B751" t="s">
        <v>13</v>
      </c>
      <c r="C751" t="s">
        <v>14</v>
      </c>
      <c r="D751" s="1">
        <v>70000</v>
      </c>
      <c r="E751">
        <v>2</v>
      </c>
      <c r="F751" t="s">
        <v>22</v>
      </c>
      <c r="G751" t="s">
        <v>24</v>
      </c>
      <c r="H751" t="s">
        <v>17</v>
      </c>
      <c r="I751">
        <v>1</v>
      </c>
      <c r="J751" t="s">
        <v>25</v>
      </c>
      <c r="K751" t="s">
        <v>35</v>
      </c>
      <c r="L751" t="str" cm="1">
        <f t="array" ref="L751">_xlfn.IFS(bike_buyers[[#This Row],[Age]]&gt;= 70, "senior citizen", bike_buyers[[#This Row],[Age]]&gt;=55, "middle age",  bike_buyers[[#This Row],[Age]]&gt;=40,"mature adult ", bike_buyers[[#This Row],[Age]]&gt;=30, "adults", bike_buyers[[#This Row],[Age]]&gt;= 20, "young adults")</f>
        <v>middle age</v>
      </c>
      <c r="M751">
        <v>59</v>
      </c>
      <c r="N751" t="s">
        <v>20</v>
      </c>
    </row>
    <row r="752" spans="1:14" x14ac:dyDescent="0.25">
      <c r="A752">
        <v>20758</v>
      </c>
      <c r="B752" t="s">
        <v>13</v>
      </c>
      <c r="C752" t="s">
        <v>21</v>
      </c>
      <c r="D752" s="1">
        <v>30000</v>
      </c>
      <c r="E752">
        <v>2</v>
      </c>
      <c r="F752" t="s">
        <v>31</v>
      </c>
      <c r="G752" t="s">
        <v>16</v>
      </c>
      <c r="H752" t="s">
        <v>17</v>
      </c>
      <c r="I752">
        <v>2</v>
      </c>
      <c r="J752" t="s">
        <v>30</v>
      </c>
      <c r="K752" t="s">
        <v>35</v>
      </c>
      <c r="L752" t="str" cm="1">
        <f t="array" ref="L752">_xlfn.IFS(bike_buyers[[#This Row],[Age]]&gt;= 70, "senior citizen", bike_buyers[[#This Row],[Age]]&gt;=55, "middle age",  bike_buyers[[#This Row],[Age]]&gt;=40,"mature adult ", bike_buyers[[#This Row],[Age]]&gt;=30, "adults", bike_buyers[[#This Row],[Age]]&gt;= 20, "young adults")</f>
        <v xml:space="preserve">mature adult </v>
      </c>
      <c r="M752">
        <v>50</v>
      </c>
      <c r="N752" t="s">
        <v>20</v>
      </c>
    </row>
    <row r="753" spans="1:14" x14ac:dyDescent="0.25">
      <c r="A753">
        <v>11801</v>
      </c>
      <c r="B753" t="s">
        <v>13</v>
      </c>
      <c r="C753" t="s">
        <v>21</v>
      </c>
      <c r="D753" s="1">
        <v>60000</v>
      </c>
      <c r="E753">
        <v>1</v>
      </c>
      <c r="F753" t="s">
        <v>34</v>
      </c>
      <c r="G753" t="s">
        <v>24</v>
      </c>
      <c r="H753" t="s">
        <v>17</v>
      </c>
      <c r="I753">
        <v>0</v>
      </c>
      <c r="J753" t="s">
        <v>25</v>
      </c>
      <c r="K753" t="s">
        <v>35</v>
      </c>
      <c r="L753" t="str" cm="1">
        <f t="array" ref="L753">_xlfn.IFS(bike_buyers[[#This Row],[Age]]&gt;= 70, "senior citizen", bike_buyers[[#This Row],[Age]]&gt;=55, "middle age",  bike_buyers[[#This Row],[Age]]&gt;=40,"mature adult ", bike_buyers[[#This Row],[Age]]&gt;=30, "adults", bike_buyers[[#This Row],[Age]]&gt;= 20, "young adults")</f>
        <v>adults</v>
      </c>
      <c r="M753">
        <v>36</v>
      </c>
      <c r="N753" t="s">
        <v>20</v>
      </c>
    </row>
    <row r="754" spans="1:14" x14ac:dyDescent="0.25">
      <c r="A754">
        <v>22211</v>
      </c>
      <c r="B754" t="s">
        <v>13</v>
      </c>
      <c r="C754" t="s">
        <v>21</v>
      </c>
      <c r="D754" s="1">
        <v>60000</v>
      </c>
      <c r="E754">
        <v>0</v>
      </c>
      <c r="F754" t="s">
        <v>22</v>
      </c>
      <c r="G754" t="s">
        <v>24</v>
      </c>
      <c r="H754" t="s">
        <v>17</v>
      </c>
      <c r="I754">
        <v>2</v>
      </c>
      <c r="J754" t="s">
        <v>27</v>
      </c>
      <c r="K754" t="s">
        <v>35</v>
      </c>
      <c r="L754" t="str" cm="1">
        <f t="array" ref="L754">_xlfn.IFS(bike_buyers[[#This Row],[Age]]&gt;= 70, "senior citizen", bike_buyers[[#This Row],[Age]]&gt;=55, "middle age",  bike_buyers[[#This Row],[Age]]&gt;=40,"mature adult ", bike_buyers[[#This Row],[Age]]&gt;=30, "adults", bike_buyers[[#This Row],[Age]]&gt;= 20, "young adults")</f>
        <v>adults</v>
      </c>
      <c r="M754">
        <v>32</v>
      </c>
      <c r="N754" t="s">
        <v>20</v>
      </c>
    </row>
    <row r="755" spans="1:14" x14ac:dyDescent="0.25">
      <c r="A755">
        <v>28087</v>
      </c>
      <c r="B755" t="s">
        <v>26</v>
      </c>
      <c r="C755" t="s">
        <v>14</v>
      </c>
      <c r="D755" s="1">
        <v>40000</v>
      </c>
      <c r="E755">
        <v>0</v>
      </c>
      <c r="F755" t="s">
        <v>22</v>
      </c>
      <c r="G755" t="s">
        <v>16</v>
      </c>
      <c r="H755" t="s">
        <v>20</v>
      </c>
      <c r="I755">
        <v>1</v>
      </c>
      <c r="J755" t="s">
        <v>30</v>
      </c>
      <c r="K755" t="s">
        <v>35</v>
      </c>
      <c r="L755" t="str" cm="1">
        <f t="array" ref="L755">_xlfn.IFS(bike_buyers[[#This Row],[Age]]&gt;= 70, "senior citizen", bike_buyers[[#This Row],[Age]]&gt;=55, "middle age",  bike_buyers[[#This Row],[Age]]&gt;=40,"mature adult ", bike_buyers[[#This Row],[Age]]&gt;=30, "adults", bike_buyers[[#This Row],[Age]]&gt;= 20, "young adults")</f>
        <v>young adults</v>
      </c>
      <c r="M755">
        <v>27</v>
      </c>
      <c r="N755" t="s">
        <v>20</v>
      </c>
    </row>
    <row r="756" spans="1:14" x14ac:dyDescent="0.25">
      <c r="A756">
        <v>23668</v>
      </c>
      <c r="B756" t="s">
        <v>13</v>
      </c>
      <c r="C756" t="s">
        <v>14</v>
      </c>
      <c r="D756" s="1">
        <v>40000</v>
      </c>
      <c r="E756">
        <v>4</v>
      </c>
      <c r="F756" t="s">
        <v>31</v>
      </c>
      <c r="G756" t="s">
        <v>24</v>
      </c>
      <c r="H756" t="s">
        <v>17</v>
      </c>
      <c r="I756">
        <v>2</v>
      </c>
      <c r="J756" t="s">
        <v>27</v>
      </c>
      <c r="K756" t="s">
        <v>35</v>
      </c>
      <c r="L756" t="str" cm="1">
        <f t="array" ref="L756">_xlfn.IFS(bike_buyers[[#This Row],[Age]]&gt;= 70, "senior citizen", bike_buyers[[#This Row],[Age]]&gt;=55, "middle age",  bike_buyers[[#This Row],[Age]]&gt;=40,"mature adult ", bike_buyers[[#This Row],[Age]]&gt;=30, "adults", bike_buyers[[#This Row],[Age]]&gt;= 20, "young adults")</f>
        <v>middle age</v>
      </c>
      <c r="M756">
        <v>59</v>
      </c>
      <c r="N756" t="s">
        <v>17</v>
      </c>
    </row>
    <row r="757" spans="1:14" x14ac:dyDescent="0.25">
      <c r="A757">
        <v>27441</v>
      </c>
      <c r="B757" t="s">
        <v>13</v>
      </c>
      <c r="C757" t="s">
        <v>21</v>
      </c>
      <c r="D757" s="1">
        <v>60000</v>
      </c>
      <c r="E757">
        <v>3</v>
      </c>
      <c r="F757" t="s">
        <v>31</v>
      </c>
      <c r="G757" t="s">
        <v>24</v>
      </c>
      <c r="H757" t="s">
        <v>20</v>
      </c>
      <c r="I757">
        <v>2</v>
      </c>
      <c r="J757" t="s">
        <v>25</v>
      </c>
      <c r="K757" t="s">
        <v>35</v>
      </c>
      <c r="L757" t="str" cm="1">
        <f t="array" ref="L757">_xlfn.IFS(bike_buyers[[#This Row],[Age]]&gt;= 70, "senior citizen", bike_buyers[[#This Row],[Age]]&gt;=55, "middle age",  bike_buyers[[#This Row],[Age]]&gt;=40,"mature adult ", bike_buyers[[#This Row],[Age]]&gt;=30, "adults", bike_buyers[[#This Row],[Age]]&gt;= 20, "young adults")</f>
        <v xml:space="preserve">mature adult </v>
      </c>
      <c r="M757">
        <v>53</v>
      </c>
      <c r="N757" t="s">
        <v>20</v>
      </c>
    </row>
    <row r="758" spans="1:14" x14ac:dyDescent="0.25">
      <c r="A758">
        <v>27261</v>
      </c>
      <c r="B758" t="s">
        <v>13</v>
      </c>
      <c r="C758" t="s">
        <v>21</v>
      </c>
      <c r="D758" s="1">
        <v>40000</v>
      </c>
      <c r="E758">
        <v>1</v>
      </c>
      <c r="F758" t="s">
        <v>15</v>
      </c>
      <c r="G758" t="s">
        <v>16</v>
      </c>
      <c r="H758" t="s">
        <v>20</v>
      </c>
      <c r="I758">
        <v>1</v>
      </c>
      <c r="J758" t="s">
        <v>18</v>
      </c>
      <c r="K758" t="s">
        <v>35</v>
      </c>
      <c r="L758" t="str" cm="1">
        <f t="array" ref="L758">_xlfn.IFS(bike_buyers[[#This Row],[Age]]&gt;= 70, "senior citizen", bike_buyers[[#This Row],[Age]]&gt;=55, "middle age",  bike_buyers[[#This Row],[Age]]&gt;=40,"mature adult ", bike_buyers[[#This Row],[Age]]&gt;=30, "adults", bike_buyers[[#This Row],[Age]]&gt;= 20, "young adults")</f>
        <v>adults</v>
      </c>
      <c r="M758">
        <v>36</v>
      </c>
      <c r="N758" t="s">
        <v>17</v>
      </c>
    </row>
    <row r="759" spans="1:14" x14ac:dyDescent="0.25">
      <c r="A759">
        <v>18649</v>
      </c>
      <c r="B759" t="s">
        <v>26</v>
      </c>
      <c r="C759" t="s">
        <v>21</v>
      </c>
      <c r="D759" s="1">
        <v>30000</v>
      </c>
      <c r="E759">
        <v>1</v>
      </c>
      <c r="F759" t="s">
        <v>31</v>
      </c>
      <c r="G759" t="s">
        <v>23</v>
      </c>
      <c r="H759" t="s">
        <v>17</v>
      </c>
      <c r="I759">
        <v>2</v>
      </c>
      <c r="J759" t="s">
        <v>30</v>
      </c>
      <c r="K759" t="s">
        <v>35</v>
      </c>
      <c r="L759" t="str" cm="1">
        <f t="array" ref="L759">_xlfn.IFS(bike_buyers[[#This Row],[Age]]&gt;= 70, "senior citizen", bike_buyers[[#This Row],[Age]]&gt;=55, "middle age",  bike_buyers[[#This Row],[Age]]&gt;=40,"mature adult ", bike_buyers[[#This Row],[Age]]&gt;=30, "adults", bike_buyers[[#This Row],[Age]]&gt;= 20, "young adults")</f>
        <v xml:space="preserve">mature adult </v>
      </c>
      <c r="M759">
        <v>51</v>
      </c>
      <c r="N759" t="s">
        <v>17</v>
      </c>
    </row>
    <row r="760" spans="1:14" x14ac:dyDescent="0.25">
      <c r="A760">
        <v>21714</v>
      </c>
      <c r="B760" t="s">
        <v>26</v>
      </c>
      <c r="C760" t="s">
        <v>14</v>
      </c>
      <c r="D760" s="1">
        <v>80000</v>
      </c>
      <c r="E760">
        <v>5</v>
      </c>
      <c r="F760" t="s">
        <v>34</v>
      </c>
      <c r="G760" t="s">
        <v>16</v>
      </c>
      <c r="H760" t="s">
        <v>20</v>
      </c>
      <c r="I760">
        <v>0</v>
      </c>
      <c r="J760" t="s">
        <v>18</v>
      </c>
      <c r="K760" t="s">
        <v>35</v>
      </c>
      <c r="L760" t="str" cm="1">
        <f t="array" ref="L760">_xlfn.IFS(bike_buyers[[#This Row],[Age]]&gt;= 70, "senior citizen", bike_buyers[[#This Row],[Age]]&gt;=55, "middle age",  bike_buyers[[#This Row],[Age]]&gt;=40,"mature adult ", bike_buyers[[#This Row],[Age]]&gt;=30, "adults", bike_buyers[[#This Row],[Age]]&gt;= 20, "young adults")</f>
        <v xml:space="preserve">mature adult </v>
      </c>
      <c r="M760">
        <v>47</v>
      </c>
      <c r="N760" t="s">
        <v>20</v>
      </c>
    </row>
    <row r="761" spans="1:14" x14ac:dyDescent="0.25">
      <c r="A761">
        <v>23217</v>
      </c>
      <c r="B761" t="s">
        <v>26</v>
      </c>
      <c r="C761" t="s">
        <v>14</v>
      </c>
      <c r="D761" s="1">
        <v>60000</v>
      </c>
      <c r="E761">
        <v>3</v>
      </c>
      <c r="F761" t="s">
        <v>34</v>
      </c>
      <c r="G761" t="s">
        <v>24</v>
      </c>
      <c r="H761" t="s">
        <v>17</v>
      </c>
      <c r="I761">
        <v>0</v>
      </c>
      <c r="J761" t="s">
        <v>25</v>
      </c>
      <c r="K761" t="s">
        <v>35</v>
      </c>
      <c r="L761" t="str" cm="1">
        <f t="array" ref="L761">_xlfn.IFS(bike_buyers[[#This Row],[Age]]&gt;= 70, "senior citizen", bike_buyers[[#This Row],[Age]]&gt;=55, "middle age",  bike_buyers[[#This Row],[Age]]&gt;=40,"mature adult ", bike_buyers[[#This Row],[Age]]&gt;=30, "adults", bike_buyers[[#This Row],[Age]]&gt;= 20, "young adults")</f>
        <v xml:space="preserve">mature adult </v>
      </c>
      <c r="M761">
        <v>43</v>
      </c>
      <c r="N761" t="s">
        <v>17</v>
      </c>
    </row>
    <row r="762" spans="1:14" x14ac:dyDescent="0.25">
      <c r="A762">
        <v>23797</v>
      </c>
      <c r="B762" t="s">
        <v>26</v>
      </c>
      <c r="C762" t="s">
        <v>21</v>
      </c>
      <c r="D762" s="1">
        <v>20000</v>
      </c>
      <c r="E762">
        <v>3</v>
      </c>
      <c r="F762" t="s">
        <v>33</v>
      </c>
      <c r="G762" t="s">
        <v>23</v>
      </c>
      <c r="H762" t="s">
        <v>20</v>
      </c>
      <c r="I762">
        <v>2</v>
      </c>
      <c r="J762" t="s">
        <v>18</v>
      </c>
      <c r="K762" t="s">
        <v>35</v>
      </c>
      <c r="L762" t="str" cm="1">
        <f t="array" ref="L762">_xlfn.IFS(bike_buyers[[#This Row],[Age]]&gt;= 70, "senior citizen", bike_buyers[[#This Row],[Age]]&gt;=55, "middle age",  bike_buyers[[#This Row],[Age]]&gt;=40,"mature adult ", bike_buyers[[#This Row],[Age]]&gt;=30, "adults", bike_buyers[[#This Row],[Age]]&gt;= 20, "young adults")</f>
        <v xml:space="preserve">mature adult </v>
      </c>
      <c r="M762">
        <v>50</v>
      </c>
      <c r="N762" t="s">
        <v>20</v>
      </c>
    </row>
    <row r="763" spans="1:14" x14ac:dyDescent="0.25">
      <c r="A763">
        <v>13216</v>
      </c>
      <c r="B763" t="s">
        <v>13</v>
      </c>
      <c r="C763" t="s">
        <v>14</v>
      </c>
      <c r="D763" s="1">
        <v>60000</v>
      </c>
      <c r="E763">
        <v>5</v>
      </c>
      <c r="F763" t="s">
        <v>15</v>
      </c>
      <c r="G763" t="s">
        <v>32</v>
      </c>
      <c r="H763" t="s">
        <v>17</v>
      </c>
      <c r="I763">
        <v>3</v>
      </c>
      <c r="J763" t="s">
        <v>41</v>
      </c>
      <c r="K763" t="s">
        <v>35</v>
      </c>
      <c r="L763" t="str" cm="1">
        <f t="array" ref="L763">_xlfn.IFS(bike_buyers[[#This Row],[Age]]&gt;= 70, "senior citizen", bike_buyers[[#This Row],[Age]]&gt;=55, "middle age",  bike_buyers[[#This Row],[Age]]&gt;=40,"mature adult ", bike_buyers[[#This Row],[Age]]&gt;=30, "adults", bike_buyers[[#This Row],[Age]]&gt;= 20, "young adults")</f>
        <v>middle age</v>
      </c>
      <c r="M763">
        <v>59</v>
      </c>
      <c r="N763" t="s">
        <v>20</v>
      </c>
    </row>
    <row r="764" spans="1:14" x14ac:dyDescent="0.25">
      <c r="A764">
        <v>20657</v>
      </c>
      <c r="B764" t="s">
        <v>26</v>
      </c>
      <c r="C764" t="s">
        <v>21</v>
      </c>
      <c r="D764" s="1">
        <v>50000</v>
      </c>
      <c r="E764">
        <v>2</v>
      </c>
      <c r="F764" t="s">
        <v>15</v>
      </c>
      <c r="G764" t="s">
        <v>16</v>
      </c>
      <c r="H764" t="s">
        <v>17</v>
      </c>
      <c r="I764">
        <v>0</v>
      </c>
      <c r="J764" t="s">
        <v>25</v>
      </c>
      <c r="K764" t="s">
        <v>35</v>
      </c>
      <c r="L764" t="str" cm="1">
        <f t="array" ref="L764">_xlfn.IFS(bike_buyers[[#This Row],[Age]]&gt;= 70, "senior citizen", bike_buyers[[#This Row],[Age]]&gt;=55, "middle age",  bike_buyers[[#This Row],[Age]]&gt;=40,"mature adult ", bike_buyers[[#This Row],[Age]]&gt;=30, "adults", bike_buyers[[#This Row],[Age]]&gt;= 20, "young adults")</f>
        <v>adults</v>
      </c>
      <c r="M764">
        <v>37</v>
      </c>
      <c r="N764" t="s">
        <v>17</v>
      </c>
    </row>
    <row r="765" spans="1:14" x14ac:dyDescent="0.25">
      <c r="A765">
        <v>12882</v>
      </c>
      <c r="B765" t="s">
        <v>13</v>
      </c>
      <c r="C765" t="s">
        <v>21</v>
      </c>
      <c r="D765" s="1">
        <v>50000</v>
      </c>
      <c r="E765">
        <v>1</v>
      </c>
      <c r="F765" t="s">
        <v>34</v>
      </c>
      <c r="G765" t="s">
        <v>16</v>
      </c>
      <c r="H765" t="s">
        <v>17</v>
      </c>
      <c r="I765">
        <v>0</v>
      </c>
      <c r="J765" t="s">
        <v>18</v>
      </c>
      <c r="K765" t="s">
        <v>35</v>
      </c>
      <c r="L765" t="str" cm="1">
        <f t="array" ref="L765">_xlfn.IFS(bike_buyers[[#This Row],[Age]]&gt;= 70, "senior citizen", bike_buyers[[#This Row],[Age]]&gt;=55, "middle age",  bike_buyers[[#This Row],[Age]]&gt;=40,"mature adult ", bike_buyers[[#This Row],[Age]]&gt;=30, "adults", bike_buyers[[#This Row],[Age]]&gt;= 20, "young adults")</f>
        <v>adults</v>
      </c>
      <c r="M765">
        <v>33</v>
      </c>
      <c r="N765" t="s">
        <v>17</v>
      </c>
    </row>
    <row r="766" spans="1:14" x14ac:dyDescent="0.25">
      <c r="A766">
        <v>25908</v>
      </c>
      <c r="B766" t="s">
        <v>13</v>
      </c>
      <c r="C766" t="s">
        <v>14</v>
      </c>
      <c r="D766" s="1">
        <v>60000</v>
      </c>
      <c r="E766">
        <v>0</v>
      </c>
      <c r="F766" t="s">
        <v>22</v>
      </c>
      <c r="G766" t="s">
        <v>16</v>
      </c>
      <c r="H766" t="s">
        <v>20</v>
      </c>
      <c r="I766">
        <v>1</v>
      </c>
      <c r="J766" t="s">
        <v>30</v>
      </c>
      <c r="K766" t="s">
        <v>35</v>
      </c>
      <c r="L766" t="str" cm="1">
        <f t="array" ref="L766">_xlfn.IFS(bike_buyers[[#This Row],[Age]]&gt;= 70, "senior citizen", bike_buyers[[#This Row],[Age]]&gt;=55, "middle age",  bike_buyers[[#This Row],[Age]]&gt;=40,"mature adult ", bike_buyers[[#This Row],[Age]]&gt;=30, "adults", bike_buyers[[#This Row],[Age]]&gt;= 20, "young adults")</f>
        <v>young adults</v>
      </c>
      <c r="M766">
        <v>27</v>
      </c>
      <c r="N766" t="s">
        <v>20</v>
      </c>
    </row>
    <row r="767" spans="1:14" x14ac:dyDescent="0.25">
      <c r="A767">
        <v>16753</v>
      </c>
      <c r="B767" t="s">
        <v>26</v>
      </c>
      <c r="C767" t="s">
        <v>14</v>
      </c>
      <c r="D767" s="1">
        <v>70000</v>
      </c>
      <c r="E767">
        <v>0</v>
      </c>
      <c r="F767" t="s">
        <v>22</v>
      </c>
      <c r="G767" t="s">
        <v>16</v>
      </c>
      <c r="H767" t="s">
        <v>17</v>
      </c>
      <c r="I767">
        <v>2</v>
      </c>
      <c r="J767" t="s">
        <v>27</v>
      </c>
      <c r="K767" t="s">
        <v>35</v>
      </c>
      <c r="L767" t="str" cm="1">
        <f t="array" ref="L767">_xlfn.IFS(bike_buyers[[#This Row],[Age]]&gt;= 70, "senior citizen", bike_buyers[[#This Row],[Age]]&gt;=55, "middle age",  bike_buyers[[#This Row],[Age]]&gt;=40,"mature adult ", bike_buyers[[#This Row],[Age]]&gt;=30, "adults", bike_buyers[[#This Row],[Age]]&gt;= 20, "young adults")</f>
        <v>adults</v>
      </c>
      <c r="M767">
        <v>34</v>
      </c>
      <c r="N767" t="s">
        <v>17</v>
      </c>
    </row>
    <row r="768" spans="1:14" x14ac:dyDescent="0.25">
      <c r="A768">
        <v>14608</v>
      </c>
      <c r="B768" t="s">
        <v>13</v>
      </c>
      <c r="C768" t="s">
        <v>21</v>
      </c>
      <c r="D768" s="1">
        <v>50000</v>
      </c>
      <c r="E768">
        <v>4</v>
      </c>
      <c r="F768" t="s">
        <v>15</v>
      </c>
      <c r="G768" t="s">
        <v>16</v>
      </c>
      <c r="H768" t="s">
        <v>17</v>
      </c>
      <c r="I768">
        <v>3</v>
      </c>
      <c r="J768" t="s">
        <v>41</v>
      </c>
      <c r="K768" t="s">
        <v>35</v>
      </c>
      <c r="L768" t="str" cm="1">
        <f t="array" ref="L768">_xlfn.IFS(bike_buyers[[#This Row],[Age]]&gt;= 70, "senior citizen", bike_buyers[[#This Row],[Age]]&gt;=55, "middle age",  bike_buyers[[#This Row],[Age]]&gt;=40,"mature adult ", bike_buyers[[#This Row],[Age]]&gt;=30, "adults", bike_buyers[[#This Row],[Age]]&gt;= 20, "young adults")</f>
        <v xml:space="preserve">mature adult </v>
      </c>
      <c r="M768">
        <v>42</v>
      </c>
      <c r="N768" t="s">
        <v>20</v>
      </c>
    </row>
    <row r="769" spans="1:14" x14ac:dyDescent="0.25">
      <c r="A769">
        <v>24979</v>
      </c>
      <c r="B769" t="s">
        <v>13</v>
      </c>
      <c r="C769" t="s">
        <v>14</v>
      </c>
      <c r="D769" s="1">
        <v>60000</v>
      </c>
      <c r="E769">
        <v>2</v>
      </c>
      <c r="F769" t="s">
        <v>22</v>
      </c>
      <c r="G769" t="s">
        <v>24</v>
      </c>
      <c r="H769" t="s">
        <v>17</v>
      </c>
      <c r="I769">
        <v>2</v>
      </c>
      <c r="J769" t="s">
        <v>25</v>
      </c>
      <c r="K769" t="s">
        <v>35</v>
      </c>
      <c r="L769" t="str" cm="1">
        <f t="array" ref="L769">_xlfn.IFS(bike_buyers[[#This Row],[Age]]&gt;= 70, "senior citizen", bike_buyers[[#This Row],[Age]]&gt;=55, "middle age",  bike_buyers[[#This Row],[Age]]&gt;=40,"mature adult ", bike_buyers[[#This Row],[Age]]&gt;=30, "adults", bike_buyers[[#This Row],[Age]]&gt;= 20, "young adults")</f>
        <v>middle age</v>
      </c>
      <c r="M769">
        <v>57</v>
      </c>
      <c r="N769" t="s">
        <v>17</v>
      </c>
    </row>
    <row r="770" spans="1:14" x14ac:dyDescent="0.25">
      <c r="A770">
        <v>13313</v>
      </c>
      <c r="B770" t="s">
        <v>13</v>
      </c>
      <c r="C770" t="s">
        <v>14</v>
      </c>
      <c r="D770" s="1">
        <v>120000</v>
      </c>
      <c r="E770">
        <v>1</v>
      </c>
      <c r="F770" t="s">
        <v>31</v>
      </c>
      <c r="G770" t="s">
        <v>24</v>
      </c>
      <c r="H770" t="s">
        <v>20</v>
      </c>
      <c r="I770">
        <v>4</v>
      </c>
      <c r="J770" t="s">
        <v>25</v>
      </c>
      <c r="K770" t="s">
        <v>35</v>
      </c>
      <c r="L770" t="str" cm="1">
        <f t="array" ref="L770">_xlfn.IFS(bike_buyers[[#This Row],[Age]]&gt;= 70, "senior citizen", bike_buyers[[#This Row],[Age]]&gt;=55, "middle age",  bike_buyers[[#This Row],[Age]]&gt;=40,"mature adult ", bike_buyers[[#This Row],[Age]]&gt;=30, "adults", bike_buyers[[#This Row],[Age]]&gt;= 20, "young adults")</f>
        <v xml:space="preserve">mature adult </v>
      </c>
      <c r="M770">
        <v>45</v>
      </c>
      <c r="N770" t="s">
        <v>20</v>
      </c>
    </row>
    <row r="771" spans="1:14" x14ac:dyDescent="0.25">
      <c r="A771">
        <v>18952</v>
      </c>
      <c r="B771" t="s">
        <v>13</v>
      </c>
      <c r="C771" t="s">
        <v>14</v>
      </c>
      <c r="D771" s="1">
        <v>100000</v>
      </c>
      <c r="E771">
        <v>4</v>
      </c>
      <c r="F771" t="s">
        <v>15</v>
      </c>
      <c r="G771" t="s">
        <v>32</v>
      </c>
      <c r="H771" t="s">
        <v>17</v>
      </c>
      <c r="I771">
        <v>4</v>
      </c>
      <c r="J771" t="s">
        <v>18</v>
      </c>
      <c r="K771" t="s">
        <v>35</v>
      </c>
      <c r="L771" t="str" cm="1">
        <f t="array" ref="L771">_xlfn.IFS(bike_buyers[[#This Row],[Age]]&gt;= 70, "senior citizen", bike_buyers[[#This Row],[Age]]&gt;=55, "middle age",  bike_buyers[[#This Row],[Age]]&gt;=40,"mature adult ", bike_buyers[[#This Row],[Age]]&gt;=30, "adults", bike_buyers[[#This Row],[Age]]&gt;= 20, "young adults")</f>
        <v xml:space="preserve">mature adult </v>
      </c>
      <c r="M771">
        <v>40</v>
      </c>
      <c r="N771" t="s">
        <v>20</v>
      </c>
    </row>
    <row r="772" spans="1:14" x14ac:dyDescent="0.25">
      <c r="A772">
        <v>17699</v>
      </c>
      <c r="B772" t="s">
        <v>13</v>
      </c>
      <c r="C772" t="s">
        <v>21</v>
      </c>
      <c r="D772" s="1">
        <v>60000</v>
      </c>
      <c r="E772">
        <v>1</v>
      </c>
      <c r="F772" t="s">
        <v>34</v>
      </c>
      <c r="G772" t="s">
        <v>16</v>
      </c>
      <c r="H772" t="s">
        <v>20</v>
      </c>
      <c r="I772">
        <v>0</v>
      </c>
      <c r="J772" t="s">
        <v>18</v>
      </c>
      <c r="K772" t="s">
        <v>35</v>
      </c>
      <c r="L772" t="str" cm="1">
        <f t="array" ref="L772">_xlfn.IFS(bike_buyers[[#This Row],[Age]]&gt;= 70, "senior citizen", bike_buyers[[#This Row],[Age]]&gt;=55, "middle age",  bike_buyers[[#This Row],[Age]]&gt;=40,"mature adult ", bike_buyers[[#This Row],[Age]]&gt;=30, "adults", bike_buyers[[#This Row],[Age]]&gt;= 20, "young adults")</f>
        <v>middle age</v>
      </c>
      <c r="M772">
        <v>55</v>
      </c>
      <c r="N772" t="s">
        <v>20</v>
      </c>
    </row>
    <row r="773" spans="1:14" x14ac:dyDescent="0.25">
      <c r="A773">
        <v>14657</v>
      </c>
      <c r="B773" t="s">
        <v>13</v>
      </c>
      <c r="C773" t="s">
        <v>21</v>
      </c>
      <c r="D773" s="1">
        <v>80000</v>
      </c>
      <c r="E773">
        <v>1</v>
      </c>
      <c r="F773" t="s">
        <v>22</v>
      </c>
      <c r="G773" t="s">
        <v>16</v>
      </c>
      <c r="H773" t="s">
        <v>20</v>
      </c>
      <c r="I773">
        <v>1</v>
      </c>
      <c r="J773" t="s">
        <v>18</v>
      </c>
      <c r="K773" t="s">
        <v>35</v>
      </c>
      <c r="L773" t="str" cm="1">
        <f t="array" ref="L773">_xlfn.IFS(bike_buyers[[#This Row],[Age]]&gt;= 70, "senior citizen", bike_buyers[[#This Row],[Age]]&gt;=55, "middle age",  bike_buyers[[#This Row],[Age]]&gt;=40,"mature adult ", bike_buyers[[#This Row],[Age]]&gt;=30, "adults", bike_buyers[[#This Row],[Age]]&gt;= 20, "young adults")</f>
        <v xml:space="preserve">mature adult </v>
      </c>
      <c r="M773">
        <v>47</v>
      </c>
      <c r="N773" t="s">
        <v>17</v>
      </c>
    </row>
    <row r="774" spans="1:14" x14ac:dyDescent="0.25">
      <c r="A774">
        <v>11540</v>
      </c>
      <c r="B774" t="s">
        <v>26</v>
      </c>
      <c r="C774" t="s">
        <v>21</v>
      </c>
      <c r="D774" s="1">
        <v>60000</v>
      </c>
      <c r="E774">
        <v>4</v>
      </c>
      <c r="F774" t="s">
        <v>34</v>
      </c>
      <c r="G774" t="s">
        <v>16</v>
      </c>
      <c r="H774" t="s">
        <v>17</v>
      </c>
      <c r="I774">
        <v>0</v>
      </c>
      <c r="J774" t="s">
        <v>30</v>
      </c>
      <c r="K774" t="s">
        <v>35</v>
      </c>
      <c r="L774" t="str" cm="1">
        <f t="array" ref="L774">_xlfn.IFS(bike_buyers[[#This Row],[Age]]&gt;= 70, "senior citizen", bike_buyers[[#This Row],[Age]]&gt;=55, "middle age",  bike_buyers[[#This Row],[Age]]&gt;=40,"mature adult ", bike_buyers[[#This Row],[Age]]&gt;=30, "adults", bike_buyers[[#This Row],[Age]]&gt;= 20, "young adults")</f>
        <v xml:space="preserve">mature adult </v>
      </c>
      <c r="M774">
        <v>47</v>
      </c>
      <c r="N774" t="s">
        <v>17</v>
      </c>
    </row>
    <row r="775" spans="1:14" x14ac:dyDescent="0.25">
      <c r="A775">
        <v>11783</v>
      </c>
      <c r="B775" t="s">
        <v>13</v>
      </c>
      <c r="C775" t="s">
        <v>14</v>
      </c>
      <c r="D775" s="1">
        <v>60000</v>
      </c>
      <c r="E775">
        <v>1</v>
      </c>
      <c r="F775" t="s">
        <v>34</v>
      </c>
      <c r="G775" t="s">
        <v>16</v>
      </c>
      <c r="H775" t="s">
        <v>17</v>
      </c>
      <c r="I775">
        <v>0</v>
      </c>
      <c r="J775" t="s">
        <v>18</v>
      </c>
      <c r="K775" t="s">
        <v>35</v>
      </c>
      <c r="L775" t="str" cm="1">
        <f t="array" ref="L775">_xlfn.IFS(bike_buyers[[#This Row],[Age]]&gt;= 70, "senior citizen", bike_buyers[[#This Row],[Age]]&gt;=55, "middle age",  bike_buyers[[#This Row],[Age]]&gt;=40,"mature adult ", bike_buyers[[#This Row],[Age]]&gt;=30, "adults", bike_buyers[[#This Row],[Age]]&gt;= 20, "young adults")</f>
        <v>adults</v>
      </c>
      <c r="M775">
        <v>34</v>
      </c>
      <c r="N775" t="s">
        <v>20</v>
      </c>
    </row>
    <row r="776" spans="1:14" x14ac:dyDescent="0.25">
      <c r="A776">
        <v>14602</v>
      </c>
      <c r="B776" t="s">
        <v>13</v>
      </c>
      <c r="C776" t="s">
        <v>14</v>
      </c>
      <c r="D776" s="1">
        <v>80000</v>
      </c>
      <c r="E776">
        <v>3</v>
      </c>
      <c r="F776" t="s">
        <v>34</v>
      </c>
      <c r="G776" t="s">
        <v>24</v>
      </c>
      <c r="H776" t="s">
        <v>17</v>
      </c>
      <c r="I776">
        <v>0</v>
      </c>
      <c r="J776" t="s">
        <v>18</v>
      </c>
      <c r="K776" t="s">
        <v>35</v>
      </c>
      <c r="L776" t="str" cm="1">
        <f t="array" ref="L776">_xlfn.IFS(bike_buyers[[#This Row],[Age]]&gt;= 70, "senior citizen", bike_buyers[[#This Row],[Age]]&gt;=55, "middle age",  bike_buyers[[#This Row],[Age]]&gt;=40,"mature adult ", bike_buyers[[#This Row],[Age]]&gt;=30, "adults", bike_buyers[[#This Row],[Age]]&gt;= 20, "young adults")</f>
        <v>adults</v>
      </c>
      <c r="M776">
        <v>36</v>
      </c>
      <c r="N776" t="s">
        <v>17</v>
      </c>
    </row>
    <row r="777" spans="1:14" x14ac:dyDescent="0.25">
      <c r="A777">
        <v>29030</v>
      </c>
      <c r="B777" t="s">
        <v>13</v>
      </c>
      <c r="C777" t="s">
        <v>21</v>
      </c>
      <c r="D777" s="1">
        <v>70000</v>
      </c>
      <c r="E777">
        <v>2</v>
      </c>
      <c r="F777" t="s">
        <v>33</v>
      </c>
      <c r="G777" t="s">
        <v>16</v>
      </c>
      <c r="H777" t="s">
        <v>17</v>
      </c>
      <c r="I777">
        <v>2</v>
      </c>
      <c r="J777" t="s">
        <v>41</v>
      </c>
      <c r="K777" t="s">
        <v>35</v>
      </c>
      <c r="L777" t="str" cm="1">
        <f t="array" ref="L777">_xlfn.IFS(bike_buyers[[#This Row],[Age]]&gt;= 70, "senior citizen", bike_buyers[[#This Row],[Age]]&gt;=55, "middle age",  bike_buyers[[#This Row],[Age]]&gt;=40,"mature adult ", bike_buyers[[#This Row],[Age]]&gt;=30, "adults", bike_buyers[[#This Row],[Age]]&gt;= 20, "young adults")</f>
        <v xml:space="preserve">mature adult </v>
      </c>
      <c r="M777">
        <v>54</v>
      </c>
      <c r="N777" t="s">
        <v>20</v>
      </c>
    </row>
    <row r="778" spans="1:14" x14ac:dyDescent="0.25">
      <c r="A778">
        <v>26490</v>
      </c>
      <c r="B778" t="s">
        <v>26</v>
      </c>
      <c r="C778" t="s">
        <v>21</v>
      </c>
      <c r="D778" s="1">
        <v>70000</v>
      </c>
      <c r="E778">
        <v>2</v>
      </c>
      <c r="F778" t="s">
        <v>15</v>
      </c>
      <c r="G778" t="s">
        <v>32</v>
      </c>
      <c r="H778" t="s">
        <v>20</v>
      </c>
      <c r="I778">
        <v>1</v>
      </c>
      <c r="J778" t="s">
        <v>25</v>
      </c>
      <c r="K778" t="s">
        <v>35</v>
      </c>
      <c r="L778" t="str" cm="1">
        <f t="array" ref="L778">_xlfn.IFS(bike_buyers[[#This Row],[Age]]&gt;= 70, "senior citizen", bike_buyers[[#This Row],[Age]]&gt;=55, "middle age",  bike_buyers[[#This Row],[Age]]&gt;=40,"mature adult ", bike_buyers[[#This Row],[Age]]&gt;=30, "adults", bike_buyers[[#This Row],[Age]]&gt;= 20, "young adults")</f>
        <v>middle age</v>
      </c>
      <c r="M778">
        <v>59</v>
      </c>
      <c r="N778" t="s">
        <v>17</v>
      </c>
    </row>
    <row r="779" spans="1:14" x14ac:dyDescent="0.25">
      <c r="A779">
        <v>13151</v>
      </c>
      <c r="B779" t="s">
        <v>26</v>
      </c>
      <c r="C779" t="s">
        <v>21</v>
      </c>
      <c r="D779" s="1">
        <v>40000</v>
      </c>
      <c r="E779">
        <v>0</v>
      </c>
      <c r="F779" t="s">
        <v>31</v>
      </c>
      <c r="G779" t="s">
        <v>16</v>
      </c>
      <c r="H779" t="s">
        <v>17</v>
      </c>
      <c r="I779">
        <v>2</v>
      </c>
      <c r="J779" t="s">
        <v>27</v>
      </c>
      <c r="K779" t="s">
        <v>35</v>
      </c>
      <c r="L779" t="str" cm="1">
        <f t="array" ref="L779">_xlfn.IFS(bike_buyers[[#This Row],[Age]]&gt;= 70, "senior citizen", bike_buyers[[#This Row],[Age]]&gt;=55, "middle age",  bike_buyers[[#This Row],[Age]]&gt;=40,"mature adult ", bike_buyers[[#This Row],[Age]]&gt;=30, "adults", bike_buyers[[#This Row],[Age]]&gt;= 20, "young adults")</f>
        <v>young adults</v>
      </c>
      <c r="M779">
        <v>27</v>
      </c>
      <c r="N779" t="s">
        <v>20</v>
      </c>
    </row>
    <row r="780" spans="1:14" x14ac:dyDescent="0.25">
      <c r="A780">
        <v>17260</v>
      </c>
      <c r="B780" t="s">
        <v>13</v>
      </c>
      <c r="C780" t="s">
        <v>21</v>
      </c>
      <c r="D780" s="1">
        <v>90000</v>
      </c>
      <c r="E780">
        <v>5</v>
      </c>
      <c r="F780" t="s">
        <v>22</v>
      </c>
      <c r="G780" t="s">
        <v>24</v>
      </c>
      <c r="H780" t="s">
        <v>17</v>
      </c>
      <c r="I780">
        <v>3</v>
      </c>
      <c r="J780" t="s">
        <v>18</v>
      </c>
      <c r="K780" t="s">
        <v>35</v>
      </c>
      <c r="L780" t="str" cm="1">
        <f t="array" ref="L780">_xlfn.IFS(bike_buyers[[#This Row],[Age]]&gt;= 70, "senior citizen", bike_buyers[[#This Row],[Age]]&gt;=55, "middle age",  bike_buyers[[#This Row],[Age]]&gt;=40,"mature adult ", bike_buyers[[#This Row],[Age]]&gt;=30, "adults", bike_buyers[[#This Row],[Age]]&gt;= 20, "young adults")</f>
        <v xml:space="preserve">mature adult </v>
      </c>
      <c r="M780">
        <v>41</v>
      </c>
      <c r="N780" t="s">
        <v>20</v>
      </c>
    </row>
    <row r="781" spans="1:14" x14ac:dyDescent="0.25">
      <c r="A781">
        <v>15372</v>
      </c>
      <c r="B781" t="s">
        <v>13</v>
      </c>
      <c r="C781" t="s">
        <v>21</v>
      </c>
      <c r="D781" s="1">
        <v>80000</v>
      </c>
      <c r="E781">
        <v>3</v>
      </c>
      <c r="F781" t="s">
        <v>22</v>
      </c>
      <c r="G781" t="s">
        <v>24</v>
      </c>
      <c r="H781" t="s">
        <v>20</v>
      </c>
      <c r="I781">
        <v>2</v>
      </c>
      <c r="J781" t="s">
        <v>25</v>
      </c>
      <c r="K781" t="s">
        <v>35</v>
      </c>
      <c r="L781" t="str" cm="1">
        <f t="array" ref="L781">_xlfn.IFS(bike_buyers[[#This Row],[Age]]&gt;= 70, "senior citizen", bike_buyers[[#This Row],[Age]]&gt;=55, "middle age",  bike_buyers[[#This Row],[Age]]&gt;=40,"mature adult ", bike_buyers[[#This Row],[Age]]&gt;=30, "adults", bike_buyers[[#This Row],[Age]]&gt;= 20, "young adults")</f>
        <v xml:space="preserve">mature adult </v>
      </c>
      <c r="M781">
        <v>50</v>
      </c>
      <c r="N781" t="s">
        <v>17</v>
      </c>
    </row>
    <row r="782" spans="1:14" x14ac:dyDescent="0.25">
      <c r="A782">
        <v>18105</v>
      </c>
      <c r="B782" t="s">
        <v>13</v>
      </c>
      <c r="C782" t="s">
        <v>14</v>
      </c>
      <c r="D782" s="1">
        <v>60000</v>
      </c>
      <c r="E782">
        <v>2</v>
      </c>
      <c r="F782" t="s">
        <v>22</v>
      </c>
      <c r="G782" t="s">
        <v>24</v>
      </c>
      <c r="H782" t="s">
        <v>17</v>
      </c>
      <c r="I782">
        <v>1</v>
      </c>
      <c r="J782" t="s">
        <v>41</v>
      </c>
      <c r="K782" t="s">
        <v>35</v>
      </c>
      <c r="L782" t="str" cm="1">
        <f t="array" ref="L782">_xlfn.IFS(bike_buyers[[#This Row],[Age]]&gt;= 70, "senior citizen", bike_buyers[[#This Row],[Age]]&gt;=55, "middle age",  bike_buyers[[#This Row],[Age]]&gt;=40,"mature adult ", bike_buyers[[#This Row],[Age]]&gt;=30, "adults", bike_buyers[[#This Row],[Age]]&gt;= 20, "young adults")</f>
        <v>middle age</v>
      </c>
      <c r="M782">
        <v>55</v>
      </c>
      <c r="N782" t="s">
        <v>20</v>
      </c>
    </row>
    <row r="783" spans="1:14" x14ac:dyDescent="0.25">
      <c r="A783">
        <v>19660</v>
      </c>
      <c r="B783" t="s">
        <v>13</v>
      </c>
      <c r="C783" t="s">
        <v>21</v>
      </c>
      <c r="D783" s="1">
        <v>80000</v>
      </c>
      <c r="E783">
        <v>4</v>
      </c>
      <c r="F783" t="s">
        <v>15</v>
      </c>
      <c r="G783" t="s">
        <v>32</v>
      </c>
      <c r="H783" t="s">
        <v>17</v>
      </c>
      <c r="I783">
        <v>0</v>
      </c>
      <c r="J783" t="s">
        <v>18</v>
      </c>
      <c r="K783" t="s">
        <v>35</v>
      </c>
      <c r="L783" t="str" cm="1">
        <f t="array" ref="L783">_xlfn.IFS(bike_buyers[[#This Row],[Age]]&gt;= 70, "senior citizen", bike_buyers[[#This Row],[Age]]&gt;=55, "middle age",  bike_buyers[[#This Row],[Age]]&gt;=40,"mature adult ", bike_buyers[[#This Row],[Age]]&gt;=30, "adults", bike_buyers[[#This Row],[Age]]&gt;= 20, "young adults")</f>
        <v xml:space="preserve">mature adult </v>
      </c>
      <c r="M783">
        <v>43</v>
      </c>
      <c r="N783" t="s">
        <v>20</v>
      </c>
    </row>
    <row r="784" spans="1:14" x14ac:dyDescent="0.25">
      <c r="A784">
        <v>16112</v>
      </c>
      <c r="B784" t="s">
        <v>26</v>
      </c>
      <c r="C784" t="s">
        <v>21</v>
      </c>
      <c r="D784" s="1">
        <v>70000</v>
      </c>
      <c r="E784">
        <v>4</v>
      </c>
      <c r="F784" t="s">
        <v>15</v>
      </c>
      <c r="G784" t="s">
        <v>24</v>
      </c>
      <c r="H784" t="s">
        <v>17</v>
      </c>
      <c r="I784">
        <v>2</v>
      </c>
      <c r="J784" t="s">
        <v>25</v>
      </c>
      <c r="K784" t="s">
        <v>35</v>
      </c>
      <c r="L784" t="str" cm="1">
        <f t="array" ref="L784">_xlfn.IFS(bike_buyers[[#This Row],[Age]]&gt;= 70, "senior citizen", bike_buyers[[#This Row],[Age]]&gt;=55, "middle age",  bike_buyers[[#This Row],[Age]]&gt;=40,"mature adult ", bike_buyers[[#This Row],[Age]]&gt;=30, "adults", bike_buyers[[#This Row],[Age]]&gt;= 20, "young adults")</f>
        <v xml:space="preserve">mature adult </v>
      </c>
      <c r="M784">
        <v>43</v>
      </c>
      <c r="N784" t="s">
        <v>17</v>
      </c>
    </row>
    <row r="785" spans="1:14" x14ac:dyDescent="0.25">
      <c r="A785">
        <v>20698</v>
      </c>
      <c r="B785" t="s">
        <v>13</v>
      </c>
      <c r="C785" t="s">
        <v>21</v>
      </c>
      <c r="D785" s="1">
        <v>60000</v>
      </c>
      <c r="E785">
        <v>4</v>
      </c>
      <c r="F785" t="s">
        <v>15</v>
      </c>
      <c r="G785" t="s">
        <v>16</v>
      </c>
      <c r="H785" t="s">
        <v>17</v>
      </c>
      <c r="I785">
        <v>3</v>
      </c>
      <c r="J785" t="s">
        <v>27</v>
      </c>
      <c r="K785" t="s">
        <v>35</v>
      </c>
      <c r="L785" t="str" cm="1">
        <f t="array" ref="L785">_xlfn.IFS(bike_buyers[[#This Row],[Age]]&gt;= 70, "senior citizen", bike_buyers[[#This Row],[Age]]&gt;=55, "middle age",  bike_buyers[[#This Row],[Age]]&gt;=40,"mature adult ", bike_buyers[[#This Row],[Age]]&gt;=30, "adults", bike_buyers[[#This Row],[Age]]&gt;= 20, "young adults")</f>
        <v xml:space="preserve">mature adult </v>
      </c>
      <c r="M785">
        <v>42</v>
      </c>
      <c r="N785" t="s">
        <v>20</v>
      </c>
    </row>
    <row r="786" spans="1:14" x14ac:dyDescent="0.25">
      <c r="A786">
        <v>20076</v>
      </c>
      <c r="B786" t="s">
        <v>26</v>
      </c>
      <c r="C786" t="s">
        <v>14</v>
      </c>
      <c r="D786" s="1">
        <v>10000</v>
      </c>
      <c r="E786">
        <v>2</v>
      </c>
      <c r="F786" t="s">
        <v>31</v>
      </c>
      <c r="G786" t="s">
        <v>29</v>
      </c>
      <c r="H786" t="s">
        <v>17</v>
      </c>
      <c r="I786">
        <v>2</v>
      </c>
      <c r="J786" t="s">
        <v>30</v>
      </c>
      <c r="K786" t="s">
        <v>35</v>
      </c>
      <c r="L786" t="str" cm="1">
        <f t="array" ref="L786">_xlfn.IFS(bike_buyers[[#This Row],[Age]]&gt;= 70, "senior citizen", bike_buyers[[#This Row],[Age]]&gt;=55, "middle age",  bike_buyers[[#This Row],[Age]]&gt;=40,"mature adult ", bike_buyers[[#This Row],[Age]]&gt;=30, "adults", bike_buyers[[#This Row],[Age]]&gt;= 20, "young adults")</f>
        <v xml:space="preserve">mature adult </v>
      </c>
      <c r="M786">
        <v>53</v>
      </c>
      <c r="N786" t="s">
        <v>17</v>
      </c>
    </row>
    <row r="787" spans="1:14" x14ac:dyDescent="0.25">
      <c r="A787">
        <v>24496</v>
      </c>
      <c r="B787" t="s">
        <v>26</v>
      </c>
      <c r="C787" t="s">
        <v>14</v>
      </c>
      <c r="D787" s="1">
        <v>40000</v>
      </c>
      <c r="E787">
        <v>0</v>
      </c>
      <c r="F787" t="s">
        <v>31</v>
      </c>
      <c r="G787" t="s">
        <v>16</v>
      </c>
      <c r="H787" t="s">
        <v>20</v>
      </c>
      <c r="I787">
        <v>2</v>
      </c>
      <c r="J787" t="s">
        <v>18</v>
      </c>
      <c r="K787" t="s">
        <v>35</v>
      </c>
      <c r="L787" t="str" cm="1">
        <f t="array" ref="L787">_xlfn.IFS(bike_buyers[[#This Row],[Age]]&gt;= 70, "senior citizen", bike_buyers[[#This Row],[Age]]&gt;=55, "middle age",  bike_buyers[[#This Row],[Age]]&gt;=40,"mature adult ", bike_buyers[[#This Row],[Age]]&gt;=30, "adults", bike_buyers[[#This Row],[Age]]&gt;= 20, "young adults")</f>
        <v>young adults</v>
      </c>
      <c r="M787">
        <v>28</v>
      </c>
      <c r="N787" t="s">
        <v>17</v>
      </c>
    </row>
    <row r="788" spans="1:14" x14ac:dyDescent="0.25">
      <c r="A788">
        <v>15468</v>
      </c>
      <c r="B788" t="s">
        <v>13</v>
      </c>
      <c r="C788" t="s">
        <v>14</v>
      </c>
      <c r="D788" s="1">
        <v>50000</v>
      </c>
      <c r="E788">
        <v>1</v>
      </c>
      <c r="F788" t="s">
        <v>15</v>
      </c>
      <c r="G788" t="s">
        <v>16</v>
      </c>
      <c r="H788" t="s">
        <v>17</v>
      </c>
      <c r="I788">
        <v>1</v>
      </c>
      <c r="J788" t="s">
        <v>18</v>
      </c>
      <c r="K788" t="s">
        <v>35</v>
      </c>
      <c r="L788" t="str" cm="1">
        <f t="array" ref="L788">_xlfn.IFS(bike_buyers[[#This Row],[Age]]&gt;= 70, "senior citizen", bike_buyers[[#This Row],[Age]]&gt;=55, "middle age",  bike_buyers[[#This Row],[Age]]&gt;=40,"mature adult ", bike_buyers[[#This Row],[Age]]&gt;=30, "adults", bike_buyers[[#This Row],[Age]]&gt;= 20, "young adults")</f>
        <v>adults</v>
      </c>
      <c r="M788">
        <v>35</v>
      </c>
      <c r="N788" t="s">
        <v>20</v>
      </c>
    </row>
    <row r="789" spans="1:14" x14ac:dyDescent="0.25">
      <c r="A789">
        <v>28031</v>
      </c>
      <c r="B789" t="s">
        <v>26</v>
      </c>
      <c r="C789" t="s">
        <v>14</v>
      </c>
      <c r="D789" s="1">
        <v>70000</v>
      </c>
      <c r="E789">
        <v>2</v>
      </c>
      <c r="F789" t="s">
        <v>15</v>
      </c>
      <c r="G789" t="s">
        <v>32</v>
      </c>
      <c r="H789" t="s">
        <v>20</v>
      </c>
      <c r="I789">
        <v>1</v>
      </c>
      <c r="J789" t="s">
        <v>25</v>
      </c>
      <c r="K789" t="s">
        <v>35</v>
      </c>
      <c r="L789" t="str" cm="1">
        <f t="array" ref="L789">_xlfn.IFS(bike_buyers[[#This Row],[Age]]&gt;= 70, "senior citizen", bike_buyers[[#This Row],[Age]]&gt;=55, "middle age",  bike_buyers[[#This Row],[Age]]&gt;=40,"mature adult ", bike_buyers[[#This Row],[Age]]&gt;=30, "adults", bike_buyers[[#This Row],[Age]]&gt;= 20, "young adults")</f>
        <v>middle age</v>
      </c>
      <c r="M789">
        <v>59</v>
      </c>
      <c r="N789" t="s">
        <v>17</v>
      </c>
    </row>
    <row r="790" spans="1:14" x14ac:dyDescent="0.25">
      <c r="A790">
        <v>26270</v>
      </c>
      <c r="B790" t="s">
        <v>26</v>
      </c>
      <c r="C790" t="s">
        <v>14</v>
      </c>
      <c r="D790" s="1">
        <v>20000</v>
      </c>
      <c r="E790">
        <v>2</v>
      </c>
      <c r="F790" t="s">
        <v>33</v>
      </c>
      <c r="G790" t="s">
        <v>23</v>
      </c>
      <c r="H790" t="s">
        <v>17</v>
      </c>
      <c r="I790">
        <v>2</v>
      </c>
      <c r="J790" t="s">
        <v>30</v>
      </c>
      <c r="K790" t="s">
        <v>35</v>
      </c>
      <c r="L790" t="str" cm="1">
        <f t="array" ref="L790">_xlfn.IFS(bike_buyers[[#This Row],[Age]]&gt;= 70, "senior citizen", bike_buyers[[#This Row],[Age]]&gt;=55, "middle age",  bike_buyers[[#This Row],[Age]]&gt;=40,"mature adult ", bike_buyers[[#This Row],[Age]]&gt;=30, "adults", bike_buyers[[#This Row],[Age]]&gt;= 20, "young adults")</f>
        <v xml:space="preserve">mature adult </v>
      </c>
      <c r="M790">
        <v>49</v>
      </c>
      <c r="N790" t="s">
        <v>20</v>
      </c>
    </row>
    <row r="791" spans="1:14" x14ac:dyDescent="0.25">
      <c r="A791">
        <v>22221</v>
      </c>
      <c r="B791" t="s">
        <v>13</v>
      </c>
      <c r="C791" t="s">
        <v>21</v>
      </c>
      <c r="D791" s="1">
        <v>60000</v>
      </c>
      <c r="E791">
        <v>2</v>
      </c>
      <c r="F791" t="s">
        <v>31</v>
      </c>
      <c r="G791" t="s">
        <v>24</v>
      </c>
      <c r="H791" t="s">
        <v>20</v>
      </c>
      <c r="I791">
        <v>2</v>
      </c>
      <c r="J791" t="s">
        <v>30</v>
      </c>
      <c r="K791" t="s">
        <v>35</v>
      </c>
      <c r="L791" t="str" cm="1">
        <f t="array" ref="L791">_xlfn.IFS(bike_buyers[[#This Row],[Age]]&gt;= 70, "senior citizen", bike_buyers[[#This Row],[Age]]&gt;=55, "middle age",  bike_buyers[[#This Row],[Age]]&gt;=40,"mature adult ", bike_buyers[[#This Row],[Age]]&gt;=30, "adults", bike_buyers[[#This Row],[Age]]&gt;= 20, "young adults")</f>
        <v xml:space="preserve">mature adult </v>
      </c>
      <c r="M791">
        <v>48</v>
      </c>
      <c r="N791" t="s">
        <v>17</v>
      </c>
    </row>
    <row r="792" spans="1:14" x14ac:dyDescent="0.25">
      <c r="A792">
        <v>28228</v>
      </c>
      <c r="B792" t="s">
        <v>26</v>
      </c>
      <c r="C792" t="s">
        <v>14</v>
      </c>
      <c r="D792" s="1">
        <v>80000</v>
      </c>
      <c r="E792">
        <v>2</v>
      </c>
      <c r="F792" t="s">
        <v>33</v>
      </c>
      <c r="G792" t="s">
        <v>16</v>
      </c>
      <c r="H792" t="s">
        <v>20</v>
      </c>
      <c r="I792">
        <v>2</v>
      </c>
      <c r="J792" t="s">
        <v>30</v>
      </c>
      <c r="K792" t="s">
        <v>35</v>
      </c>
      <c r="L792" t="str" cm="1">
        <f t="array" ref="L792">_xlfn.IFS(bike_buyers[[#This Row],[Age]]&gt;= 70, "senior citizen", bike_buyers[[#This Row],[Age]]&gt;=55, "middle age",  bike_buyers[[#This Row],[Age]]&gt;=40,"mature adult ", bike_buyers[[#This Row],[Age]]&gt;=30, "adults", bike_buyers[[#This Row],[Age]]&gt;= 20, "young adults")</f>
        <v xml:space="preserve">mature adult </v>
      </c>
      <c r="M792">
        <v>50</v>
      </c>
      <c r="N792" t="s">
        <v>20</v>
      </c>
    </row>
    <row r="793" spans="1:14" x14ac:dyDescent="0.25">
      <c r="A793">
        <v>18363</v>
      </c>
      <c r="B793" t="s">
        <v>13</v>
      </c>
      <c r="C793" t="s">
        <v>21</v>
      </c>
      <c r="D793" s="1">
        <v>40000</v>
      </c>
      <c r="E793">
        <v>0</v>
      </c>
      <c r="F793" t="s">
        <v>31</v>
      </c>
      <c r="G793" t="s">
        <v>16</v>
      </c>
      <c r="H793" t="s">
        <v>17</v>
      </c>
      <c r="I793">
        <v>2</v>
      </c>
      <c r="J793" t="s">
        <v>27</v>
      </c>
      <c r="K793" t="s">
        <v>35</v>
      </c>
      <c r="L793" t="str" cm="1">
        <f t="array" ref="L793">_xlfn.IFS(bike_buyers[[#This Row],[Age]]&gt;= 70, "senior citizen", bike_buyers[[#This Row],[Age]]&gt;=55, "middle age",  bike_buyers[[#This Row],[Age]]&gt;=40,"mature adult ", bike_buyers[[#This Row],[Age]]&gt;=30, "adults", bike_buyers[[#This Row],[Age]]&gt;= 20, "young adults")</f>
        <v>young adults</v>
      </c>
      <c r="M793">
        <v>28</v>
      </c>
      <c r="N793" t="s">
        <v>17</v>
      </c>
    </row>
    <row r="794" spans="1:14" x14ac:dyDescent="0.25">
      <c r="A794">
        <v>23256</v>
      </c>
      <c r="B794" t="s">
        <v>26</v>
      </c>
      <c r="C794" t="s">
        <v>21</v>
      </c>
      <c r="D794" s="1">
        <v>30000</v>
      </c>
      <c r="E794">
        <v>1</v>
      </c>
      <c r="F794" t="s">
        <v>31</v>
      </c>
      <c r="G794" t="s">
        <v>23</v>
      </c>
      <c r="H794" t="s">
        <v>20</v>
      </c>
      <c r="I794">
        <v>1</v>
      </c>
      <c r="J794" t="s">
        <v>27</v>
      </c>
      <c r="K794" t="s">
        <v>35</v>
      </c>
      <c r="L794" t="str" cm="1">
        <f t="array" ref="L794">_xlfn.IFS(bike_buyers[[#This Row],[Age]]&gt;= 70, "senior citizen", bike_buyers[[#This Row],[Age]]&gt;=55, "middle age",  bike_buyers[[#This Row],[Age]]&gt;=40,"mature adult ", bike_buyers[[#This Row],[Age]]&gt;=30, "adults", bike_buyers[[#This Row],[Age]]&gt;= 20, "young adults")</f>
        <v xml:space="preserve">mature adult </v>
      </c>
      <c r="M794">
        <v>52</v>
      </c>
      <c r="N794" t="s">
        <v>20</v>
      </c>
    </row>
    <row r="795" spans="1:14" x14ac:dyDescent="0.25">
      <c r="A795">
        <v>12768</v>
      </c>
      <c r="B795" t="s">
        <v>13</v>
      </c>
      <c r="C795" t="s">
        <v>21</v>
      </c>
      <c r="D795" s="1">
        <v>30000</v>
      </c>
      <c r="E795">
        <v>1</v>
      </c>
      <c r="F795" t="s">
        <v>31</v>
      </c>
      <c r="G795" t="s">
        <v>23</v>
      </c>
      <c r="H795" t="s">
        <v>17</v>
      </c>
      <c r="I795">
        <v>1</v>
      </c>
      <c r="J795" t="s">
        <v>25</v>
      </c>
      <c r="K795" t="s">
        <v>35</v>
      </c>
      <c r="L795" t="str" cm="1">
        <f t="array" ref="L795">_xlfn.IFS(bike_buyers[[#This Row],[Age]]&gt;= 70, "senior citizen", bike_buyers[[#This Row],[Age]]&gt;=55, "middle age",  bike_buyers[[#This Row],[Age]]&gt;=40,"mature adult ", bike_buyers[[#This Row],[Age]]&gt;=30, "adults", bike_buyers[[#This Row],[Age]]&gt;= 20, "young adults")</f>
        <v xml:space="preserve">mature adult </v>
      </c>
      <c r="M795">
        <v>52</v>
      </c>
      <c r="N795" t="s">
        <v>17</v>
      </c>
    </row>
    <row r="796" spans="1:14" x14ac:dyDescent="0.25">
      <c r="A796">
        <v>20361</v>
      </c>
      <c r="B796" t="s">
        <v>13</v>
      </c>
      <c r="C796" t="s">
        <v>21</v>
      </c>
      <c r="D796" s="1">
        <v>50000</v>
      </c>
      <c r="E796">
        <v>2</v>
      </c>
      <c r="F796" t="s">
        <v>34</v>
      </c>
      <c r="G796" t="s">
        <v>32</v>
      </c>
      <c r="H796" t="s">
        <v>17</v>
      </c>
      <c r="I796">
        <v>2</v>
      </c>
      <c r="J796" t="s">
        <v>27</v>
      </c>
      <c r="K796" t="s">
        <v>35</v>
      </c>
      <c r="L796" t="str" cm="1">
        <f t="array" ref="L796">_xlfn.IFS(bike_buyers[[#This Row],[Age]]&gt;= 70, "senior citizen", bike_buyers[[#This Row],[Age]]&gt;=55, "middle age",  bike_buyers[[#This Row],[Age]]&gt;=40,"mature adult ", bike_buyers[[#This Row],[Age]]&gt;=30, "adults", bike_buyers[[#This Row],[Age]]&gt;= 20, "young adults")</f>
        <v>middle age</v>
      </c>
      <c r="M796">
        <v>69</v>
      </c>
      <c r="N796" t="s">
        <v>20</v>
      </c>
    </row>
    <row r="797" spans="1:14" x14ac:dyDescent="0.25">
      <c r="A797">
        <v>21306</v>
      </c>
      <c r="B797" t="s">
        <v>26</v>
      </c>
      <c r="C797" t="s">
        <v>21</v>
      </c>
      <c r="D797" s="1">
        <v>60000</v>
      </c>
      <c r="E797">
        <v>2</v>
      </c>
      <c r="F797" t="s">
        <v>31</v>
      </c>
      <c r="G797" t="s">
        <v>24</v>
      </c>
      <c r="H797" t="s">
        <v>17</v>
      </c>
      <c r="I797">
        <v>2</v>
      </c>
      <c r="J797" t="s">
        <v>27</v>
      </c>
      <c r="K797" t="s">
        <v>35</v>
      </c>
      <c r="L797" t="str" cm="1">
        <f t="array" ref="L797">_xlfn.IFS(bike_buyers[[#This Row],[Age]]&gt;= 70, "senior citizen", bike_buyers[[#This Row],[Age]]&gt;=55, "middle age",  bike_buyers[[#This Row],[Age]]&gt;=40,"mature adult ", bike_buyers[[#This Row],[Age]]&gt;=30, "adults", bike_buyers[[#This Row],[Age]]&gt;= 20, "young adults")</f>
        <v xml:space="preserve">mature adult </v>
      </c>
      <c r="M797">
        <v>51</v>
      </c>
      <c r="N797" t="s">
        <v>20</v>
      </c>
    </row>
    <row r="798" spans="1:14" x14ac:dyDescent="0.25">
      <c r="A798">
        <v>13382</v>
      </c>
      <c r="B798" t="s">
        <v>13</v>
      </c>
      <c r="C798" t="s">
        <v>21</v>
      </c>
      <c r="D798" s="1">
        <v>70000</v>
      </c>
      <c r="E798">
        <v>5</v>
      </c>
      <c r="F798" t="s">
        <v>22</v>
      </c>
      <c r="G798" t="s">
        <v>24</v>
      </c>
      <c r="H798" t="s">
        <v>17</v>
      </c>
      <c r="I798">
        <v>2</v>
      </c>
      <c r="J798" t="s">
        <v>30</v>
      </c>
      <c r="K798" t="s">
        <v>35</v>
      </c>
      <c r="L798" t="str" cm="1">
        <f t="array" ref="L798">_xlfn.IFS(bike_buyers[[#This Row],[Age]]&gt;= 70, "senior citizen", bike_buyers[[#This Row],[Age]]&gt;=55, "middle age",  bike_buyers[[#This Row],[Age]]&gt;=40,"mature adult ", bike_buyers[[#This Row],[Age]]&gt;=30, "adults", bike_buyers[[#This Row],[Age]]&gt;= 20, "young adults")</f>
        <v>middle age</v>
      </c>
      <c r="M798">
        <v>57</v>
      </c>
      <c r="N798" t="s">
        <v>17</v>
      </c>
    </row>
    <row r="799" spans="1:14" x14ac:dyDescent="0.25">
      <c r="A799">
        <v>20310</v>
      </c>
      <c r="B799" t="s">
        <v>26</v>
      </c>
      <c r="C799" t="s">
        <v>21</v>
      </c>
      <c r="D799" s="1">
        <v>60000</v>
      </c>
      <c r="E799">
        <v>0</v>
      </c>
      <c r="F799" t="s">
        <v>22</v>
      </c>
      <c r="G799" t="s">
        <v>16</v>
      </c>
      <c r="H799" t="s">
        <v>17</v>
      </c>
      <c r="I799">
        <v>1</v>
      </c>
      <c r="J799" t="s">
        <v>27</v>
      </c>
      <c r="K799" t="s">
        <v>35</v>
      </c>
      <c r="L799" t="str" cm="1">
        <f t="array" ref="L799">_xlfn.IFS(bike_buyers[[#This Row],[Age]]&gt;= 70, "senior citizen", bike_buyers[[#This Row],[Age]]&gt;=55, "middle age",  bike_buyers[[#This Row],[Age]]&gt;=40,"mature adult ", bike_buyers[[#This Row],[Age]]&gt;=30, "adults", bike_buyers[[#This Row],[Age]]&gt;= 20, "young adults")</f>
        <v>young adults</v>
      </c>
      <c r="M799">
        <v>27</v>
      </c>
      <c r="N799" t="s">
        <v>17</v>
      </c>
    </row>
    <row r="800" spans="1:14" x14ac:dyDescent="0.25">
      <c r="A800">
        <v>22971</v>
      </c>
      <c r="B800" t="s">
        <v>26</v>
      </c>
      <c r="C800" t="s">
        <v>14</v>
      </c>
      <c r="D800" s="1">
        <v>30000</v>
      </c>
      <c r="E800">
        <v>0</v>
      </c>
      <c r="F800" t="s">
        <v>31</v>
      </c>
      <c r="G800" t="s">
        <v>16</v>
      </c>
      <c r="H800" t="s">
        <v>20</v>
      </c>
      <c r="I800">
        <v>2</v>
      </c>
      <c r="J800" t="s">
        <v>18</v>
      </c>
      <c r="K800" t="s">
        <v>35</v>
      </c>
      <c r="L800" t="str" cm="1">
        <f t="array" ref="L800">_xlfn.IFS(bike_buyers[[#This Row],[Age]]&gt;= 70, "senior citizen", bike_buyers[[#This Row],[Age]]&gt;=55, "middle age",  bike_buyers[[#This Row],[Age]]&gt;=40,"mature adult ", bike_buyers[[#This Row],[Age]]&gt;=30, "adults", bike_buyers[[#This Row],[Age]]&gt;= 20, "young adults")</f>
        <v>young adults</v>
      </c>
      <c r="M800">
        <v>25</v>
      </c>
      <c r="N800" t="s">
        <v>17</v>
      </c>
    </row>
    <row r="801" spans="1:14" x14ac:dyDescent="0.25">
      <c r="A801">
        <v>15287</v>
      </c>
      <c r="B801" t="s">
        <v>26</v>
      </c>
      <c r="C801" t="s">
        <v>14</v>
      </c>
      <c r="D801" s="1">
        <v>50000</v>
      </c>
      <c r="E801">
        <v>1</v>
      </c>
      <c r="F801" t="s">
        <v>34</v>
      </c>
      <c r="G801" t="s">
        <v>16</v>
      </c>
      <c r="H801" t="s">
        <v>17</v>
      </c>
      <c r="I801">
        <v>0</v>
      </c>
      <c r="J801" t="s">
        <v>30</v>
      </c>
      <c r="K801" t="s">
        <v>35</v>
      </c>
      <c r="L801" t="str" cm="1">
        <f t="array" ref="L801">_xlfn.IFS(bike_buyers[[#This Row],[Age]]&gt;= 70, "senior citizen", bike_buyers[[#This Row],[Age]]&gt;=55, "middle age",  bike_buyers[[#This Row],[Age]]&gt;=40,"mature adult ", bike_buyers[[#This Row],[Age]]&gt;=30, "adults", bike_buyers[[#This Row],[Age]]&gt;= 20, "young adults")</f>
        <v>adults</v>
      </c>
      <c r="M801">
        <v>33</v>
      </c>
      <c r="N801" t="s">
        <v>17</v>
      </c>
    </row>
    <row r="802" spans="1:14" x14ac:dyDescent="0.25">
      <c r="A802">
        <v>15532</v>
      </c>
      <c r="B802" t="s">
        <v>26</v>
      </c>
      <c r="C802" t="s">
        <v>21</v>
      </c>
      <c r="D802" s="1">
        <v>60000</v>
      </c>
      <c r="E802">
        <v>4</v>
      </c>
      <c r="F802" t="s">
        <v>15</v>
      </c>
      <c r="G802" t="s">
        <v>24</v>
      </c>
      <c r="H802" t="s">
        <v>17</v>
      </c>
      <c r="I802">
        <v>2</v>
      </c>
      <c r="J802" t="s">
        <v>25</v>
      </c>
      <c r="K802" t="s">
        <v>35</v>
      </c>
      <c r="L802" t="str" cm="1">
        <f t="array" ref="L802">_xlfn.IFS(bike_buyers[[#This Row],[Age]]&gt;= 70, "senior citizen", bike_buyers[[#This Row],[Age]]&gt;=55, "middle age",  bike_buyers[[#This Row],[Age]]&gt;=40,"mature adult ", bike_buyers[[#This Row],[Age]]&gt;=30, "adults", bike_buyers[[#This Row],[Age]]&gt;= 20, "young adults")</f>
        <v xml:space="preserve">mature adult </v>
      </c>
      <c r="M802">
        <v>43</v>
      </c>
      <c r="N802" t="s">
        <v>17</v>
      </c>
    </row>
    <row r="803" spans="1:14" x14ac:dyDescent="0.25">
      <c r="A803">
        <v>11255</v>
      </c>
      <c r="B803" t="s">
        <v>13</v>
      </c>
      <c r="C803" t="s">
        <v>21</v>
      </c>
      <c r="D803" s="1">
        <v>70000</v>
      </c>
      <c r="E803">
        <v>4</v>
      </c>
      <c r="F803" t="s">
        <v>34</v>
      </c>
      <c r="G803" t="s">
        <v>32</v>
      </c>
      <c r="H803" t="s">
        <v>17</v>
      </c>
      <c r="I803">
        <v>2</v>
      </c>
      <c r="J803" t="s">
        <v>27</v>
      </c>
      <c r="K803" t="s">
        <v>35</v>
      </c>
      <c r="L803" t="str" cm="1">
        <f t="array" ref="L803">_xlfn.IFS(bike_buyers[[#This Row],[Age]]&gt;= 70, "senior citizen", bike_buyers[[#This Row],[Age]]&gt;=55, "middle age",  bike_buyers[[#This Row],[Age]]&gt;=40,"mature adult ", bike_buyers[[#This Row],[Age]]&gt;=30, "adults", bike_buyers[[#This Row],[Age]]&gt;= 20, "young adults")</f>
        <v>senior citizen</v>
      </c>
      <c r="M803">
        <v>73</v>
      </c>
      <c r="N803" t="s">
        <v>20</v>
      </c>
    </row>
    <row r="804" spans="1:14" x14ac:dyDescent="0.25">
      <c r="A804">
        <v>28090</v>
      </c>
      <c r="B804" t="s">
        <v>13</v>
      </c>
      <c r="C804" t="s">
        <v>21</v>
      </c>
      <c r="D804" s="1">
        <v>40000</v>
      </c>
      <c r="E804">
        <v>0</v>
      </c>
      <c r="F804" t="s">
        <v>22</v>
      </c>
      <c r="G804" t="s">
        <v>16</v>
      </c>
      <c r="H804" t="s">
        <v>17</v>
      </c>
      <c r="I804">
        <v>1</v>
      </c>
      <c r="J804" t="s">
        <v>27</v>
      </c>
      <c r="K804" t="s">
        <v>35</v>
      </c>
      <c r="L804" t="str" cm="1">
        <f t="array" ref="L804">_xlfn.IFS(bike_buyers[[#This Row],[Age]]&gt;= 70, "senior citizen", bike_buyers[[#This Row],[Age]]&gt;=55, "middle age",  bike_buyers[[#This Row],[Age]]&gt;=40,"mature adult ", bike_buyers[[#This Row],[Age]]&gt;=30, "adults", bike_buyers[[#This Row],[Age]]&gt;= 20, "young adults")</f>
        <v>young adults</v>
      </c>
      <c r="M804">
        <v>27</v>
      </c>
      <c r="N804" t="s">
        <v>20</v>
      </c>
    </row>
    <row r="805" spans="1:14" x14ac:dyDescent="0.25">
      <c r="A805">
        <v>15255</v>
      </c>
      <c r="B805" t="s">
        <v>13</v>
      </c>
      <c r="C805" t="s">
        <v>21</v>
      </c>
      <c r="D805" s="1">
        <v>40000</v>
      </c>
      <c r="E805">
        <v>0</v>
      </c>
      <c r="F805" t="s">
        <v>31</v>
      </c>
      <c r="G805" t="s">
        <v>16</v>
      </c>
      <c r="H805" t="s">
        <v>17</v>
      </c>
      <c r="I805">
        <v>2</v>
      </c>
      <c r="J805" t="s">
        <v>27</v>
      </c>
      <c r="K805" t="s">
        <v>35</v>
      </c>
      <c r="L805" t="str" cm="1">
        <f t="array" ref="L805">_xlfn.IFS(bike_buyers[[#This Row],[Age]]&gt;= 70, "senior citizen", bike_buyers[[#This Row],[Age]]&gt;=55, "middle age",  bike_buyers[[#This Row],[Age]]&gt;=40,"mature adult ", bike_buyers[[#This Row],[Age]]&gt;=30, "adults", bike_buyers[[#This Row],[Age]]&gt;= 20, "young adults")</f>
        <v>young adults</v>
      </c>
      <c r="M805">
        <v>28</v>
      </c>
      <c r="N805" t="s">
        <v>17</v>
      </c>
    </row>
    <row r="806" spans="1:14" x14ac:dyDescent="0.25">
      <c r="A806">
        <v>13154</v>
      </c>
      <c r="B806" t="s">
        <v>13</v>
      </c>
      <c r="C806" t="s">
        <v>21</v>
      </c>
      <c r="D806" s="1">
        <v>40000</v>
      </c>
      <c r="E806">
        <v>0</v>
      </c>
      <c r="F806" t="s">
        <v>31</v>
      </c>
      <c r="G806" t="s">
        <v>16</v>
      </c>
      <c r="H806" t="s">
        <v>20</v>
      </c>
      <c r="I806">
        <v>2</v>
      </c>
      <c r="J806" t="s">
        <v>18</v>
      </c>
      <c r="K806" t="s">
        <v>35</v>
      </c>
      <c r="L806" t="str" cm="1">
        <f t="array" ref="L806">_xlfn.IFS(bike_buyers[[#This Row],[Age]]&gt;= 70, "senior citizen", bike_buyers[[#This Row],[Age]]&gt;=55, "middle age",  bike_buyers[[#This Row],[Age]]&gt;=40,"mature adult ", bike_buyers[[#This Row],[Age]]&gt;=30, "adults", bike_buyers[[#This Row],[Age]]&gt;= 20, "young adults")</f>
        <v>young adults</v>
      </c>
      <c r="M806">
        <v>27</v>
      </c>
      <c r="N806" t="s">
        <v>17</v>
      </c>
    </row>
    <row r="807" spans="1:14" x14ac:dyDescent="0.25">
      <c r="A807">
        <v>26778</v>
      </c>
      <c r="B807" t="s">
        <v>26</v>
      </c>
      <c r="C807" t="s">
        <v>14</v>
      </c>
      <c r="D807" s="1">
        <v>40000</v>
      </c>
      <c r="E807">
        <v>0</v>
      </c>
      <c r="F807" t="s">
        <v>31</v>
      </c>
      <c r="G807" t="s">
        <v>16</v>
      </c>
      <c r="H807" t="s">
        <v>17</v>
      </c>
      <c r="I807">
        <v>2</v>
      </c>
      <c r="J807" t="s">
        <v>27</v>
      </c>
      <c r="K807" t="s">
        <v>35</v>
      </c>
      <c r="L807" t="str" cm="1">
        <f t="array" ref="L807">_xlfn.IFS(bike_buyers[[#This Row],[Age]]&gt;= 70, "senior citizen", bike_buyers[[#This Row],[Age]]&gt;=55, "middle age",  bike_buyers[[#This Row],[Age]]&gt;=40,"mature adult ", bike_buyers[[#This Row],[Age]]&gt;=30, "adults", bike_buyers[[#This Row],[Age]]&gt;= 20, "young adults")</f>
        <v>adults</v>
      </c>
      <c r="M807">
        <v>31</v>
      </c>
      <c r="N807" t="s">
        <v>20</v>
      </c>
    </row>
    <row r="808" spans="1:14" x14ac:dyDescent="0.25">
      <c r="A808">
        <v>23248</v>
      </c>
      <c r="B808" t="s">
        <v>13</v>
      </c>
      <c r="C808" t="s">
        <v>14</v>
      </c>
      <c r="D808" s="1">
        <v>10000</v>
      </c>
      <c r="E808">
        <v>2</v>
      </c>
      <c r="F808" t="s">
        <v>31</v>
      </c>
      <c r="G808" t="s">
        <v>29</v>
      </c>
      <c r="H808" t="s">
        <v>17</v>
      </c>
      <c r="I808">
        <v>2</v>
      </c>
      <c r="J808" t="s">
        <v>30</v>
      </c>
      <c r="K808" t="s">
        <v>35</v>
      </c>
      <c r="L808" t="str" cm="1">
        <f t="array" ref="L808">_xlfn.IFS(bike_buyers[[#This Row],[Age]]&gt;= 70, "senior citizen", bike_buyers[[#This Row],[Age]]&gt;=55, "middle age",  bike_buyers[[#This Row],[Age]]&gt;=40,"mature adult ", bike_buyers[[#This Row],[Age]]&gt;=30, "adults", bike_buyers[[#This Row],[Age]]&gt;= 20, "young adults")</f>
        <v xml:space="preserve">mature adult </v>
      </c>
      <c r="M808">
        <v>53</v>
      </c>
      <c r="N808" t="s">
        <v>20</v>
      </c>
    </row>
    <row r="809" spans="1:14" x14ac:dyDescent="0.25">
      <c r="A809">
        <v>21417</v>
      </c>
      <c r="B809" t="s">
        <v>26</v>
      </c>
      <c r="C809" t="s">
        <v>14</v>
      </c>
      <c r="D809" s="1">
        <v>60000</v>
      </c>
      <c r="E809">
        <v>0</v>
      </c>
      <c r="F809" t="s">
        <v>22</v>
      </c>
      <c r="G809" t="s">
        <v>24</v>
      </c>
      <c r="H809" t="s">
        <v>20</v>
      </c>
      <c r="I809">
        <v>2</v>
      </c>
      <c r="J809" t="s">
        <v>30</v>
      </c>
      <c r="K809" t="s">
        <v>35</v>
      </c>
      <c r="L809" t="str" cm="1">
        <f t="array" ref="L809">_xlfn.IFS(bike_buyers[[#This Row],[Age]]&gt;= 70, "senior citizen", bike_buyers[[#This Row],[Age]]&gt;=55, "middle age",  bike_buyers[[#This Row],[Age]]&gt;=40,"mature adult ", bike_buyers[[#This Row],[Age]]&gt;=30, "adults", bike_buyers[[#This Row],[Age]]&gt;= 20, "young adults")</f>
        <v>adults</v>
      </c>
      <c r="M809">
        <v>32</v>
      </c>
      <c r="N809" t="s">
        <v>17</v>
      </c>
    </row>
    <row r="810" spans="1:14" x14ac:dyDescent="0.25">
      <c r="A810">
        <v>17668</v>
      </c>
      <c r="B810" t="s">
        <v>26</v>
      </c>
      <c r="C810" t="s">
        <v>21</v>
      </c>
      <c r="D810" s="1">
        <v>30000</v>
      </c>
      <c r="E810">
        <v>2</v>
      </c>
      <c r="F810" t="s">
        <v>31</v>
      </c>
      <c r="G810" t="s">
        <v>16</v>
      </c>
      <c r="H810" t="s">
        <v>17</v>
      </c>
      <c r="I810">
        <v>2</v>
      </c>
      <c r="J810" t="s">
        <v>30</v>
      </c>
      <c r="K810" t="s">
        <v>35</v>
      </c>
      <c r="L810" t="str" cm="1">
        <f t="array" ref="L810">_xlfn.IFS(bike_buyers[[#This Row],[Age]]&gt;= 70, "senior citizen", bike_buyers[[#This Row],[Age]]&gt;=55, "middle age",  bike_buyers[[#This Row],[Age]]&gt;=40,"mature adult ", bike_buyers[[#This Row],[Age]]&gt;=30, "adults", bike_buyers[[#This Row],[Age]]&gt;= 20, "young adults")</f>
        <v xml:space="preserve">mature adult </v>
      </c>
      <c r="M810">
        <v>50</v>
      </c>
      <c r="N810" t="s">
        <v>17</v>
      </c>
    </row>
    <row r="811" spans="1:14" x14ac:dyDescent="0.25">
      <c r="A811">
        <v>27994</v>
      </c>
      <c r="B811" t="s">
        <v>13</v>
      </c>
      <c r="C811" t="s">
        <v>14</v>
      </c>
      <c r="D811" s="1">
        <v>40000</v>
      </c>
      <c r="E811">
        <v>4</v>
      </c>
      <c r="F811" t="s">
        <v>31</v>
      </c>
      <c r="G811" t="s">
        <v>24</v>
      </c>
      <c r="H811" t="s">
        <v>17</v>
      </c>
      <c r="I811">
        <v>2</v>
      </c>
      <c r="J811" t="s">
        <v>27</v>
      </c>
      <c r="K811" t="s">
        <v>35</v>
      </c>
      <c r="L811" t="str" cm="1">
        <f t="array" ref="L811">_xlfn.IFS(bike_buyers[[#This Row],[Age]]&gt;= 70, "senior citizen", bike_buyers[[#This Row],[Age]]&gt;=55, "middle age",  bike_buyers[[#This Row],[Age]]&gt;=40,"mature adult ", bike_buyers[[#This Row],[Age]]&gt;=30, "adults", bike_buyers[[#This Row],[Age]]&gt;= 20, "young adults")</f>
        <v>middle age</v>
      </c>
      <c r="M811">
        <v>69</v>
      </c>
      <c r="N811" t="s">
        <v>20</v>
      </c>
    </row>
    <row r="812" spans="1:14" x14ac:dyDescent="0.25">
      <c r="A812">
        <v>20376</v>
      </c>
      <c r="B812" t="s">
        <v>26</v>
      </c>
      <c r="C812" t="s">
        <v>14</v>
      </c>
      <c r="D812" s="1">
        <v>70000</v>
      </c>
      <c r="E812">
        <v>3</v>
      </c>
      <c r="F812" t="s">
        <v>34</v>
      </c>
      <c r="G812" t="s">
        <v>32</v>
      </c>
      <c r="H812" t="s">
        <v>17</v>
      </c>
      <c r="I812">
        <v>2</v>
      </c>
      <c r="J812" t="s">
        <v>27</v>
      </c>
      <c r="K812" t="s">
        <v>35</v>
      </c>
      <c r="L812" t="str" cm="1">
        <f t="array" ref="L812">_xlfn.IFS(bike_buyers[[#This Row],[Age]]&gt;= 70, "senior citizen", bike_buyers[[#This Row],[Age]]&gt;=55, "middle age",  bike_buyers[[#This Row],[Age]]&gt;=40,"mature adult ", bike_buyers[[#This Row],[Age]]&gt;=30, "adults", bike_buyers[[#This Row],[Age]]&gt;= 20, "young adults")</f>
        <v xml:space="preserve">mature adult </v>
      </c>
      <c r="M812">
        <v>52</v>
      </c>
      <c r="N812" t="s">
        <v>17</v>
      </c>
    </row>
    <row r="813" spans="1:14" x14ac:dyDescent="0.25">
      <c r="A813">
        <v>25954</v>
      </c>
      <c r="B813" t="s">
        <v>13</v>
      </c>
      <c r="C813" t="s">
        <v>21</v>
      </c>
      <c r="D813" s="1">
        <v>60000</v>
      </c>
      <c r="E813">
        <v>0</v>
      </c>
      <c r="F813" t="s">
        <v>22</v>
      </c>
      <c r="G813" t="s">
        <v>16</v>
      </c>
      <c r="H813" t="s">
        <v>20</v>
      </c>
      <c r="I813">
        <v>2</v>
      </c>
      <c r="J813" t="s">
        <v>30</v>
      </c>
      <c r="K813" t="s">
        <v>35</v>
      </c>
      <c r="L813" t="str" cm="1">
        <f t="array" ref="L813">_xlfn.IFS(bike_buyers[[#This Row],[Age]]&gt;= 70, "senior citizen", bike_buyers[[#This Row],[Age]]&gt;=55, "middle age",  bike_buyers[[#This Row],[Age]]&gt;=40,"mature adult ", bike_buyers[[#This Row],[Age]]&gt;=30, "adults", bike_buyers[[#This Row],[Age]]&gt;= 20, "young adults")</f>
        <v>adults</v>
      </c>
      <c r="M813">
        <v>31</v>
      </c>
      <c r="N813" t="s">
        <v>20</v>
      </c>
    </row>
    <row r="814" spans="1:14" x14ac:dyDescent="0.25">
      <c r="A814">
        <v>15749</v>
      </c>
      <c r="B814" t="s">
        <v>26</v>
      </c>
      <c r="C814" t="s">
        <v>14</v>
      </c>
      <c r="D814" s="1">
        <v>70000</v>
      </c>
      <c r="E814">
        <v>4</v>
      </c>
      <c r="F814" t="s">
        <v>15</v>
      </c>
      <c r="G814" t="s">
        <v>32</v>
      </c>
      <c r="H814" t="s">
        <v>17</v>
      </c>
      <c r="I814">
        <v>2</v>
      </c>
      <c r="J814" t="s">
        <v>41</v>
      </c>
      <c r="K814" t="s">
        <v>35</v>
      </c>
      <c r="L814" t="str" cm="1">
        <f t="array" ref="L814">_xlfn.IFS(bike_buyers[[#This Row],[Age]]&gt;= 70, "senior citizen", bike_buyers[[#This Row],[Age]]&gt;=55, "middle age",  bike_buyers[[#This Row],[Age]]&gt;=40,"mature adult ", bike_buyers[[#This Row],[Age]]&gt;=30, "adults", bike_buyers[[#This Row],[Age]]&gt;= 20, "young adults")</f>
        <v>middle age</v>
      </c>
      <c r="M814">
        <v>61</v>
      </c>
      <c r="N814" t="s">
        <v>20</v>
      </c>
    </row>
    <row r="815" spans="1:14" x14ac:dyDescent="0.25">
      <c r="A815">
        <v>25899</v>
      </c>
      <c r="B815" t="s">
        <v>13</v>
      </c>
      <c r="C815" t="s">
        <v>14</v>
      </c>
      <c r="D815" s="1">
        <v>70000</v>
      </c>
      <c r="E815">
        <v>2</v>
      </c>
      <c r="F815" t="s">
        <v>31</v>
      </c>
      <c r="G815" t="s">
        <v>24</v>
      </c>
      <c r="H815" t="s">
        <v>17</v>
      </c>
      <c r="I815">
        <v>2</v>
      </c>
      <c r="J815" t="s">
        <v>41</v>
      </c>
      <c r="K815" t="s">
        <v>35</v>
      </c>
      <c r="L815" t="str" cm="1">
        <f t="array" ref="L815">_xlfn.IFS(bike_buyers[[#This Row],[Age]]&gt;= 70, "senior citizen", bike_buyers[[#This Row],[Age]]&gt;=55, "middle age",  bike_buyers[[#This Row],[Age]]&gt;=40,"mature adult ", bike_buyers[[#This Row],[Age]]&gt;=30, "adults", bike_buyers[[#This Row],[Age]]&gt;= 20, "young adults")</f>
        <v xml:space="preserve">mature adult </v>
      </c>
      <c r="M815">
        <v>53</v>
      </c>
      <c r="N815" t="s">
        <v>20</v>
      </c>
    </row>
    <row r="816" spans="1:14" x14ac:dyDescent="0.25">
      <c r="A816">
        <v>13351</v>
      </c>
      <c r="B816" t="s">
        <v>26</v>
      </c>
      <c r="C816" t="s">
        <v>14</v>
      </c>
      <c r="D816" s="1">
        <v>70000</v>
      </c>
      <c r="E816">
        <v>4</v>
      </c>
      <c r="F816" t="s">
        <v>15</v>
      </c>
      <c r="G816" t="s">
        <v>32</v>
      </c>
      <c r="H816" t="s">
        <v>17</v>
      </c>
      <c r="I816">
        <v>2</v>
      </c>
      <c r="J816" t="s">
        <v>30</v>
      </c>
      <c r="K816" t="s">
        <v>35</v>
      </c>
      <c r="L816" t="str" cm="1">
        <f t="array" ref="L816">_xlfn.IFS(bike_buyers[[#This Row],[Age]]&gt;= 70, "senior citizen", bike_buyers[[#This Row],[Age]]&gt;=55, "middle age",  bike_buyers[[#This Row],[Age]]&gt;=40,"mature adult ", bike_buyers[[#This Row],[Age]]&gt;=30, "adults", bike_buyers[[#This Row],[Age]]&gt;= 20, "young adults")</f>
        <v>middle age</v>
      </c>
      <c r="M816">
        <v>62</v>
      </c>
      <c r="N816" t="s">
        <v>17</v>
      </c>
    </row>
    <row r="817" spans="1:14" x14ac:dyDescent="0.25">
      <c r="A817">
        <v>23333</v>
      </c>
      <c r="B817" t="s">
        <v>13</v>
      </c>
      <c r="C817" t="s">
        <v>21</v>
      </c>
      <c r="D817" s="1">
        <v>40000</v>
      </c>
      <c r="E817">
        <v>0</v>
      </c>
      <c r="F817" t="s">
        <v>22</v>
      </c>
      <c r="G817" t="s">
        <v>16</v>
      </c>
      <c r="H817" t="s">
        <v>20</v>
      </c>
      <c r="I817">
        <v>2</v>
      </c>
      <c r="J817" t="s">
        <v>30</v>
      </c>
      <c r="K817" t="s">
        <v>35</v>
      </c>
      <c r="L817" t="str" cm="1">
        <f t="array" ref="L817">_xlfn.IFS(bike_buyers[[#This Row],[Age]]&gt;= 70, "senior citizen", bike_buyers[[#This Row],[Age]]&gt;=55, "middle age",  bike_buyers[[#This Row],[Age]]&gt;=40,"mature adult ", bike_buyers[[#This Row],[Age]]&gt;=30, "adults", bike_buyers[[#This Row],[Age]]&gt;= 20, "young adults")</f>
        <v>adults</v>
      </c>
      <c r="M817">
        <v>30</v>
      </c>
      <c r="N817" t="s">
        <v>20</v>
      </c>
    </row>
    <row r="818" spans="1:14" x14ac:dyDescent="0.25">
      <c r="A818">
        <v>21660</v>
      </c>
      <c r="B818" t="s">
        <v>13</v>
      </c>
      <c r="C818" t="s">
        <v>14</v>
      </c>
      <c r="D818" s="1">
        <v>60000</v>
      </c>
      <c r="E818">
        <v>3</v>
      </c>
      <c r="F818" t="s">
        <v>34</v>
      </c>
      <c r="G818" t="s">
        <v>24</v>
      </c>
      <c r="H818" t="s">
        <v>17</v>
      </c>
      <c r="I818">
        <v>0</v>
      </c>
      <c r="J818" t="s">
        <v>25</v>
      </c>
      <c r="K818" t="s">
        <v>35</v>
      </c>
      <c r="L818" t="str" cm="1">
        <f t="array" ref="L818">_xlfn.IFS(bike_buyers[[#This Row],[Age]]&gt;= 70, "senior citizen", bike_buyers[[#This Row],[Age]]&gt;=55, "middle age",  bike_buyers[[#This Row],[Age]]&gt;=40,"mature adult ", bike_buyers[[#This Row],[Age]]&gt;=30, "adults", bike_buyers[[#This Row],[Age]]&gt;= 20, "young adults")</f>
        <v xml:space="preserve">mature adult </v>
      </c>
      <c r="M818">
        <v>43</v>
      </c>
      <c r="N818" t="s">
        <v>17</v>
      </c>
    </row>
    <row r="819" spans="1:14" x14ac:dyDescent="0.25">
      <c r="A819">
        <v>17012</v>
      </c>
      <c r="B819" t="s">
        <v>13</v>
      </c>
      <c r="C819" t="s">
        <v>14</v>
      </c>
      <c r="D819" s="1">
        <v>60000</v>
      </c>
      <c r="E819">
        <v>3</v>
      </c>
      <c r="F819" t="s">
        <v>34</v>
      </c>
      <c r="G819" t="s">
        <v>24</v>
      </c>
      <c r="H819" t="s">
        <v>17</v>
      </c>
      <c r="I819">
        <v>0</v>
      </c>
      <c r="J819" t="s">
        <v>25</v>
      </c>
      <c r="K819" t="s">
        <v>35</v>
      </c>
      <c r="L819" t="str" cm="1">
        <f t="array" ref="L819">_xlfn.IFS(bike_buyers[[#This Row],[Age]]&gt;= 70, "senior citizen", bike_buyers[[#This Row],[Age]]&gt;=55, "middle age",  bike_buyers[[#This Row],[Age]]&gt;=40,"mature adult ", bike_buyers[[#This Row],[Age]]&gt;=30, "adults", bike_buyers[[#This Row],[Age]]&gt;= 20, "young adults")</f>
        <v xml:space="preserve">mature adult </v>
      </c>
      <c r="M819">
        <v>42</v>
      </c>
      <c r="N819" t="s">
        <v>17</v>
      </c>
    </row>
    <row r="820" spans="1:14" x14ac:dyDescent="0.25">
      <c r="A820">
        <v>24514</v>
      </c>
      <c r="B820" t="s">
        <v>13</v>
      </c>
      <c r="C820" t="s">
        <v>21</v>
      </c>
      <c r="D820" s="1">
        <v>40000</v>
      </c>
      <c r="E820">
        <v>0</v>
      </c>
      <c r="F820" t="s">
        <v>22</v>
      </c>
      <c r="G820" t="s">
        <v>16</v>
      </c>
      <c r="H820" t="s">
        <v>17</v>
      </c>
      <c r="I820">
        <v>1</v>
      </c>
      <c r="J820" t="s">
        <v>27</v>
      </c>
      <c r="K820" t="s">
        <v>35</v>
      </c>
      <c r="L820" t="str" cm="1">
        <f t="array" ref="L820">_xlfn.IFS(bike_buyers[[#This Row],[Age]]&gt;= 70, "senior citizen", bike_buyers[[#This Row],[Age]]&gt;=55, "middle age",  bike_buyers[[#This Row],[Age]]&gt;=40,"mature adult ", bike_buyers[[#This Row],[Age]]&gt;=30, "adults", bike_buyers[[#This Row],[Age]]&gt;= 20, "young adults")</f>
        <v>adults</v>
      </c>
      <c r="M820">
        <v>30</v>
      </c>
      <c r="N820" t="s">
        <v>20</v>
      </c>
    </row>
    <row r="821" spans="1:14" x14ac:dyDescent="0.25">
      <c r="A821">
        <v>27505</v>
      </c>
      <c r="B821" t="s">
        <v>26</v>
      </c>
      <c r="C821" t="s">
        <v>14</v>
      </c>
      <c r="D821" s="1">
        <v>40000</v>
      </c>
      <c r="E821">
        <v>0</v>
      </c>
      <c r="F821" t="s">
        <v>31</v>
      </c>
      <c r="G821" t="s">
        <v>16</v>
      </c>
      <c r="H821" t="s">
        <v>17</v>
      </c>
      <c r="I821">
        <v>2</v>
      </c>
      <c r="J821" t="s">
        <v>27</v>
      </c>
      <c r="K821" t="s">
        <v>35</v>
      </c>
      <c r="L821" t="str" cm="1">
        <f t="array" ref="L821">_xlfn.IFS(bike_buyers[[#This Row],[Age]]&gt;= 70, "senior citizen", bike_buyers[[#This Row],[Age]]&gt;=55, "middle age",  bike_buyers[[#This Row],[Age]]&gt;=40,"mature adult ", bike_buyers[[#This Row],[Age]]&gt;=30, "adults", bike_buyers[[#This Row],[Age]]&gt;= 20, "young adults")</f>
        <v>adults</v>
      </c>
      <c r="M821">
        <v>30</v>
      </c>
      <c r="N821" t="s">
        <v>20</v>
      </c>
    </row>
    <row r="822" spans="1:14" x14ac:dyDescent="0.25">
      <c r="A822">
        <v>29243</v>
      </c>
      <c r="B822" t="s">
        <v>26</v>
      </c>
      <c r="C822" t="s">
        <v>21</v>
      </c>
      <c r="D822" s="1">
        <v>110000</v>
      </c>
      <c r="E822">
        <v>1</v>
      </c>
      <c r="F822" t="s">
        <v>15</v>
      </c>
      <c r="G822" t="s">
        <v>32</v>
      </c>
      <c r="H822" t="s">
        <v>17</v>
      </c>
      <c r="I822">
        <v>1</v>
      </c>
      <c r="J822" t="s">
        <v>27</v>
      </c>
      <c r="K822" t="s">
        <v>35</v>
      </c>
      <c r="L822" t="str" cm="1">
        <f t="array" ref="L822">_xlfn.IFS(bike_buyers[[#This Row],[Age]]&gt;= 70, "senior citizen", bike_buyers[[#This Row],[Age]]&gt;=55, "middle age",  bike_buyers[[#This Row],[Age]]&gt;=40,"mature adult ", bike_buyers[[#This Row],[Age]]&gt;=30, "adults", bike_buyers[[#This Row],[Age]]&gt;= 20, "young adults")</f>
        <v xml:space="preserve">mature adult </v>
      </c>
      <c r="M822">
        <v>43</v>
      </c>
      <c r="N822" t="s">
        <v>20</v>
      </c>
    </row>
    <row r="823" spans="1:14" x14ac:dyDescent="0.25">
      <c r="A823">
        <v>26582</v>
      </c>
      <c r="B823" t="s">
        <v>13</v>
      </c>
      <c r="C823" t="s">
        <v>21</v>
      </c>
      <c r="D823" s="1">
        <v>60000</v>
      </c>
      <c r="E823">
        <v>0</v>
      </c>
      <c r="F823" t="s">
        <v>22</v>
      </c>
      <c r="G823" t="s">
        <v>16</v>
      </c>
      <c r="H823" t="s">
        <v>17</v>
      </c>
      <c r="I823">
        <v>2</v>
      </c>
      <c r="J823" t="s">
        <v>27</v>
      </c>
      <c r="K823" t="s">
        <v>35</v>
      </c>
      <c r="L823" t="str" cm="1">
        <f t="array" ref="L823">_xlfn.IFS(bike_buyers[[#This Row],[Age]]&gt;= 70, "senior citizen", bike_buyers[[#This Row],[Age]]&gt;=55, "middle age",  bike_buyers[[#This Row],[Age]]&gt;=40,"mature adult ", bike_buyers[[#This Row],[Age]]&gt;=30, "adults", bike_buyers[[#This Row],[Age]]&gt;= 20, "young adults")</f>
        <v>adults</v>
      </c>
      <c r="M823">
        <v>33</v>
      </c>
      <c r="N823" t="s">
        <v>17</v>
      </c>
    </row>
    <row r="824" spans="1:14" x14ac:dyDescent="0.25">
      <c r="A824">
        <v>14271</v>
      </c>
      <c r="B824" t="s">
        <v>13</v>
      </c>
      <c r="C824" t="s">
        <v>21</v>
      </c>
      <c r="D824" s="1">
        <v>30000</v>
      </c>
      <c r="E824">
        <v>0</v>
      </c>
      <c r="F824" t="s">
        <v>31</v>
      </c>
      <c r="G824" t="s">
        <v>16</v>
      </c>
      <c r="H824" t="s">
        <v>17</v>
      </c>
      <c r="I824">
        <v>2</v>
      </c>
      <c r="J824" t="s">
        <v>27</v>
      </c>
      <c r="K824" t="s">
        <v>35</v>
      </c>
      <c r="L824" t="str" cm="1">
        <f t="array" ref="L824">_xlfn.IFS(bike_buyers[[#This Row],[Age]]&gt;= 70, "senior citizen", bike_buyers[[#This Row],[Age]]&gt;=55, "middle age",  bike_buyers[[#This Row],[Age]]&gt;=40,"mature adult ", bike_buyers[[#This Row],[Age]]&gt;=30, "adults", bike_buyers[[#This Row],[Age]]&gt;= 20, "young adults")</f>
        <v>adults</v>
      </c>
      <c r="M824">
        <v>32</v>
      </c>
      <c r="N824" t="s">
        <v>20</v>
      </c>
    </row>
    <row r="825" spans="1:14" x14ac:dyDescent="0.25">
      <c r="A825">
        <v>23041</v>
      </c>
      <c r="B825" t="s">
        <v>26</v>
      </c>
      <c r="C825" t="s">
        <v>14</v>
      </c>
      <c r="D825" s="1">
        <v>70000</v>
      </c>
      <c r="E825">
        <v>4</v>
      </c>
      <c r="F825" t="s">
        <v>31</v>
      </c>
      <c r="G825" t="s">
        <v>24</v>
      </c>
      <c r="H825" t="s">
        <v>17</v>
      </c>
      <c r="I825">
        <v>0</v>
      </c>
      <c r="J825" t="s">
        <v>27</v>
      </c>
      <c r="K825" t="s">
        <v>35</v>
      </c>
      <c r="L825" t="str" cm="1">
        <f t="array" ref="L825">_xlfn.IFS(bike_buyers[[#This Row],[Age]]&gt;= 70, "senior citizen", bike_buyers[[#This Row],[Age]]&gt;=55, "middle age",  bike_buyers[[#This Row],[Age]]&gt;=40,"mature adult ", bike_buyers[[#This Row],[Age]]&gt;=30, "adults", bike_buyers[[#This Row],[Age]]&gt;= 20, "young adults")</f>
        <v xml:space="preserve">mature adult </v>
      </c>
      <c r="M825">
        <v>50</v>
      </c>
      <c r="N825" t="s">
        <v>17</v>
      </c>
    </row>
    <row r="826" spans="1:14" x14ac:dyDescent="0.25">
      <c r="A826">
        <v>29048</v>
      </c>
      <c r="B826" t="s">
        <v>26</v>
      </c>
      <c r="C826" t="s">
        <v>21</v>
      </c>
      <c r="D826" s="1">
        <v>110000</v>
      </c>
      <c r="E826">
        <v>2</v>
      </c>
      <c r="F826" t="s">
        <v>15</v>
      </c>
      <c r="G826" t="s">
        <v>32</v>
      </c>
      <c r="H826" t="s">
        <v>20</v>
      </c>
      <c r="I826">
        <v>3</v>
      </c>
      <c r="J826" t="s">
        <v>18</v>
      </c>
      <c r="K826" t="s">
        <v>35</v>
      </c>
      <c r="L826" t="str" cm="1">
        <f t="array" ref="L826">_xlfn.IFS(bike_buyers[[#This Row],[Age]]&gt;= 70, "senior citizen", bike_buyers[[#This Row],[Age]]&gt;=55, "middle age",  bike_buyers[[#This Row],[Age]]&gt;=40,"mature adult ", bike_buyers[[#This Row],[Age]]&gt;=30, "adults", bike_buyers[[#This Row],[Age]]&gt;= 20, "young adults")</f>
        <v>adults</v>
      </c>
      <c r="M826">
        <v>37</v>
      </c>
      <c r="N826" t="s">
        <v>17</v>
      </c>
    </row>
    <row r="827" spans="1:14" x14ac:dyDescent="0.25">
      <c r="A827">
        <v>24433</v>
      </c>
      <c r="B827" t="s">
        <v>13</v>
      </c>
      <c r="C827" t="s">
        <v>21</v>
      </c>
      <c r="D827" s="1">
        <v>70000</v>
      </c>
      <c r="E827">
        <v>3</v>
      </c>
      <c r="F827" t="s">
        <v>31</v>
      </c>
      <c r="G827" t="s">
        <v>24</v>
      </c>
      <c r="H827" t="s">
        <v>20</v>
      </c>
      <c r="I827">
        <v>1</v>
      </c>
      <c r="J827" t="s">
        <v>30</v>
      </c>
      <c r="K827" t="s">
        <v>35</v>
      </c>
      <c r="L827" t="str" cm="1">
        <f t="array" ref="L827">_xlfn.IFS(bike_buyers[[#This Row],[Age]]&gt;= 70, "senior citizen", bike_buyers[[#This Row],[Age]]&gt;=55, "middle age",  bike_buyers[[#This Row],[Age]]&gt;=40,"mature adult ", bike_buyers[[#This Row],[Age]]&gt;=30, "adults", bike_buyers[[#This Row],[Age]]&gt;= 20, "young adults")</f>
        <v xml:space="preserve">mature adult </v>
      </c>
      <c r="M827">
        <v>52</v>
      </c>
      <c r="N827" t="s">
        <v>17</v>
      </c>
    </row>
    <row r="828" spans="1:14" x14ac:dyDescent="0.25">
      <c r="A828">
        <v>15501</v>
      </c>
      <c r="B828" t="s">
        <v>13</v>
      </c>
      <c r="C828" t="s">
        <v>21</v>
      </c>
      <c r="D828" s="1">
        <v>70000</v>
      </c>
      <c r="E828">
        <v>4</v>
      </c>
      <c r="F828" t="s">
        <v>34</v>
      </c>
      <c r="G828" t="s">
        <v>24</v>
      </c>
      <c r="H828" t="s">
        <v>17</v>
      </c>
      <c r="I828">
        <v>0</v>
      </c>
      <c r="J828" t="s">
        <v>25</v>
      </c>
      <c r="K828" t="s">
        <v>35</v>
      </c>
      <c r="L828" t="str" cm="1">
        <f t="array" ref="L828">_xlfn.IFS(bike_buyers[[#This Row],[Age]]&gt;= 70, "senior citizen", bike_buyers[[#This Row],[Age]]&gt;=55, "middle age",  bike_buyers[[#This Row],[Age]]&gt;=40,"mature adult ", bike_buyers[[#This Row],[Age]]&gt;=30, "adults", bike_buyers[[#This Row],[Age]]&gt;= 20, "young adults")</f>
        <v>adults</v>
      </c>
      <c r="M828">
        <v>36</v>
      </c>
      <c r="N828" t="s">
        <v>17</v>
      </c>
    </row>
    <row r="829" spans="1:14" x14ac:dyDescent="0.25">
      <c r="A829">
        <v>13911</v>
      </c>
      <c r="B829" t="s">
        <v>26</v>
      </c>
      <c r="C829" t="s">
        <v>14</v>
      </c>
      <c r="D829" s="1">
        <v>80000</v>
      </c>
      <c r="E829">
        <v>3</v>
      </c>
      <c r="F829" t="s">
        <v>15</v>
      </c>
      <c r="G829" t="s">
        <v>16</v>
      </c>
      <c r="H829" t="s">
        <v>17</v>
      </c>
      <c r="I829">
        <v>2</v>
      </c>
      <c r="J829" t="s">
        <v>25</v>
      </c>
      <c r="K829" t="s">
        <v>35</v>
      </c>
      <c r="L829" t="str" cm="1">
        <f t="array" ref="L829">_xlfn.IFS(bike_buyers[[#This Row],[Age]]&gt;= 70, "senior citizen", bike_buyers[[#This Row],[Age]]&gt;=55, "middle age",  bike_buyers[[#This Row],[Age]]&gt;=40,"mature adult ", bike_buyers[[#This Row],[Age]]&gt;=30, "adults", bike_buyers[[#This Row],[Age]]&gt;= 20, "young adults")</f>
        <v xml:space="preserve">mature adult </v>
      </c>
      <c r="M829">
        <v>41</v>
      </c>
      <c r="N829" t="s">
        <v>17</v>
      </c>
    </row>
    <row r="830" spans="1:14" x14ac:dyDescent="0.25">
      <c r="A830">
        <v>20421</v>
      </c>
      <c r="B830" t="s">
        <v>26</v>
      </c>
      <c r="C830" t="s">
        <v>14</v>
      </c>
      <c r="D830" s="1">
        <v>40000</v>
      </c>
      <c r="E830">
        <v>0</v>
      </c>
      <c r="F830" t="s">
        <v>33</v>
      </c>
      <c r="G830" t="s">
        <v>23</v>
      </c>
      <c r="H830" t="s">
        <v>17</v>
      </c>
      <c r="I830">
        <v>2</v>
      </c>
      <c r="J830" t="s">
        <v>27</v>
      </c>
      <c r="K830" t="s">
        <v>35</v>
      </c>
      <c r="L830" t="str" cm="1">
        <f t="array" ref="L830">_xlfn.IFS(bike_buyers[[#This Row],[Age]]&gt;= 70, "senior citizen", bike_buyers[[#This Row],[Age]]&gt;=55, "middle age",  bike_buyers[[#This Row],[Age]]&gt;=40,"mature adult ", bike_buyers[[#This Row],[Age]]&gt;=30, "adults", bike_buyers[[#This Row],[Age]]&gt;= 20, "young adults")</f>
        <v>young adults</v>
      </c>
      <c r="M830">
        <v>26</v>
      </c>
      <c r="N830" t="s">
        <v>20</v>
      </c>
    </row>
    <row r="831" spans="1:14" x14ac:dyDescent="0.25">
      <c r="A831">
        <v>16009</v>
      </c>
      <c r="B831" t="s">
        <v>26</v>
      </c>
      <c r="C831" t="s">
        <v>21</v>
      </c>
      <c r="D831" s="1">
        <v>170000</v>
      </c>
      <c r="E831">
        <v>1</v>
      </c>
      <c r="F831" t="s">
        <v>34</v>
      </c>
      <c r="G831" t="s">
        <v>32</v>
      </c>
      <c r="H831" t="s">
        <v>20</v>
      </c>
      <c r="I831">
        <v>4</v>
      </c>
      <c r="J831" t="s">
        <v>18</v>
      </c>
      <c r="K831" t="s">
        <v>35</v>
      </c>
      <c r="L831" t="str" cm="1">
        <f t="array" ref="L831">_xlfn.IFS(bike_buyers[[#This Row],[Age]]&gt;= 70, "senior citizen", bike_buyers[[#This Row],[Age]]&gt;=55, "middle age",  bike_buyers[[#This Row],[Age]]&gt;=40,"mature adult ", bike_buyers[[#This Row],[Age]]&gt;=30, "adults", bike_buyers[[#This Row],[Age]]&gt;= 20, "young adults")</f>
        <v>middle age</v>
      </c>
      <c r="M831">
        <v>66</v>
      </c>
      <c r="N831" t="s">
        <v>20</v>
      </c>
    </row>
    <row r="832" spans="1:14" x14ac:dyDescent="0.25">
      <c r="A832">
        <v>18411</v>
      </c>
      <c r="B832" t="s">
        <v>13</v>
      </c>
      <c r="C832" t="s">
        <v>21</v>
      </c>
      <c r="D832" s="1">
        <v>60000</v>
      </c>
      <c r="E832">
        <v>2</v>
      </c>
      <c r="F832" t="s">
        <v>31</v>
      </c>
      <c r="G832" t="s">
        <v>24</v>
      </c>
      <c r="H832" t="s">
        <v>20</v>
      </c>
      <c r="I832">
        <v>2</v>
      </c>
      <c r="J832" t="s">
        <v>27</v>
      </c>
      <c r="K832" t="s">
        <v>35</v>
      </c>
      <c r="L832" t="str" cm="1">
        <f t="array" ref="L832">_xlfn.IFS(bike_buyers[[#This Row],[Age]]&gt;= 70, "senior citizen", bike_buyers[[#This Row],[Age]]&gt;=55, "middle age",  bike_buyers[[#This Row],[Age]]&gt;=40,"mature adult ", bike_buyers[[#This Row],[Age]]&gt;=30, "adults", bike_buyers[[#This Row],[Age]]&gt;= 20, "young adults")</f>
        <v xml:space="preserve">mature adult </v>
      </c>
      <c r="M832">
        <v>51</v>
      </c>
      <c r="N832" t="s">
        <v>20</v>
      </c>
    </row>
    <row r="833" spans="1:14" x14ac:dyDescent="0.25">
      <c r="A833">
        <v>19163</v>
      </c>
      <c r="B833" t="s">
        <v>13</v>
      </c>
      <c r="C833" t="s">
        <v>14</v>
      </c>
      <c r="D833" s="1">
        <v>70000</v>
      </c>
      <c r="E833">
        <v>4</v>
      </c>
      <c r="F833" t="s">
        <v>15</v>
      </c>
      <c r="G833" t="s">
        <v>24</v>
      </c>
      <c r="H833" t="s">
        <v>17</v>
      </c>
      <c r="I833">
        <v>2</v>
      </c>
      <c r="J833" t="s">
        <v>18</v>
      </c>
      <c r="K833" t="s">
        <v>35</v>
      </c>
      <c r="L833" t="str" cm="1">
        <f t="array" ref="L833">_xlfn.IFS(bike_buyers[[#This Row],[Age]]&gt;= 70, "senior citizen", bike_buyers[[#This Row],[Age]]&gt;=55, "middle age",  bike_buyers[[#This Row],[Age]]&gt;=40,"mature adult ", bike_buyers[[#This Row],[Age]]&gt;=30, "adults", bike_buyers[[#This Row],[Age]]&gt;= 20, "young adults")</f>
        <v xml:space="preserve">mature adult </v>
      </c>
      <c r="M833">
        <v>43</v>
      </c>
      <c r="N833" t="s">
        <v>17</v>
      </c>
    </row>
    <row r="834" spans="1:14" x14ac:dyDescent="0.25">
      <c r="A834">
        <v>18572</v>
      </c>
      <c r="B834" t="s">
        <v>13</v>
      </c>
      <c r="C834" t="s">
        <v>14</v>
      </c>
      <c r="D834" s="1">
        <v>60000</v>
      </c>
      <c r="E834">
        <v>0</v>
      </c>
      <c r="F834" t="s">
        <v>34</v>
      </c>
      <c r="G834" t="s">
        <v>24</v>
      </c>
      <c r="H834" t="s">
        <v>17</v>
      </c>
      <c r="I834">
        <v>0</v>
      </c>
      <c r="J834" t="s">
        <v>18</v>
      </c>
      <c r="K834" t="s">
        <v>35</v>
      </c>
      <c r="L834" t="str" cm="1">
        <f t="array" ref="L834">_xlfn.IFS(bike_buyers[[#This Row],[Age]]&gt;= 70, "senior citizen", bike_buyers[[#This Row],[Age]]&gt;=55, "middle age",  bike_buyers[[#This Row],[Age]]&gt;=40,"mature adult ", bike_buyers[[#This Row],[Age]]&gt;=30, "adults", bike_buyers[[#This Row],[Age]]&gt;= 20, "young adults")</f>
        <v>adults</v>
      </c>
      <c r="M834">
        <v>39</v>
      </c>
      <c r="N834" t="s">
        <v>20</v>
      </c>
    </row>
    <row r="835" spans="1:14" x14ac:dyDescent="0.25">
      <c r="A835">
        <v>27540</v>
      </c>
      <c r="B835" t="s">
        <v>26</v>
      </c>
      <c r="C835" t="s">
        <v>14</v>
      </c>
      <c r="D835" s="1">
        <v>70000</v>
      </c>
      <c r="E835">
        <v>0</v>
      </c>
      <c r="F835" t="s">
        <v>15</v>
      </c>
      <c r="G835" t="s">
        <v>24</v>
      </c>
      <c r="H835" t="s">
        <v>20</v>
      </c>
      <c r="I835">
        <v>1</v>
      </c>
      <c r="J835" t="s">
        <v>18</v>
      </c>
      <c r="K835" t="s">
        <v>35</v>
      </c>
      <c r="L835" t="str" cm="1">
        <f t="array" ref="L835">_xlfn.IFS(bike_buyers[[#This Row],[Age]]&gt;= 70, "senior citizen", bike_buyers[[#This Row],[Age]]&gt;=55, "middle age",  bike_buyers[[#This Row],[Age]]&gt;=40,"mature adult ", bike_buyers[[#This Row],[Age]]&gt;=30, "adults", bike_buyers[[#This Row],[Age]]&gt;= 20, "young adults")</f>
        <v>adults</v>
      </c>
      <c r="M835">
        <v>37</v>
      </c>
      <c r="N835" t="s">
        <v>17</v>
      </c>
    </row>
    <row r="836" spans="1:14" x14ac:dyDescent="0.25">
      <c r="A836">
        <v>19889</v>
      </c>
      <c r="B836" t="s">
        <v>26</v>
      </c>
      <c r="C836" t="s">
        <v>14</v>
      </c>
      <c r="D836" s="1">
        <v>70000</v>
      </c>
      <c r="E836">
        <v>2</v>
      </c>
      <c r="F836" t="s">
        <v>33</v>
      </c>
      <c r="G836" t="s">
        <v>16</v>
      </c>
      <c r="H836" t="s">
        <v>20</v>
      </c>
      <c r="I836">
        <v>2</v>
      </c>
      <c r="J836" t="s">
        <v>25</v>
      </c>
      <c r="K836" t="s">
        <v>35</v>
      </c>
      <c r="L836" t="str" cm="1">
        <f t="array" ref="L836">_xlfn.IFS(bike_buyers[[#This Row],[Age]]&gt;= 70, "senior citizen", bike_buyers[[#This Row],[Age]]&gt;=55, "middle age",  bike_buyers[[#This Row],[Age]]&gt;=40,"mature adult ", bike_buyers[[#This Row],[Age]]&gt;=30, "adults", bike_buyers[[#This Row],[Age]]&gt;= 20, "young adults")</f>
        <v xml:space="preserve">mature adult </v>
      </c>
      <c r="M836">
        <v>54</v>
      </c>
      <c r="N836" t="s">
        <v>17</v>
      </c>
    </row>
    <row r="837" spans="1:14" x14ac:dyDescent="0.25">
      <c r="A837">
        <v>12922</v>
      </c>
      <c r="B837" t="s">
        <v>26</v>
      </c>
      <c r="C837" t="s">
        <v>14</v>
      </c>
      <c r="D837" s="1">
        <v>60000</v>
      </c>
      <c r="E837">
        <v>3</v>
      </c>
      <c r="F837" t="s">
        <v>15</v>
      </c>
      <c r="G837" t="s">
        <v>16</v>
      </c>
      <c r="H837" t="s">
        <v>17</v>
      </c>
      <c r="I837">
        <v>0</v>
      </c>
      <c r="J837" t="s">
        <v>25</v>
      </c>
      <c r="K837" t="s">
        <v>35</v>
      </c>
      <c r="L837" t="str" cm="1">
        <f t="array" ref="L837">_xlfn.IFS(bike_buyers[[#This Row],[Age]]&gt;= 70, "senior citizen", bike_buyers[[#This Row],[Age]]&gt;=55, "middle age",  bike_buyers[[#This Row],[Age]]&gt;=40,"mature adult ", bike_buyers[[#This Row],[Age]]&gt;=30, "adults", bike_buyers[[#This Row],[Age]]&gt;= 20, "young adults")</f>
        <v xml:space="preserve">mature adult </v>
      </c>
      <c r="M837">
        <v>40</v>
      </c>
      <c r="N837" t="s">
        <v>17</v>
      </c>
    </row>
    <row r="838" spans="1:14" x14ac:dyDescent="0.25">
      <c r="A838">
        <v>18891</v>
      </c>
      <c r="B838" t="s">
        <v>13</v>
      </c>
      <c r="C838" t="s">
        <v>14</v>
      </c>
      <c r="D838" s="1">
        <v>40000</v>
      </c>
      <c r="E838">
        <v>0</v>
      </c>
      <c r="F838" t="s">
        <v>22</v>
      </c>
      <c r="G838" t="s">
        <v>16</v>
      </c>
      <c r="H838" t="s">
        <v>17</v>
      </c>
      <c r="I838">
        <v>2</v>
      </c>
      <c r="J838" t="s">
        <v>27</v>
      </c>
      <c r="K838" t="s">
        <v>35</v>
      </c>
      <c r="L838" t="str" cm="1">
        <f t="array" ref="L838">_xlfn.IFS(bike_buyers[[#This Row],[Age]]&gt;= 70, "senior citizen", bike_buyers[[#This Row],[Age]]&gt;=55, "middle age",  bike_buyers[[#This Row],[Age]]&gt;=40,"mature adult ", bike_buyers[[#This Row],[Age]]&gt;=30, "adults", bike_buyers[[#This Row],[Age]]&gt;= 20, "young adults")</f>
        <v>young adults</v>
      </c>
      <c r="M838">
        <v>28</v>
      </c>
      <c r="N838" t="s">
        <v>20</v>
      </c>
    </row>
    <row r="839" spans="1:14" x14ac:dyDescent="0.25">
      <c r="A839">
        <v>16773</v>
      </c>
      <c r="B839" t="s">
        <v>13</v>
      </c>
      <c r="C839" t="s">
        <v>21</v>
      </c>
      <c r="D839" s="1">
        <v>60000</v>
      </c>
      <c r="E839">
        <v>1</v>
      </c>
      <c r="F839" t="s">
        <v>34</v>
      </c>
      <c r="G839" t="s">
        <v>16</v>
      </c>
      <c r="H839" t="s">
        <v>17</v>
      </c>
      <c r="I839">
        <v>0</v>
      </c>
      <c r="J839" t="s">
        <v>18</v>
      </c>
      <c r="K839" t="s">
        <v>35</v>
      </c>
      <c r="L839" t="str" cm="1">
        <f t="array" ref="L839">_xlfn.IFS(bike_buyers[[#This Row],[Age]]&gt;= 70, "senior citizen", bike_buyers[[#This Row],[Age]]&gt;=55, "middle age",  bike_buyers[[#This Row],[Age]]&gt;=40,"mature adult ", bike_buyers[[#This Row],[Age]]&gt;=30, "adults", bike_buyers[[#This Row],[Age]]&gt;= 20, "young adults")</f>
        <v>adults</v>
      </c>
      <c r="M839">
        <v>33</v>
      </c>
      <c r="N839" t="s">
        <v>20</v>
      </c>
    </row>
    <row r="840" spans="1:14" x14ac:dyDescent="0.25">
      <c r="A840">
        <v>19143</v>
      </c>
      <c r="B840" t="s">
        <v>26</v>
      </c>
      <c r="C840" t="s">
        <v>14</v>
      </c>
      <c r="D840" s="1">
        <v>80000</v>
      </c>
      <c r="E840">
        <v>3</v>
      </c>
      <c r="F840" t="s">
        <v>15</v>
      </c>
      <c r="G840" t="s">
        <v>16</v>
      </c>
      <c r="H840" t="s">
        <v>17</v>
      </c>
      <c r="I840">
        <v>2</v>
      </c>
      <c r="J840" t="s">
        <v>25</v>
      </c>
      <c r="K840" t="s">
        <v>35</v>
      </c>
      <c r="L840" t="str" cm="1">
        <f t="array" ref="L840">_xlfn.IFS(bike_buyers[[#This Row],[Age]]&gt;= 70, "senior citizen", bike_buyers[[#This Row],[Age]]&gt;=55, "middle age",  bike_buyers[[#This Row],[Age]]&gt;=40,"mature adult ", bike_buyers[[#This Row],[Age]]&gt;=30, "adults", bike_buyers[[#This Row],[Age]]&gt;= 20, "young adults")</f>
        <v xml:space="preserve">mature adult </v>
      </c>
      <c r="M840">
        <v>41</v>
      </c>
      <c r="N840" t="s">
        <v>17</v>
      </c>
    </row>
    <row r="841" spans="1:14" x14ac:dyDescent="0.25">
      <c r="A841">
        <v>23882</v>
      </c>
      <c r="B841" t="s">
        <v>26</v>
      </c>
      <c r="C841" t="s">
        <v>14</v>
      </c>
      <c r="D841" s="1">
        <v>80000</v>
      </c>
      <c r="E841">
        <v>3</v>
      </c>
      <c r="F841" t="s">
        <v>34</v>
      </c>
      <c r="G841" t="s">
        <v>24</v>
      </c>
      <c r="H841" t="s">
        <v>17</v>
      </c>
      <c r="I841">
        <v>0</v>
      </c>
      <c r="J841" t="s">
        <v>18</v>
      </c>
      <c r="K841" t="s">
        <v>35</v>
      </c>
      <c r="L841" t="str" cm="1">
        <f t="array" ref="L841">_xlfn.IFS(bike_buyers[[#This Row],[Age]]&gt;= 70, "senior citizen", bike_buyers[[#This Row],[Age]]&gt;=55, "middle age",  bike_buyers[[#This Row],[Age]]&gt;=40,"mature adult ", bike_buyers[[#This Row],[Age]]&gt;=30, "adults", bike_buyers[[#This Row],[Age]]&gt;= 20, "young adults")</f>
        <v>adults</v>
      </c>
      <c r="M841">
        <v>37</v>
      </c>
      <c r="N841" t="s">
        <v>17</v>
      </c>
    </row>
    <row r="842" spans="1:14" x14ac:dyDescent="0.25">
      <c r="A842">
        <v>11233</v>
      </c>
      <c r="B842" t="s">
        <v>13</v>
      </c>
      <c r="C842" t="s">
        <v>21</v>
      </c>
      <c r="D842" s="1">
        <v>70000</v>
      </c>
      <c r="E842">
        <v>4</v>
      </c>
      <c r="F842" t="s">
        <v>22</v>
      </c>
      <c r="G842" t="s">
        <v>24</v>
      </c>
      <c r="H842" t="s">
        <v>17</v>
      </c>
      <c r="I842">
        <v>2</v>
      </c>
      <c r="J842" t="s">
        <v>41</v>
      </c>
      <c r="K842" t="s">
        <v>35</v>
      </c>
      <c r="L842" t="str" cm="1">
        <f t="array" ref="L842">_xlfn.IFS(bike_buyers[[#This Row],[Age]]&gt;= 70, "senior citizen", bike_buyers[[#This Row],[Age]]&gt;=55, "middle age",  bike_buyers[[#This Row],[Age]]&gt;=40,"mature adult ", bike_buyers[[#This Row],[Age]]&gt;=30, "adults", bike_buyers[[#This Row],[Age]]&gt;= 20, "young adults")</f>
        <v xml:space="preserve">mature adult </v>
      </c>
      <c r="M842">
        <v>53</v>
      </c>
      <c r="N842" t="s">
        <v>20</v>
      </c>
    </row>
    <row r="843" spans="1:14" x14ac:dyDescent="0.25">
      <c r="A843">
        <v>12056</v>
      </c>
      <c r="B843" t="s">
        <v>13</v>
      </c>
      <c r="C843" t="s">
        <v>21</v>
      </c>
      <c r="D843" s="1">
        <v>120000</v>
      </c>
      <c r="E843">
        <v>2</v>
      </c>
      <c r="F843" t="s">
        <v>34</v>
      </c>
      <c r="G843" t="s">
        <v>32</v>
      </c>
      <c r="H843" t="s">
        <v>17</v>
      </c>
      <c r="I843">
        <v>3</v>
      </c>
      <c r="J843" t="s">
        <v>27</v>
      </c>
      <c r="K843" t="s">
        <v>35</v>
      </c>
      <c r="L843" t="str" cm="1">
        <f t="array" ref="L843">_xlfn.IFS(bike_buyers[[#This Row],[Age]]&gt;= 70, "senior citizen", bike_buyers[[#This Row],[Age]]&gt;=55, "middle age",  bike_buyers[[#This Row],[Age]]&gt;=40,"mature adult ", bike_buyers[[#This Row],[Age]]&gt;=30, "adults", bike_buyers[[#This Row],[Age]]&gt;= 20, "young adults")</f>
        <v>middle age</v>
      </c>
      <c r="M843">
        <v>64</v>
      </c>
      <c r="N843" t="s">
        <v>20</v>
      </c>
    </row>
    <row r="844" spans="1:14" x14ac:dyDescent="0.25">
      <c r="A844">
        <v>15555</v>
      </c>
      <c r="B844" t="s">
        <v>13</v>
      </c>
      <c r="C844" t="s">
        <v>14</v>
      </c>
      <c r="D844" s="1">
        <v>60000</v>
      </c>
      <c r="E844">
        <v>1</v>
      </c>
      <c r="F844" t="s">
        <v>22</v>
      </c>
      <c r="G844" t="s">
        <v>16</v>
      </c>
      <c r="H844" t="s">
        <v>17</v>
      </c>
      <c r="I844">
        <v>1</v>
      </c>
      <c r="J844" t="s">
        <v>25</v>
      </c>
      <c r="K844" t="s">
        <v>35</v>
      </c>
      <c r="L844" t="str" cm="1">
        <f t="array" ref="L844">_xlfn.IFS(bike_buyers[[#This Row],[Age]]&gt;= 70, "senior citizen", bike_buyers[[#This Row],[Age]]&gt;=55, "middle age",  bike_buyers[[#This Row],[Age]]&gt;=40,"mature adult ", bike_buyers[[#This Row],[Age]]&gt;=30, "adults", bike_buyers[[#This Row],[Age]]&gt;= 20, "young adults")</f>
        <v xml:space="preserve">mature adult </v>
      </c>
      <c r="M844">
        <v>45</v>
      </c>
      <c r="N844" t="s">
        <v>17</v>
      </c>
    </row>
    <row r="845" spans="1:14" x14ac:dyDescent="0.25">
      <c r="A845">
        <v>18423</v>
      </c>
      <c r="B845" t="s">
        <v>26</v>
      </c>
      <c r="C845" t="s">
        <v>21</v>
      </c>
      <c r="D845" s="1">
        <v>80000</v>
      </c>
      <c r="E845">
        <v>2</v>
      </c>
      <c r="F845" t="s">
        <v>33</v>
      </c>
      <c r="G845" t="s">
        <v>16</v>
      </c>
      <c r="H845" t="s">
        <v>20</v>
      </c>
      <c r="I845">
        <v>2</v>
      </c>
      <c r="J845" t="s">
        <v>30</v>
      </c>
      <c r="K845" t="s">
        <v>35</v>
      </c>
      <c r="L845" t="str" cm="1">
        <f t="array" ref="L845">_xlfn.IFS(bike_buyers[[#This Row],[Age]]&gt;= 70, "senior citizen", bike_buyers[[#This Row],[Age]]&gt;=55, "middle age",  bike_buyers[[#This Row],[Age]]&gt;=40,"mature adult ", bike_buyers[[#This Row],[Age]]&gt;=30, "adults", bike_buyers[[#This Row],[Age]]&gt;= 20, "young adults")</f>
        <v xml:space="preserve">mature adult </v>
      </c>
      <c r="M845">
        <v>52</v>
      </c>
      <c r="N845" t="s">
        <v>20</v>
      </c>
    </row>
    <row r="846" spans="1:14" x14ac:dyDescent="0.25">
      <c r="A846">
        <v>22743</v>
      </c>
      <c r="B846" t="s">
        <v>13</v>
      </c>
      <c r="C846" t="s">
        <v>14</v>
      </c>
      <c r="D846" s="1">
        <v>40000</v>
      </c>
      <c r="E846">
        <v>5</v>
      </c>
      <c r="F846" t="s">
        <v>31</v>
      </c>
      <c r="G846" t="s">
        <v>24</v>
      </c>
      <c r="H846" t="s">
        <v>17</v>
      </c>
      <c r="I846">
        <v>2</v>
      </c>
      <c r="J846" t="s">
        <v>41</v>
      </c>
      <c r="K846" t="s">
        <v>35</v>
      </c>
      <c r="L846" t="str" cm="1">
        <f t="array" ref="L846">_xlfn.IFS(bike_buyers[[#This Row],[Age]]&gt;= 70, "senior citizen", bike_buyers[[#This Row],[Age]]&gt;=55, "middle age",  bike_buyers[[#This Row],[Age]]&gt;=40,"mature adult ", bike_buyers[[#This Row],[Age]]&gt;=30, "adults", bike_buyers[[#This Row],[Age]]&gt;= 20, "young adults")</f>
        <v>middle age</v>
      </c>
      <c r="M846">
        <v>60</v>
      </c>
      <c r="N846" t="s">
        <v>20</v>
      </c>
    </row>
    <row r="847" spans="1:14" x14ac:dyDescent="0.25">
      <c r="A847">
        <v>25343</v>
      </c>
      <c r="B847" t="s">
        <v>26</v>
      </c>
      <c r="C847" t="s">
        <v>14</v>
      </c>
      <c r="D847" s="1">
        <v>20000</v>
      </c>
      <c r="E847">
        <v>3</v>
      </c>
      <c r="F847" t="s">
        <v>33</v>
      </c>
      <c r="G847" t="s">
        <v>23</v>
      </c>
      <c r="H847" t="s">
        <v>17</v>
      </c>
      <c r="I847">
        <v>2</v>
      </c>
      <c r="J847" t="s">
        <v>30</v>
      </c>
      <c r="K847" t="s">
        <v>35</v>
      </c>
      <c r="L847" t="str" cm="1">
        <f t="array" ref="L847">_xlfn.IFS(bike_buyers[[#This Row],[Age]]&gt;= 70, "senior citizen", bike_buyers[[#This Row],[Age]]&gt;=55, "middle age",  bike_buyers[[#This Row],[Age]]&gt;=40,"mature adult ", bike_buyers[[#This Row],[Age]]&gt;=30, "adults", bike_buyers[[#This Row],[Age]]&gt;= 20, "young adults")</f>
        <v xml:space="preserve">mature adult </v>
      </c>
      <c r="M847">
        <v>50</v>
      </c>
      <c r="N847" t="s">
        <v>20</v>
      </c>
    </row>
    <row r="848" spans="1:14" x14ac:dyDescent="0.25">
      <c r="A848">
        <v>13390</v>
      </c>
      <c r="B848" t="s">
        <v>13</v>
      </c>
      <c r="C848" t="s">
        <v>14</v>
      </c>
      <c r="D848" s="1">
        <v>70000</v>
      </c>
      <c r="E848">
        <v>4</v>
      </c>
      <c r="F848" t="s">
        <v>22</v>
      </c>
      <c r="G848" t="s">
        <v>24</v>
      </c>
      <c r="H848" t="s">
        <v>20</v>
      </c>
      <c r="I848">
        <v>1</v>
      </c>
      <c r="J848" t="s">
        <v>30</v>
      </c>
      <c r="K848" t="s">
        <v>35</v>
      </c>
      <c r="L848" t="str" cm="1">
        <f t="array" ref="L848">_xlfn.IFS(bike_buyers[[#This Row],[Age]]&gt;= 70, "senior citizen", bike_buyers[[#This Row],[Age]]&gt;=55, "middle age",  bike_buyers[[#This Row],[Age]]&gt;=40,"mature adult ", bike_buyers[[#This Row],[Age]]&gt;=30, "adults", bike_buyers[[#This Row],[Age]]&gt;= 20, "young adults")</f>
        <v>middle age</v>
      </c>
      <c r="M848">
        <v>56</v>
      </c>
      <c r="N848" t="s">
        <v>20</v>
      </c>
    </row>
    <row r="849" spans="1:14" x14ac:dyDescent="0.25">
      <c r="A849">
        <v>17482</v>
      </c>
      <c r="B849" t="s">
        <v>26</v>
      </c>
      <c r="C849" t="s">
        <v>14</v>
      </c>
      <c r="D849" s="1">
        <v>40000</v>
      </c>
      <c r="E849">
        <v>0</v>
      </c>
      <c r="F849" t="s">
        <v>33</v>
      </c>
      <c r="G849" t="s">
        <v>23</v>
      </c>
      <c r="H849" t="s">
        <v>17</v>
      </c>
      <c r="I849">
        <v>2</v>
      </c>
      <c r="J849" t="s">
        <v>27</v>
      </c>
      <c r="K849" t="s">
        <v>35</v>
      </c>
      <c r="L849" t="str" cm="1">
        <f t="array" ref="L849">_xlfn.IFS(bike_buyers[[#This Row],[Age]]&gt;= 70, "senior citizen", bike_buyers[[#This Row],[Age]]&gt;=55, "middle age",  bike_buyers[[#This Row],[Age]]&gt;=40,"mature adult ", bike_buyers[[#This Row],[Age]]&gt;=30, "adults", bike_buyers[[#This Row],[Age]]&gt;= 20, "young adults")</f>
        <v>young adults</v>
      </c>
      <c r="M849">
        <v>29</v>
      </c>
      <c r="N849" t="s">
        <v>20</v>
      </c>
    </row>
    <row r="850" spans="1:14" x14ac:dyDescent="0.25">
      <c r="A850">
        <v>13176</v>
      </c>
      <c r="B850" t="s">
        <v>26</v>
      </c>
      <c r="C850" t="s">
        <v>21</v>
      </c>
      <c r="D850" s="1">
        <v>130000</v>
      </c>
      <c r="E850">
        <v>0</v>
      </c>
      <c r="F850" t="s">
        <v>34</v>
      </c>
      <c r="G850" t="s">
        <v>32</v>
      </c>
      <c r="H850" t="s">
        <v>20</v>
      </c>
      <c r="I850">
        <v>2</v>
      </c>
      <c r="J850" t="s">
        <v>18</v>
      </c>
      <c r="K850" t="s">
        <v>35</v>
      </c>
      <c r="L850" t="str" cm="1">
        <f t="array" ref="L850">_xlfn.IFS(bike_buyers[[#This Row],[Age]]&gt;= 70, "senior citizen", bike_buyers[[#This Row],[Age]]&gt;=55, "middle age",  bike_buyers[[#This Row],[Age]]&gt;=40,"mature adult ", bike_buyers[[#This Row],[Age]]&gt;=30, "adults", bike_buyers[[#This Row],[Age]]&gt;= 20, "young adults")</f>
        <v>adults</v>
      </c>
      <c r="M850">
        <v>38</v>
      </c>
      <c r="N850" t="s">
        <v>17</v>
      </c>
    </row>
    <row r="851" spans="1:14" x14ac:dyDescent="0.25">
      <c r="A851">
        <v>20504</v>
      </c>
      <c r="B851" t="s">
        <v>13</v>
      </c>
      <c r="C851" t="s">
        <v>14</v>
      </c>
      <c r="D851" s="1">
        <v>40000</v>
      </c>
      <c r="E851">
        <v>5</v>
      </c>
      <c r="F851" t="s">
        <v>31</v>
      </c>
      <c r="G851" t="s">
        <v>24</v>
      </c>
      <c r="H851" t="s">
        <v>20</v>
      </c>
      <c r="I851">
        <v>2</v>
      </c>
      <c r="J851" t="s">
        <v>25</v>
      </c>
      <c r="K851" t="s">
        <v>35</v>
      </c>
      <c r="L851" t="str" cm="1">
        <f t="array" ref="L851">_xlfn.IFS(bike_buyers[[#This Row],[Age]]&gt;= 70, "senior citizen", bike_buyers[[#This Row],[Age]]&gt;=55, "middle age",  bike_buyers[[#This Row],[Age]]&gt;=40,"mature adult ", bike_buyers[[#This Row],[Age]]&gt;=30, "adults", bike_buyers[[#This Row],[Age]]&gt;= 20, "young adults")</f>
        <v>middle age</v>
      </c>
      <c r="M851">
        <v>60</v>
      </c>
      <c r="N851" t="s">
        <v>20</v>
      </c>
    </row>
    <row r="852" spans="1:14" x14ac:dyDescent="0.25">
      <c r="A852">
        <v>12205</v>
      </c>
      <c r="B852" t="s">
        <v>26</v>
      </c>
      <c r="C852" t="s">
        <v>14</v>
      </c>
      <c r="D852" s="1">
        <v>130000</v>
      </c>
      <c r="E852">
        <v>2</v>
      </c>
      <c r="F852" t="s">
        <v>15</v>
      </c>
      <c r="G852" t="s">
        <v>32</v>
      </c>
      <c r="H852" t="s">
        <v>20</v>
      </c>
      <c r="I852">
        <v>4</v>
      </c>
      <c r="J852" t="s">
        <v>18</v>
      </c>
      <c r="K852" t="s">
        <v>35</v>
      </c>
      <c r="L852" t="str" cm="1">
        <f t="array" ref="L852">_xlfn.IFS(bike_buyers[[#This Row],[Age]]&gt;= 70, "senior citizen", bike_buyers[[#This Row],[Age]]&gt;=55, "middle age",  bike_buyers[[#This Row],[Age]]&gt;=40,"mature adult ", bike_buyers[[#This Row],[Age]]&gt;=30, "adults", bike_buyers[[#This Row],[Age]]&gt;= 20, "young adults")</f>
        <v>middle age</v>
      </c>
      <c r="M852">
        <v>67</v>
      </c>
      <c r="N852" t="s">
        <v>20</v>
      </c>
    </row>
    <row r="853" spans="1:14" x14ac:dyDescent="0.25">
      <c r="A853">
        <v>16751</v>
      </c>
      <c r="B853" t="s">
        <v>13</v>
      </c>
      <c r="C853" t="s">
        <v>21</v>
      </c>
      <c r="D853" s="1">
        <v>60000</v>
      </c>
      <c r="E853">
        <v>0</v>
      </c>
      <c r="F853" t="s">
        <v>22</v>
      </c>
      <c r="G853" t="s">
        <v>16</v>
      </c>
      <c r="H853" t="s">
        <v>17</v>
      </c>
      <c r="I853">
        <v>1</v>
      </c>
      <c r="J853" t="s">
        <v>27</v>
      </c>
      <c r="K853" t="s">
        <v>35</v>
      </c>
      <c r="L853" t="str" cm="1">
        <f t="array" ref="L853">_xlfn.IFS(bike_buyers[[#This Row],[Age]]&gt;= 70, "senior citizen", bike_buyers[[#This Row],[Age]]&gt;=55, "middle age",  bike_buyers[[#This Row],[Age]]&gt;=40,"mature adult ", bike_buyers[[#This Row],[Age]]&gt;=30, "adults", bike_buyers[[#This Row],[Age]]&gt;= 20, "young adults")</f>
        <v>adults</v>
      </c>
      <c r="M853">
        <v>32</v>
      </c>
      <c r="N853" t="s">
        <v>17</v>
      </c>
    </row>
    <row r="854" spans="1:14" x14ac:dyDescent="0.25">
      <c r="A854">
        <v>21613</v>
      </c>
      <c r="B854" t="s">
        <v>26</v>
      </c>
      <c r="C854" t="s">
        <v>21</v>
      </c>
      <c r="D854" s="1">
        <v>50000</v>
      </c>
      <c r="E854">
        <v>2</v>
      </c>
      <c r="F854" t="s">
        <v>15</v>
      </c>
      <c r="G854" t="s">
        <v>16</v>
      </c>
      <c r="H854" t="s">
        <v>20</v>
      </c>
      <c r="I854">
        <v>1</v>
      </c>
      <c r="J854" t="s">
        <v>18</v>
      </c>
      <c r="K854" t="s">
        <v>35</v>
      </c>
      <c r="L854" t="str" cm="1">
        <f t="array" ref="L854">_xlfn.IFS(bike_buyers[[#This Row],[Age]]&gt;= 70, "senior citizen", bike_buyers[[#This Row],[Age]]&gt;=55, "middle age",  bike_buyers[[#This Row],[Age]]&gt;=40,"mature adult ", bike_buyers[[#This Row],[Age]]&gt;=30, "adults", bike_buyers[[#This Row],[Age]]&gt;= 20, "young adults")</f>
        <v>adults</v>
      </c>
      <c r="M854">
        <v>39</v>
      </c>
      <c r="N854" t="s">
        <v>17</v>
      </c>
    </row>
    <row r="855" spans="1:14" x14ac:dyDescent="0.25">
      <c r="A855">
        <v>24801</v>
      </c>
      <c r="B855" t="s">
        <v>26</v>
      </c>
      <c r="C855" t="s">
        <v>21</v>
      </c>
      <c r="D855" s="1">
        <v>60000</v>
      </c>
      <c r="E855">
        <v>1</v>
      </c>
      <c r="F855" t="s">
        <v>34</v>
      </c>
      <c r="G855" t="s">
        <v>24</v>
      </c>
      <c r="H855" t="s">
        <v>17</v>
      </c>
      <c r="I855">
        <v>0</v>
      </c>
      <c r="J855" t="s">
        <v>25</v>
      </c>
      <c r="K855" t="s">
        <v>35</v>
      </c>
      <c r="L855" t="str" cm="1">
        <f t="array" ref="L855">_xlfn.IFS(bike_buyers[[#This Row],[Age]]&gt;= 70, "senior citizen", bike_buyers[[#This Row],[Age]]&gt;=55, "middle age",  bike_buyers[[#This Row],[Age]]&gt;=40,"mature adult ", bike_buyers[[#This Row],[Age]]&gt;=30, "adults", bike_buyers[[#This Row],[Age]]&gt;= 20, "young adults")</f>
        <v>adults</v>
      </c>
      <c r="M855">
        <v>35</v>
      </c>
      <c r="N855" t="s">
        <v>17</v>
      </c>
    </row>
    <row r="856" spans="1:14" x14ac:dyDescent="0.25">
      <c r="A856">
        <v>17519</v>
      </c>
      <c r="B856" t="s">
        <v>13</v>
      </c>
      <c r="C856" t="s">
        <v>14</v>
      </c>
      <c r="D856" s="1">
        <v>60000</v>
      </c>
      <c r="E856">
        <v>0</v>
      </c>
      <c r="F856" t="s">
        <v>22</v>
      </c>
      <c r="G856" t="s">
        <v>24</v>
      </c>
      <c r="H856" t="s">
        <v>17</v>
      </c>
      <c r="I856">
        <v>2</v>
      </c>
      <c r="J856" t="s">
        <v>27</v>
      </c>
      <c r="K856" t="s">
        <v>35</v>
      </c>
      <c r="L856" t="str" cm="1">
        <f t="array" ref="L856">_xlfn.IFS(bike_buyers[[#This Row],[Age]]&gt;= 70, "senior citizen", bike_buyers[[#This Row],[Age]]&gt;=55, "middle age",  bike_buyers[[#This Row],[Age]]&gt;=40,"mature adult ", bike_buyers[[#This Row],[Age]]&gt;=30, "adults", bike_buyers[[#This Row],[Age]]&gt;= 20, "young adults")</f>
        <v>adults</v>
      </c>
      <c r="M856">
        <v>32</v>
      </c>
      <c r="N856" t="s">
        <v>20</v>
      </c>
    </row>
    <row r="857" spans="1:14" x14ac:dyDescent="0.25">
      <c r="A857">
        <v>18347</v>
      </c>
      <c r="B857" t="s">
        <v>26</v>
      </c>
      <c r="C857" t="s">
        <v>14</v>
      </c>
      <c r="D857" s="1">
        <v>30000</v>
      </c>
      <c r="E857">
        <v>0</v>
      </c>
      <c r="F857" t="s">
        <v>22</v>
      </c>
      <c r="G857" t="s">
        <v>16</v>
      </c>
      <c r="H857" t="s">
        <v>20</v>
      </c>
      <c r="I857">
        <v>1</v>
      </c>
      <c r="J857" t="s">
        <v>30</v>
      </c>
      <c r="K857" t="s">
        <v>35</v>
      </c>
      <c r="L857" t="str" cm="1">
        <f t="array" ref="L857">_xlfn.IFS(bike_buyers[[#This Row],[Age]]&gt;= 70, "senior citizen", bike_buyers[[#This Row],[Age]]&gt;=55, "middle age",  bike_buyers[[#This Row],[Age]]&gt;=40,"mature adult ", bike_buyers[[#This Row],[Age]]&gt;=30, "adults", bike_buyers[[#This Row],[Age]]&gt;= 20, "young adults")</f>
        <v>adults</v>
      </c>
      <c r="M857">
        <v>31</v>
      </c>
      <c r="N857" t="s">
        <v>20</v>
      </c>
    </row>
    <row r="858" spans="1:14" x14ac:dyDescent="0.25">
      <c r="A858">
        <v>29052</v>
      </c>
      <c r="B858" t="s">
        <v>26</v>
      </c>
      <c r="C858" t="s">
        <v>21</v>
      </c>
      <c r="D858" s="1">
        <v>40000</v>
      </c>
      <c r="E858">
        <v>0</v>
      </c>
      <c r="F858" t="s">
        <v>22</v>
      </c>
      <c r="G858" t="s">
        <v>16</v>
      </c>
      <c r="H858" t="s">
        <v>17</v>
      </c>
      <c r="I858">
        <v>1</v>
      </c>
      <c r="J858" t="s">
        <v>27</v>
      </c>
      <c r="K858" t="s">
        <v>35</v>
      </c>
      <c r="L858" t="str" cm="1">
        <f t="array" ref="L858">_xlfn.IFS(bike_buyers[[#This Row],[Age]]&gt;= 70, "senior citizen", bike_buyers[[#This Row],[Age]]&gt;=55, "middle age",  bike_buyers[[#This Row],[Age]]&gt;=40,"mature adult ", bike_buyers[[#This Row],[Age]]&gt;=30, "adults", bike_buyers[[#This Row],[Age]]&gt;= 20, "young adults")</f>
        <v>young adults</v>
      </c>
      <c r="M858">
        <v>27</v>
      </c>
      <c r="N858" t="s">
        <v>20</v>
      </c>
    </row>
    <row r="859" spans="1:14" x14ac:dyDescent="0.25">
      <c r="A859">
        <v>11745</v>
      </c>
      <c r="B859" t="s">
        <v>13</v>
      </c>
      <c r="C859" t="s">
        <v>14</v>
      </c>
      <c r="D859" s="1">
        <v>60000</v>
      </c>
      <c r="E859">
        <v>1</v>
      </c>
      <c r="F859" t="s">
        <v>15</v>
      </c>
      <c r="G859" t="s">
        <v>24</v>
      </c>
      <c r="H859" t="s">
        <v>17</v>
      </c>
      <c r="I859">
        <v>1</v>
      </c>
      <c r="J859" t="s">
        <v>18</v>
      </c>
      <c r="K859" t="s">
        <v>35</v>
      </c>
      <c r="L859" t="str" cm="1">
        <f t="array" ref="L859">_xlfn.IFS(bike_buyers[[#This Row],[Age]]&gt;= 70, "senior citizen", bike_buyers[[#This Row],[Age]]&gt;=55, "middle age",  bike_buyers[[#This Row],[Age]]&gt;=40,"mature adult ", bike_buyers[[#This Row],[Age]]&gt;=30, "adults", bike_buyers[[#This Row],[Age]]&gt;= 20, "young adults")</f>
        <v xml:space="preserve">mature adult </v>
      </c>
      <c r="M859">
        <v>47</v>
      </c>
      <c r="N859" t="s">
        <v>17</v>
      </c>
    </row>
    <row r="860" spans="1:14" x14ac:dyDescent="0.25">
      <c r="A860">
        <v>19147</v>
      </c>
      <c r="B860" t="s">
        <v>13</v>
      </c>
      <c r="C860" t="s">
        <v>21</v>
      </c>
      <c r="D860" s="1">
        <v>40000</v>
      </c>
      <c r="E860">
        <v>0</v>
      </c>
      <c r="F860" t="s">
        <v>15</v>
      </c>
      <c r="G860" t="s">
        <v>24</v>
      </c>
      <c r="H860" t="s">
        <v>20</v>
      </c>
      <c r="I860">
        <v>1</v>
      </c>
      <c r="J860" t="s">
        <v>18</v>
      </c>
      <c r="K860" t="s">
        <v>35</v>
      </c>
      <c r="L860" t="str" cm="1">
        <f t="array" ref="L860">_xlfn.IFS(bike_buyers[[#This Row],[Age]]&gt;= 70, "senior citizen", bike_buyers[[#This Row],[Age]]&gt;=55, "middle age",  bike_buyers[[#This Row],[Age]]&gt;=40,"mature adult ", bike_buyers[[#This Row],[Age]]&gt;=30, "adults", bike_buyers[[#This Row],[Age]]&gt;= 20, "young adults")</f>
        <v xml:space="preserve">mature adult </v>
      </c>
      <c r="M860">
        <v>42</v>
      </c>
      <c r="N860" t="s">
        <v>20</v>
      </c>
    </row>
    <row r="861" spans="1:14" x14ac:dyDescent="0.25">
      <c r="A861">
        <v>19217</v>
      </c>
      <c r="B861" t="s">
        <v>13</v>
      </c>
      <c r="C861" t="s">
        <v>21</v>
      </c>
      <c r="D861" s="1">
        <v>30000</v>
      </c>
      <c r="E861">
        <v>2</v>
      </c>
      <c r="F861" t="s">
        <v>31</v>
      </c>
      <c r="G861" t="s">
        <v>16</v>
      </c>
      <c r="H861" t="s">
        <v>17</v>
      </c>
      <c r="I861">
        <v>2</v>
      </c>
      <c r="J861" t="s">
        <v>30</v>
      </c>
      <c r="K861" t="s">
        <v>35</v>
      </c>
      <c r="L861" t="str" cm="1">
        <f t="array" ref="L861">_xlfn.IFS(bike_buyers[[#This Row],[Age]]&gt;= 70, "senior citizen", bike_buyers[[#This Row],[Age]]&gt;=55, "middle age",  bike_buyers[[#This Row],[Age]]&gt;=40,"mature adult ", bike_buyers[[#This Row],[Age]]&gt;=30, "adults", bike_buyers[[#This Row],[Age]]&gt;= 20, "young adults")</f>
        <v xml:space="preserve">mature adult </v>
      </c>
      <c r="M861">
        <v>49</v>
      </c>
      <c r="N861" t="s">
        <v>20</v>
      </c>
    </row>
    <row r="862" spans="1:14" x14ac:dyDescent="0.25">
      <c r="A862">
        <v>15839</v>
      </c>
      <c r="B862" t="s">
        <v>26</v>
      </c>
      <c r="C862" t="s">
        <v>21</v>
      </c>
      <c r="D862" s="1">
        <v>30000</v>
      </c>
      <c r="E862">
        <v>0</v>
      </c>
      <c r="F862" t="s">
        <v>22</v>
      </c>
      <c r="G862" t="s">
        <v>16</v>
      </c>
      <c r="H862" t="s">
        <v>17</v>
      </c>
      <c r="I862">
        <v>1</v>
      </c>
      <c r="J862" t="s">
        <v>27</v>
      </c>
      <c r="K862" t="s">
        <v>35</v>
      </c>
      <c r="L862" t="str" cm="1">
        <f t="array" ref="L862">_xlfn.IFS(bike_buyers[[#This Row],[Age]]&gt;= 70, "senior citizen", bike_buyers[[#This Row],[Age]]&gt;=55, "middle age",  bike_buyers[[#This Row],[Age]]&gt;=40,"mature adult ", bike_buyers[[#This Row],[Age]]&gt;=30, "adults", bike_buyers[[#This Row],[Age]]&gt;= 20, "young adults")</f>
        <v>adults</v>
      </c>
      <c r="M862">
        <v>32</v>
      </c>
      <c r="N862" t="s">
        <v>20</v>
      </c>
    </row>
    <row r="863" spans="1:14" x14ac:dyDescent="0.25">
      <c r="A863">
        <v>13714</v>
      </c>
      <c r="B863" t="s">
        <v>13</v>
      </c>
      <c r="C863" t="s">
        <v>14</v>
      </c>
      <c r="D863" s="1">
        <v>20000</v>
      </c>
      <c r="E863">
        <v>2</v>
      </c>
      <c r="F863" t="s">
        <v>31</v>
      </c>
      <c r="G863" t="s">
        <v>29</v>
      </c>
      <c r="H863" t="s">
        <v>20</v>
      </c>
      <c r="I863">
        <v>2</v>
      </c>
      <c r="J863" t="s">
        <v>30</v>
      </c>
      <c r="K863" t="s">
        <v>35</v>
      </c>
      <c r="L863" t="str" cm="1">
        <f t="array" ref="L863">_xlfn.IFS(bike_buyers[[#This Row],[Age]]&gt;= 70, "senior citizen", bike_buyers[[#This Row],[Age]]&gt;=55, "middle age",  bike_buyers[[#This Row],[Age]]&gt;=40,"mature adult ", bike_buyers[[#This Row],[Age]]&gt;=30, "adults", bike_buyers[[#This Row],[Age]]&gt;= 20, "young adults")</f>
        <v xml:space="preserve">mature adult </v>
      </c>
      <c r="M863">
        <v>53</v>
      </c>
      <c r="N863" t="s">
        <v>17</v>
      </c>
    </row>
    <row r="864" spans="1:14" x14ac:dyDescent="0.25">
      <c r="A864">
        <v>22330</v>
      </c>
      <c r="B864" t="s">
        <v>13</v>
      </c>
      <c r="C864" t="s">
        <v>21</v>
      </c>
      <c r="D864" s="1">
        <v>50000</v>
      </c>
      <c r="E864">
        <v>0</v>
      </c>
      <c r="F864" t="s">
        <v>34</v>
      </c>
      <c r="G864" t="s">
        <v>16</v>
      </c>
      <c r="H864" t="s">
        <v>17</v>
      </c>
      <c r="I864">
        <v>0</v>
      </c>
      <c r="J864" t="s">
        <v>30</v>
      </c>
      <c r="K864" t="s">
        <v>35</v>
      </c>
      <c r="L864" t="str" cm="1">
        <f t="array" ref="L864">_xlfn.IFS(bike_buyers[[#This Row],[Age]]&gt;= 70, "senior citizen", bike_buyers[[#This Row],[Age]]&gt;=55, "middle age",  bike_buyers[[#This Row],[Age]]&gt;=40,"mature adult ", bike_buyers[[#This Row],[Age]]&gt;=30, "adults", bike_buyers[[#This Row],[Age]]&gt;= 20, "young adults")</f>
        <v>adults</v>
      </c>
      <c r="M864">
        <v>32</v>
      </c>
      <c r="N864" t="s">
        <v>17</v>
      </c>
    </row>
    <row r="865" spans="1:14" x14ac:dyDescent="0.25">
      <c r="A865">
        <v>18783</v>
      </c>
      <c r="B865" t="s">
        <v>26</v>
      </c>
      <c r="C865" t="s">
        <v>21</v>
      </c>
      <c r="D865" s="1">
        <v>80000</v>
      </c>
      <c r="E865">
        <v>0</v>
      </c>
      <c r="F865" t="s">
        <v>15</v>
      </c>
      <c r="G865" t="s">
        <v>32</v>
      </c>
      <c r="H865" t="s">
        <v>20</v>
      </c>
      <c r="I865">
        <v>1</v>
      </c>
      <c r="J865" t="s">
        <v>18</v>
      </c>
      <c r="K865" t="s">
        <v>35</v>
      </c>
      <c r="L865" t="str" cm="1">
        <f t="array" ref="L865">_xlfn.IFS(bike_buyers[[#This Row],[Age]]&gt;= 70, "senior citizen", bike_buyers[[#This Row],[Age]]&gt;=55, "middle age",  bike_buyers[[#This Row],[Age]]&gt;=40,"mature adult ", bike_buyers[[#This Row],[Age]]&gt;=30, "adults", bike_buyers[[#This Row],[Age]]&gt;= 20, "young adults")</f>
        <v>adults</v>
      </c>
      <c r="M865">
        <v>38</v>
      </c>
      <c r="N865" t="s">
        <v>17</v>
      </c>
    </row>
    <row r="866" spans="1:14" x14ac:dyDescent="0.25">
      <c r="A866">
        <v>25041</v>
      </c>
      <c r="B866" t="s">
        <v>26</v>
      </c>
      <c r="C866" t="s">
        <v>21</v>
      </c>
      <c r="D866" s="1">
        <v>40000</v>
      </c>
      <c r="E866">
        <v>0</v>
      </c>
      <c r="F866" t="s">
        <v>31</v>
      </c>
      <c r="G866" t="s">
        <v>16</v>
      </c>
      <c r="H866" t="s">
        <v>17</v>
      </c>
      <c r="I866">
        <v>2</v>
      </c>
      <c r="J866" t="s">
        <v>27</v>
      </c>
      <c r="K866" t="s">
        <v>35</v>
      </c>
      <c r="L866" t="str" cm="1">
        <f t="array" ref="L866">_xlfn.IFS(bike_buyers[[#This Row],[Age]]&gt;= 70, "senior citizen", bike_buyers[[#This Row],[Age]]&gt;=55, "middle age",  bike_buyers[[#This Row],[Age]]&gt;=40,"mature adult ", bike_buyers[[#This Row],[Age]]&gt;=30, "adults", bike_buyers[[#This Row],[Age]]&gt;= 20, "young adults")</f>
        <v>adults</v>
      </c>
      <c r="M866">
        <v>31</v>
      </c>
      <c r="N866" t="s">
        <v>20</v>
      </c>
    </row>
    <row r="867" spans="1:14" x14ac:dyDescent="0.25">
      <c r="A867">
        <v>22046</v>
      </c>
      <c r="B867" t="s">
        <v>26</v>
      </c>
      <c r="C867" t="s">
        <v>14</v>
      </c>
      <c r="D867" s="1">
        <v>80000</v>
      </c>
      <c r="E867">
        <v>0</v>
      </c>
      <c r="F867" t="s">
        <v>15</v>
      </c>
      <c r="G867" t="s">
        <v>32</v>
      </c>
      <c r="H867" t="s">
        <v>20</v>
      </c>
      <c r="I867">
        <v>1</v>
      </c>
      <c r="J867" t="s">
        <v>18</v>
      </c>
      <c r="K867" t="s">
        <v>35</v>
      </c>
      <c r="L867" t="str" cm="1">
        <f t="array" ref="L867">_xlfn.IFS(bike_buyers[[#This Row],[Age]]&gt;= 70, "senior citizen", bike_buyers[[#This Row],[Age]]&gt;=55, "middle age",  bike_buyers[[#This Row],[Age]]&gt;=40,"mature adult ", bike_buyers[[#This Row],[Age]]&gt;=30, "adults", bike_buyers[[#This Row],[Age]]&gt;= 20, "young adults")</f>
        <v>adults</v>
      </c>
      <c r="M867">
        <v>38</v>
      </c>
      <c r="N867" t="s">
        <v>17</v>
      </c>
    </row>
    <row r="868" spans="1:14" x14ac:dyDescent="0.25">
      <c r="A868">
        <v>28052</v>
      </c>
      <c r="B868" t="s">
        <v>13</v>
      </c>
      <c r="C868" t="s">
        <v>21</v>
      </c>
      <c r="D868" s="1">
        <v>60000</v>
      </c>
      <c r="E868">
        <v>2</v>
      </c>
      <c r="F868" t="s">
        <v>31</v>
      </c>
      <c r="G868" t="s">
        <v>24</v>
      </c>
      <c r="H868" t="s">
        <v>17</v>
      </c>
      <c r="I868">
        <v>2</v>
      </c>
      <c r="J868" t="s">
        <v>41</v>
      </c>
      <c r="K868" t="s">
        <v>35</v>
      </c>
      <c r="L868" t="str" cm="1">
        <f t="array" ref="L868">_xlfn.IFS(bike_buyers[[#This Row],[Age]]&gt;= 70, "senior citizen", bike_buyers[[#This Row],[Age]]&gt;=55, "middle age",  bike_buyers[[#This Row],[Age]]&gt;=40,"mature adult ", bike_buyers[[#This Row],[Age]]&gt;=30, "adults", bike_buyers[[#This Row],[Age]]&gt;= 20, "young adults")</f>
        <v>middle age</v>
      </c>
      <c r="M868">
        <v>55</v>
      </c>
      <c r="N868" t="s">
        <v>20</v>
      </c>
    </row>
    <row r="869" spans="1:14" x14ac:dyDescent="0.25">
      <c r="A869">
        <v>26693</v>
      </c>
      <c r="B869" t="s">
        <v>13</v>
      </c>
      <c r="C869" t="s">
        <v>21</v>
      </c>
      <c r="D869" s="1">
        <v>70000</v>
      </c>
      <c r="E869">
        <v>3</v>
      </c>
      <c r="F869" t="s">
        <v>22</v>
      </c>
      <c r="G869" t="s">
        <v>24</v>
      </c>
      <c r="H869" t="s">
        <v>17</v>
      </c>
      <c r="I869">
        <v>1</v>
      </c>
      <c r="J869" t="s">
        <v>27</v>
      </c>
      <c r="K869" t="s">
        <v>35</v>
      </c>
      <c r="L869" t="str" cm="1">
        <f t="array" ref="L869">_xlfn.IFS(bike_buyers[[#This Row],[Age]]&gt;= 70, "senior citizen", bike_buyers[[#This Row],[Age]]&gt;=55, "middle age",  bike_buyers[[#This Row],[Age]]&gt;=40,"mature adult ", bike_buyers[[#This Row],[Age]]&gt;=30, "adults", bike_buyers[[#This Row],[Age]]&gt;= 20, "young adults")</f>
        <v xml:space="preserve">mature adult </v>
      </c>
      <c r="M869">
        <v>49</v>
      </c>
      <c r="N869" t="s">
        <v>20</v>
      </c>
    </row>
    <row r="870" spans="1:14" x14ac:dyDescent="0.25">
      <c r="A870">
        <v>24955</v>
      </c>
      <c r="B870" t="s">
        <v>26</v>
      </c>
      <c r="C870" t="s">
        <v>21</v>
      </c>
      <c r="D870" s="1">
        <v>30000</v>
      </c>
      <c r="E870">
        <v>5</v>
      </c>
      <c r="F870" t="s">
        <v>33</v>
      </c>
      <c r="G870" t="s">
        <v>16</v>
      </c>
      <c r="H870" t="s">
        <v>17</v>
      </c>
      <c r="I870">
        <v>3</v>
      </c>
      <c r="J870" t="s">
        <v>41</v>
      </c>
      <c r="K870" t="s">
        <v>35</v>
      </c>
      <c r="L870" t="str" cm="1">
        <f t="array" ref="L870">_xlfn.IFS(bike_buyers[[#This Row],[Age]]&gt;= 70, "senior citizen", bike_buyers[[#This Row],[Age]]&gt;=55, "middle age",  bike_buyers[[#This Row],[Age]]&gt;=40,"mature adult ", bike_buyers[[#This Row],[Age]]&gt;=30, "adults", bike_buyers[[#This Row],[Age]]&gt;= 20, "young adults")</f>
        <v>middle age</v>
      </c>
      <c r="M870">
        <v>60</v>
      </c>
      <c r="N870" t="s">
        <v>17</v>
      </c>
    </row>
    <row r="871" spans="1:14" x14ac:dyDescent="0.25">
      <c r="A871">
        <v>26065</v>
      </c>
      <c r="B871" t="s">
        <v>26</v>
      </c>
      <c r="C871" t="s">
        <v>14</v>
      </c>
      <c r="D871" s="1">
        <v>110000</v>
      </c>
      <c r="E871">
        <v>3</v>
      </c>
      <c r="F871" t="s">
        <v>15</v>
      </c>
      <c r="G871" t="s">
        <v>32</v>
      </c>
      <c r="H871" t="s">
        <v>20</v>
      </c>
      <c r="I871">
        <v>4</v>
      </c>
      <c r="J871" t="s">
        <v>30</v>
      </c>
      <c r="K871" t="s">
        <v>35</v>
      </c>
      <c r="L871" t="str" cm="1">
        <f t="array" ref="L871">_xlfn.IFS(bike_buyers[[#This Row],[Age]]&gt;= 70, "senior citizen", bike_buyers[[#This Row],[Age]]&gt;=55, "middle age",  bike_buyers[[#This Row],[Age]]&gt;=40,"mature adult ", bike_buyers[[#This Row],[Age]]&gt;=30, "adults", bike_buyers[[#This Row],[Age]]&gt;= 20, "young adults")</f>
        <v xml:space="preserve">mature adult </v>
      </c>
      <c r="M871">
        <v>42</v>
      </c>
      <c r="N871" t="s">
        <v>20</v>
      </c>
    </row>
    <row r="872" spans="1:14" x14ac:dyDescent="0.25">
      <c r="A872">
        <v>13942</v>
      </c>
      <c r="B872" t="s">
        <v>13</v>
      </c>
      <c r="C872" t="s">
        <v>21</v>
      </c>
      <c r="D872" s="1">
        <v>60000</v>
      </c>
      <c r="E872">
        <v>1</v>
      </c>
      <c r="F872" t="s">
        <v>22</v>
      </c>
      <c r="G872" t="s">
        <v>16</v>
      </c>
      <c r="H872" t="s">
        <v>17</v>
      </c>
      <c r="I872">
        <v>1</v>
      </c>
      <c r="J872" t="s">
        <v>18</v>
      </c>
      <c r="K872" t="s">
        <v>35</v>
      </c>
      <c r="L872" t="str" cm="1">
        <f t="array" ref="L872">_xlfn.IFS(bike_buyers[[#This Row],[Age]]&gt;= 70, "senior citizen", bike_buyers[[#This Row],[Age]]&gt;=55, "middle age",  bike_buyers[[#This Row],[Age]]&gt;=40,"mature adult ", bike_buyers[[#This Row],[Age]]&gt;=30, "adults", bike_buyers[[#This Row],[Age]]&gt;= 20, "young adults")</f>
        <v xml:space="preserve">mature adult </v>
      </c>
      <c r="M872">
        <v>46</v>
      </c>
      <c r="N872" t="s">
        <v>20</v>
      </c>
    </row>
    <row r="873" spans="1:14" x14ac:dyDescent="0.25">
      <c r="A873">
        <v>11219</v>
      </c>
      <c r="B873" t="s">
        <v>13</v>
      </c>
      <c r="C873" t="s">
        <v>21</v>
      </c>
      <c r="D873" s="1">
        <v>60000</v>
      </c>
      <c r="E873">
        <v>2</v>
      </c>
      <c r="F873" t="s">
        <v>31</v>
      </c>
      <c r="G873" t="s">
        <v>24</v>
      </c>
      <c r="H873" t="s">
        <v>17</v>
      </c>
      <c r="I873">
        <v>2</v>
      </c>
      <c r="J873" t="s">
        <v>41</v>
      </c>
      <c r="K873" t="s">
        <v>35</v>
      </c>
      <c r="L873" t="str" cm="1">
        <f t="array" ref="L873">_xlfn.IFS(bike_buyers[[#This Row],[Age]]&gt;= 70, "senior citizen", bike_buyers[[#This Row],[Age]]&gt;=55, "middle age",  bike_buyers[[#This Row],[Age]]&gt;=40,"mature adult ", bike_buyers[[#This Row],[Age]]&gt;=30, "adults", bike_buyers[[#This Row],[Age]]&gt;= 20, "young adults")</f>
        <v>middle age</v>
      </c>
      <c r="M873">
        <v>55</v>
      </c>
      <c r="N873" t="s">
        <v>20</v>
      </c>
    </row>
    <row r="874" spans="1:14" x14ac:dyDescent="0.25">
      <c r="A874">
        <v>22118</v>
      </c>
      <c r="B874" t="s">
        <v>26</v>
      </c>
      <c r="C874" t="s">
        <v>14</v>
      </c>
      <c r="D874" s="1">
        <v>70000</v>
      </c>
      <c r="E874">
        <v>3</v>
      </c>
      <c r="F874" t="s">
        <v>34</v>
      </c>
      <c r="G874" t="s">
        <v>32</v>
      </c>
      <c r="H874" t="s">
        <v>17</v>
      </c>
      <c r="I874">
        <v>2</v>
      </c>
      <c r="J874" t="s">
        <v>27</v>
      </c>
      <c r="K874" t="s">
        <v>35</v>
      </c>
      <c r="L874" t="str" cm="1">
        <f t="array" ref="L874">_xlfn.IFS(bike_buyers[[#This Row],[Age]]&gt;= 70, "senior citizen", bike_buyers[[#This Row],[Age]]&gt;=55, "middle age",  bike_buyers[[#This Row],[Age]]&gt;=40,"mature adult ", bike_buyers[[#This Row],[Age]]&gt;=30, "adults", bike_buyers[[#This Row],[Age]]&gt;= 20, "young adults")</f>
        <v xml:space="preserve">mature adult </v>
      </c>
      <c r="M874">
        <v>53</v>
      </c>
      <c r="N874" t="s">
        <v>17</v>
      </c>
    </row>
    <row r="875" spans="1:14" x14ac:dyDescent="0.25">
      <c r="A875">
        <v>23197</v>
      </c>
      <c r="B875" t="s">
        <v>13</v>
      </c>
      <c r="C875" t="s">
        <v>21</v>
      </c>
      <c r="D875" s="1">
        <v>50000</v>
      </c>
      <c r="E875">
        <v>3</v>
      </c>
      <c r="F875" t="s">
        <v>15</v>
      </c>
      <c r="G875" t="s">
        <v>16</v>
      </c>
      <c r="H875" t="s">
        <v>17</v>
      </c>
      <c r="I875">
        <v>2</v>
      </c>
      <c r="J875" t="s">
        <v>25</v>
      </c>
      <c r="K875" t="s">
        <v>35</v>
      </c>
      <c r="L875" t="str" cm="1">
        <f t="array" ref="L875">_xlfn.IFS(bike_buyers[[#This Row],[Age]]&gt;= 70, "senior citizen", bike_buyers[[#This Row],[Age]]&gt;=55, "middle age",  bike_buyers[[#This Row],[Age]]&gt;=40,"mature adult ", bike_buyers[[#This Row],[Age]]&gt;=30, "adults", bike_buyers[[#This Row],[Age]]&gt;= 20, "young adults")</f>
        <v xml:space="preserve">mature adult </v>
      </c>
      <c r="M875">
        <v>40</v>
      </c>
      <c r="N875" t="s">
        <v>20</v>
      </c>
    </row>
    <row r="876" spans="1:14" x14ac:dyDescent="0.25">
      <c r="A876">
        <v>14883</v>
      </c>
      <c r="B876" t="s">
        <v>13</v>
      </c>
      <c r="C876" t="s">
        <v>14</v>
      </c>
      <c r="D876" s="1">
        <v>30000</v>
      </c>
      <c r="E876">
        <v>1</v>
      </c>
      <c r="F876" t="s">
        <v>15</v>
      </c>
      <c r="G876" t="s">
        <v>16</v>
      </c>
      <c r="H876" t="s">
        <v>17</v>
      </c>
      <c r="I876">
        <v>1</v>
      </c>
      <c r="J876" t="s">
        <v>27</v>
      </c>
      <c r="K876" t="s">
        <v>35</v>
      </c>
      <c r="L876" t="str" cm="1">
        <f t="array" ref="L876">_xlfn.IFS(bike_buyers[[#This Row],[Age]]&gt;= 70, "senior citizen", bike_buyers[[#This Row],[Age]]&gt;=55, "middle age",  bike_buyers[[#This Row],[Age]]&gt;=40,"mature adult ", bike_buyers[[#This Row],[Age]]&gt;=30, "adults", bike_buyers[[#This Row],[Age]]&gt;= 20, "young adults")</f>
        <v xml:space="preserve">mature adult </v>
      </c>
      <c r="M876">
        <v>53</v>
      </c>
      <c r="N876" t="s">
        <v>17</v>
      </c>
    </row>
    <row r="877" spans="1:14" x14ac:dyDescent="0.25">
      <c r="A877">
        <v>27279</v>
      </c>
      <c r="B877" t="s">
        <v>26</v>
      </c>
      <c r="C877" t="s">
        <v>14</v>
      </c>
      <c r="D877" s="1">
        <v>70000</v>
      </c>
      <c r="E877">
        <v>2</v>
      </c>
      <c r="F877" t="s">
        <v>15</v>
      </c>
      <c r="G877" t="s">
        <v>16</v>
      </c>
      <c r="H877" t="s">
        <v>17</v>
      </c>
      <c r="I877">
        <v>0</v>
      </c>
      <c r="J877" t="s">
        <v>25</v>
      </c>
      <c r="K877" t="s">
        <v>35</v>
      </c>
      <c r="L877" t="str" cm="1">
        <f t="array" ref="L877">_xlfn.IFS(bike_buyers[[#This Row],[Age]]&gt;= 70, "senior citizen", bike_buyers[[#This Row],[Age]]&gt;=55, "middle age",  bike_buyers[[#This Row],[Age]]&gt;=40,"mature adult ", bike_buyers[[#This Row],[Age]]&gt;=30, "adults", bike_buyers[[#This Row],[Age]]&gt;= 20, "young adults")</f>
        <v>adults</v>
      </c>
      <c r="M877">
        <v>38</v>
      </c>
      <c r="N877" t="s">
        <v>17</v>
      </c>
    </row>
    <row r="878" spans="1:14" x14ac:dyDescent="0.25">
      <c r="A878">
        <v>18322</v>
      </c>
      <c r="B878" t="s">
        <v>26</v>
      </c>
      <c r="C878" t="s">
        <v>21</v>
      </c>
      <c r="D878" s="1">
        <v>30000</v>
      </c>
      <c r="E878">
        <v>0</v>
      </c>
      <c r="F878" t="s">
        <v>33</v>
      </c>
      <c r="G878" t="s">
        <v>23</v>
      </c>
      <c r="H878" t="s">
        <v>20</v>
      </c>
      <c r="I878">
        <v>2</v>
      </c>
      <c r="J878" t="s">
        <v>18</v>
      </c>
      <c r="K878" t="s">
        <v>35</v>
      </c>
      <c r="L878" t="str" cm="1">
        <f t="array" ref="L878">_xlfn.IFS(bike_buyers[[#This Row],[Age]]&gt;= 70, "senior citizen", bike_buyers[[#This Row],[Age]]&gt;=55, "middle age",  bike_buyers[[#This Row],[Age]]&gt;=40,"mature adult ", bike_buyers[[#This Row],[Age]]&gt;=30, "adults", bike_buyers[[#This Row],[Age]]&gt;= 20, "young adults")</f>
        <v>young adults</v>
      </c>
      <c r="M878">
        <v>26</v>
      </c>
      <c r="N878" t="s">
        <v>20</v>
      </c>
    </row>
    <row r="879" spans="1:14" x14ac:dyDescent="0.25">
      <c r="A879">
        <v>15879</v>
      </c>
      <c r="B879" t="s">
        <v>13</v>
      </c>
      <c r="C879" t="s">
        <v>21</v>
      </c>
      <c r="D879" s="1">
        <v>70000</v>
      </c>
      <c r="E879">
        <v>5</v>
      </c>
      <c r="F879" t="s">
        <v>15</v>
      </c>
      <c r="G879" t="s">
        <v>32</v>
      </c>
      <c r="H879" t="s">
        <v>17</v>
      </c>
      <c r="I879">
        <v>2</v>
      </c>
      <c r="J879" t="s">
        <v>25</v>
      </c>
      <c r="K879" t="s">
        <v>35</v>
      </c>
      <c r="L879" t="str" cm="1">
        <f t="array" ref="L879">_xlfn.IFS(bike_buyers[[#This Row],[Age]]&gt;= 70, "senior citizen", bike_buyers[[#This Row],[Age]]&gt;=55, "middle age",  bike_buyers[[#This Row],[Age]]&gt;=40,"mature adult ", bike_buyers[[#This Row],[Age]]&gt;=30, "adults", bike_buyers[[#This Row],[Age]]&gt;= 20, "young adults")</f>
        <v>middle age</v>
      </c>
      <c r="M879">
        <v>61</v>
      </c>
      <c r="N879" t="s">
        <v>20</v>
      </c>
    </row>
    <row r="880" spans="1:14" x14ac:dyDescent="0.25">
      <c r="A880">
        <v>28278</v>
      </c>
      <c r="B880" t="s">
        <v>13</v>
      </c>
      <c r="C880" t="s">
        <v>21</v>
      </c>
      <c r="D880" s="1">
        <v>50000</v>
      </c>
      <c r="E880">
        <v>2</v>
      </c>
      <c r="F880" t="s">
        <v>34</v>
      </c>
      <c r="G880" t="s">
        <v>32</v>
      </c>
      <c r="H880" t="s">
        <v>17</v>
      </c>
      <c r="I880">
        <v>2</v>
      </c>
      <c r="J880" t="s">
        <v>27</v>
      </c>
      <c r="K880" t="s">
        <v>35</v>
      </c>
      <c r="L880" t="str" cm="1">
        <f t="array" ref="L880">_xlfn.IFS(bike_buyers[[#This Row],[Age]]&gt;= 70, "senior citizen", bike_buyers[[#This Row],[Age]]&gt;=55, "middle age",  bike_buyers[[#This Row],[Age]]&gt;=40,"mature adult ", bike_buyers[[#This Row],[Age]]&gt;=30, "adults", bike_buyers[[#This Row],[Age]]&gt;= 20, "young adults")</f>
        <v>senior citizen</v>
      </c>
      <c r="M880">
        <v>71</v>
      </c>
      <c r="N880" t="s">
        <v>20</v>
      </c>
    </row>
    <row r="881" spans="1:14" x14ac:dyDescent="0.25">
      <c r="A881">
        <v>24416</v>
      </c>
      <c r="B881" t="s">
        <v>13</v>
      </c>
      <c r="C881" t="s">
        <v>21</v>
      </c>
      <c r="D881" s="1">
        <v>90000</v>
      </c>
      <c r="E881">
        <v>4</v>
      </c>
      <c r="F881" t="s">
        <v>31</v>
      </c>
      <c r="G881" t="s">
        <v>24</v>
      </c>
      <c r="H881" t="s">
        <v>17</v>
      </c>
      <c r="I881">
        <v>2</v>
      </c>
      <c r="J881" t="s">
        <v>30</v>
      </c>
      <c r="K881" t="s">
        <v>35</v>
      </c>
      <c r="L881" t="str" cm="1">
        <f t="array" ref="L881">_xlfn.IFS(bike_buyers[[#This Row],[Age]]&gt;= 70, "senior citizen", bike_buyers[[#This Row],[Age]]&gt;=55, "middle age",  bike_buyers[[#This Row],[Age]]&gt;=40,"mature adult ", bike_buyers[[#This Row],[Age]]&gt;=30, "adults", bike_buyers[[#This Row],[Age]]&gt;= 20, "young adults")</f>
        <v xml:space="preserve">mature adult </v>
      </c>
      <c r="M881">
        <v>45</v>
      </c>
      <c r="N881" t="s">
        <v>20</v>
      </c>
    </row>
    <row r="882" spans="1:14" x14ac:dyDescent="0.25">
      <c r="A882">
        <v>28066</v>
      </c>
      <c r="B882" t="s">
        <v>13</v>
      </c>
      <c r="C882" t="s">
        <v>21</v>
      </c>
      <c r="D882" s="1">
        <v>80000</v>
      </c>
      <c r="E882">
        <v>2</v>
      </c>
      <c r="F882" t="s">
        <v>34</v>
      </c>
      <c r="G882" t="s">
        <v>24</v>
      </c>
      <c r="H882" t="s">
        <v>17</v>
      </c>
      <c r="I882">
        <v>0</v>
      </c>
      <c r="J882" t="s">
        <v>18</v>
      </c>
      <c r="K882" t="s">
        <v>35</v>
      </c>
      <c r="L882" t="str" cm="1">
        <f t="array" ref="L882">_xlfn.IFS(bike_buyers[[#This Row],[Age]]&gt;= 70, "senior citizen", bike_buyers[[#This Row],[Age]]&gt;=55, "middle age",  bike_buyers[[#This Row],[Age]]&gt;=40,"mature adult ", bike_buyers[[#This Row],[Age]]&gt;=30, "adults", bike_buyers[[#This Row],[Age]]&gt;= 20, "young adults")</f>
        <v>adults</v>
      </c>
      <c r="M882">
        <v>37</v>
      </c>
      <c r="N882" t="s">
        <v>17</v>
      </c>
    </row>
    <row r="883" spans="1:14" x14ac:dyDescent="0.25">
      <c r="A883">
        <v>11275</v>
      </c>
      <c r="B883" t="s">
        <v>13</v>
      </c>
      <c r="C883" t="s">
        <v>14</v>
      </c>
      <c r="D883" s="1">
        <v>80000</v>
      </c>
      <c r="E883">
        <v>4</v>
      </c>
      <c r="F883" t="s">
        <v>34</v>
      </c>
      <c r="G883" t="s">
        <v>32</v>
      </c>
      <c r="H883" t="s">
        <v>17</v>
      </c>
      <c r="I883">
        <v>2</v>
      </c>
      <c r="J883" t="s">
        <v>18</v>
      </c>
      <c r="K883" t="s">
        <v>35</v>
      </c>
      <c r="L883" t="str" cm="1">
        <f t="array" ref="L883">_xlfn.IFS(bike_buyers[[#This Row],[Age]]&gt;= 70, "senior citizen", bike_buyers[[#This Row],[Age]]&gt;=55, "middle age",  bike_buyers[[#This Row],[Age]]&gt;=40,"mature adult ", bike_buyers[[#This Row],[Age]]&gt;=30, "adults", bike_buyers[[#This Row],[Age]]&gt;= 20, "young adults")</f>
        <v>senior citizen</v>
      </c>
      <c r="M883">
        <v>72</v>
      </c>
      <c r="N883" t="s">
        <v>17</v>
      </c>
    </row>
    <row r="884" spans="1:14" x14ac:dyDescent="0.25">
      <c r="A884">
        <v>14872</v>
      </c>
      <c r="B884" t="s">
        <v>13</v>
      </c>
      <c r="C884" t="s">
        <v>21</v>
      </c>
      <c r="D884" s="1">
        <v>30000</v>
      </c>
      <c r="E884">
        <v>0</v>
      </c>
      <c r="F884" t="s">
        <v>34</v>
      </c>
      <c r="G884" t="s">
        <v>16</v>
      </c>
      <c r="H884" t="s">
        <v>17</v>
      </c>
      <c r="I884">
        <v>0</v>
      </c>
      <c r="J884" t="s">
        <v>18</v>
      </c>
      <c r="K884" t="s">
        <v>35</v>
      </c>
      <c r="L884" t="str" cm="1">
        <f t="array" ref="L884">_xlfn.IFS(bike_buyers[[#This Row],[Age]]&gt;= 70, "senior citizen", bike_buyers[[#This Row],[Age]]&gt;=55, "middle age",  bike_buyers[[#This Row],[Age]]&gt;=40,"mature adult ", bike_buyers[[#This Row],[Age]]&gt;=30, "adults", bike_buyers[[#This Row],[Age]]&gt;= 20, "young adults")</f>
        <v>adults</v>
      </c>
      <c r="M884">
        <v>32</v>
      </c>
      <c r="N884" t="s">
        <v>20</v>
      </c>
    </row>
    <row r="885" spans="1:14" x14ac:dyDescent="0.25">
      <c r="A885">
        <v>16151</v>
      </c>
      <c r="B885" t="s">
        <v>13</v>
      </c>
      <c r="C885" t="s">
        <v>14</v>
      </c>
      <c r="D885" s="1">
        <v>60000</v>
      </c>
      <c r="E885">
        <v>1</v>
      </c>
      <c r="F885" t="s">
        <v>15</v>
      </c>
      <c r="G885" t="s">
        <v>24</v>
      </c>
      <c r="H885" t="s">
        <v>17</v>
      </c>
      <c r="I885">
        <v>1</v>
      </c>
      <c r="J885" t="s">
        <v>25</v>
      </c>
      <c r="K885" t="s">
        <v>35</v>
      </c>
      <c r="L885" t="str" cm="1">
        <f t="array" ref="L885">_xlfn.IFS(bike_buyers[[#This Row],[Age]]&gt;= 70, "senior citizen", bike_buyers[[#This Row],[Age]]&gt;=55, "middle age",  bike_buyers[[#This Row],[Age]]&gt;=40,"mature adult ", bike_buyers[[#This Row],[Age]]&gt;=30, "adults", bike_buyers[[#This Row],[Age]]&gt;= 20, "young adults")</f>
        <v xml:space="preserve">mature adult </v>
      </c>
      <c r="M885">
        <v>48</v>
      </c>
      <c r="N885" t="s">
        <v>17</v>
      </c>
    </row>
    <row r="886" spans="1:14" x14ac:dyDescent="0.25">
      <c r="A886">
        <v>19731</v>
      </c>
      <c r="B886" t="s">
        <v>13</v>
      </c>
      <c r="C886" t="s">
        <v>21</v>
      </c>
      <c r="D886" s="1">
        <v>80000</v>
      </c>
      <c r="E886">
        <v>4</v>
      </c>
      <c r="F886" t="s">
        <v>34</v>
      </c>
      <c r="G886" t="s">
        <v>32</v>
      </c>
      <c r="H886" t="s">
        <v>17</v>
      </c>
      <c r="I886">
        <v>2</v>
      </c>
      <c r="J886" t="s">
        <v>27</v>
      </c>
      <c r="K886" t="s">
        <v>35</v>
      </c>
      <c r="L886" t="str" cm="1">
        <f t="array" ref="L886">_xlfn.IFS(bike_buyers[[#This Row],[Age]]&gt;= 70, "senior citizen", bike_buyers[[#This Row],[Age]]&gt;=55, "middle age",  bike_buyers[[#This Row],[Age]]&gt;=40,"mature adult ", bike_buyers[[#This Row],[Age]]&gt;=30, "adults", bike_buyers[[#This Row],[Age]]&gt;= 20, "young adults")</f>
        <v>middle age</v>
      </c>
      <c r="M886">
        <v>68</v>
      </c>
      <c r="N886" t="s">
        <v>20</v>
      </c>
    </row>
    <row r="887" spans="1:14" x14ac:dyDescent="0.25">
      <c r="A887">
        <v>23801</v>
      </c>
      <c r="B887" t="s">
        <v>13</v>
      </c>
      <c r="C887" t="s">
        <v>14</v>
      </c>
      <c r="D887" s="1">
        <v>20000</v>
      </c>
      <c r="E887">
        <v>2</v>
      </c>
      <c r="F887" t="s">
        <v>33</v>
      </c>
      <c r="G887" t="s">
        <v>23</v>
      </c>
      <c r="H887" t="s">
        <v>17</v>
      </c>
      <c r="I887">
        <v>2</v>
      </c>
      <c r="J887" t="s">
        <v>18</v>
      </c>
      <c r="K887" t="s">
        <v>35</v>
      </c>
      <c r="L887" t="str" cm="1">
        <f t="array" ref="L887">_xlfn.IFS(bike_buyers[[#This Row],[Age]]&gt;= 70, "senior citizen", bike_buyers[[#This Row],[Age]]&gt;=55, "middle age",  bike_buyers[[#This Row],[Age]]&gt;=40,"mature adult ", bike_buyers[[#This Row],[Age]]&gt;=30, "adults", bike_buyers[[#This Row],[Age]]&gt;= 20, "young adults")</f>
        <v xml:space="preserve">mature adult </v>
      </c>
      <c r="M887">
        <v>49</v>
      </c>
      <c r="N887" t="s">
        <v>20</v>
      </c>
    </row>
    <row r="888" spans="1:14" x14ac:dyDescent="0.25">
      <c r="A888">
        <v>11807</v>
      </c>
      <c r="B888" t="s">
        <v>13</v>
      </c>
      <c r="C888" t="s">
        <v>21</v>
      </c>
      <c r="D888" s="1">
        <v>70000</v>
      </c>
      <c r="E888">
        <v>3</v>
      </c>
      <c r="F888" t="s">
        <v>34</v>
      </c>
      <c r="G888" t="s">
        <v>24</v>
      </c>
      <c r="H888" t="s">
        <v>17</v>
      </c>
      <c r="I888">
        <v>0</v>
      </c>
      <c r="J888" t="s">
        <v>25</v>
      </c>
      <c r="K888" t="s">
        <v>35</v>
      </c>
      <c r="L888" t="str" cm="1">
        <f t="array" ref="L888">_xlfn.IFS(bike_buyers[[#This Row],[Age]]&gt;= 70, "senior citizen", bike_buyers[[#This Row],[Age]]&gt;=55, "middle age",  bike_buyers[[#This Row],[Age]]&gt;=40,"mature adult ", bike_buyers[[#This Row],[Age]]&gt;=30, "adults", bike_buyers[[#This Row],[Age]]&gt;= 20, "young adults")</f>
        <v>adults</v>
      </c>
      <c r="M888">
        <v>34</v>
      </c>
      <c r="N888" t="s">
        <v>20</v>
      </c>
    </row>
    <row r="889" spans="1:14" x14ac:dyDescent="0.25">
      <c r="A889">
        <v>11622</v>
      </c>
      <c r="B889" t="s">
        <v>13</v>
      </c>
      <c r="C889" t="s">
        <v>21</v>
      </c>
      <c r="D889" s="1">
        <v>50000</v>
      </c>
      <c r="E889">
        <v>0</v>
      </c>
      <c r="F889" t="s">
        <v>34</v>
      </c>
      <c r="G889" t="s">
        <v>16</v>
      </c>
      <c r="H889" t="s">
        <v>17</v>
      </c>
      <c r="I889">
        <v>0</v>
      </c>
      <c r="J889" t="s">
        <v>18</v>
      </c>
      <c r="K889" t="s">
        <v>35</v>
      </c>
      <c r="L889" t="str" cm="1">
        <f t="array" ref="L889">_xlfn.IFS(bike_buyers[[#This Row],[Age]]&gt;= 70, "senior citizen", bike_buyers[[#This Row],[Age]]&gt;=55, "middle age",  bike_buyers[[#This Row],[Age]]&gt;=40,"mature adult ", bike_buyers[[#This Row],[Age]]&gt;=30, "adults", bike_buyers[[#This Row],[Age]]&gt;= 20, "young adults")</f>
        <v>adults</v>
      </c>
      <c r="M889">
        <v>32</v>
      </c>
      <c r="N889" t="s">
        <v>20</v>
      </c>
    </row>
    <row r="890" spans="1:14" x14ac:dyDescent="0.25">
      <c r="A890">
        <v>26597</v>
      </c>
      <c r="B890" t="s">
        <v>26</v>
      </c>
      <c r="C890" t="s">
        <v>14</v>
      </c>
      <c r="D890" s="1">
        <v>60000</v>
      </c>
      <c r="E890">
        <v>4</v>
      </c>
      <c r="F890" t="s">
        <v>15</v>
      </c>
      <c r="G890" t="s">
        <v>16</v>
      </c>
      <c r="H890" t="s">
        <v>20</v>
      </c>
      <c r="I890">
        <v>2</v>
      </c>
      <c r="J890" t="s">
        <v>18</v>
      </c>
      <c r="K890" t="s">
        <v>35</v>
      </c>
      <c r="L890" t="str" cm="1">
        <f t="array" ref="L890">_xlfn.IFS(bike_buyers[[#This Row],[Age]]&gt;= 70, "senior citizen", bike_buyers[[#This Row],[Age]]&gt;=55, "middle age",  bike_buyers[[#This Row],[Age]]&gt;=40,"mature adult ", bike_buyers[[#This Row],[Age]]&gt;=30, "adults", bike_buyers[[#This Row],[Age]]&gt;= 20, "young adults")</f>
        <v xml:space="preserve">mature adult </v>
      </c>
      <c r="M890">
        <v>42</v>
      </c>
      <c r="N890" t="s">
        <v>20</v>
      </c>
    </row>
    <row r="891" spans="1:14" x14ac:dyDescent="0.25">
      <c r="A891">
        <v>27074</v>
      </c>
      <c r="B891" t="s">
        <v>13</v>
      </c>
      <c r="C891" t="s">
        <v>14</v>
      </c>
      <c r="D891" s="1">
        <v>70000</v>
      </c>
      <c r="E891">
        <v>1</v>
      </c>
      <c r="F891" t="s">
        <v>34</v>
      </c>
      <c r="G891" t="s">
        <v>16</v>
      </c>
      <c r="H891" t="s">
        <v>17</v>
      </c>
      <c r="I891">
        <v>0</v>
      </c>
      <c r="J891" t="s">
        <v>18</v>
      </c>
      <c r="K891" t="s">
        <v>35</v>
      </c>
      <c r="L891" t="str" cm="1">
        <f t="array" ref="L891">_xlfn.IFS(bike_buyers[[#This Row],[Age]]&gt;= 70, "senior citizen", bike_buyers[[#This Row],[Age]]&gt;=55, "middle age",  bike_buyers[[#This Row],[Age]]&gt;=40,"mature adult ", bike_buyers[[#This Row],[Age]]&gt;=30, "adults", bike_buyers[[#This Row],[Age]]&gt;= 20, "young adults")</f>
        <v>adults</v>
      </c>
      <c r="M891">
        <v>35</v>
      </c>
      <c r="N891" t="s">
        <v>17</v>
      </c>
    </row>
    <row r="892" spans="1:14" x14ac:dyDescent="0.25">
      <c r="A892">
        <v>19228</v>
      </c>
      <c r="B892" t="s">
        <v>13</v>
      </c>
      <c r="C892" t="s">
        <v>14</v>
      </c>
      <c r="D892" s="1">
        <v>40000</v>
      </c>
      <c r="E892">
        <v>2</v>
      </c>
      <c r="F892" t="s">
        <v>22</v>
      </c>
      <c r="G892" t="s">
        <v>23</v>
      </c>
      <c r="H892" t="s">
        <v>17</v>
      </c>
      <c r="I892">
        <v>1</v>
      </c>
      <c r="J892" t="s">
        <v>18</v>
      </c>
      <c r="K892" t="s">
        <v>35</v>
      </c>
      <c r="L892" t="str" cm="1">
        <f t="array" ref="L892">_xlfn.IFS(bike_buyers[[#This Row],[Age]]&gt;= 70, "senior citizen", bike_buyers[[#This Row],[Age]]&gt;=55, "middle age",  bike_buyers[[#This Row],[Age]]&gt;=40,"mature adult ", bike_buyers[[#This Row],[Age]]&gt;=30, "adults", bike_buyers[[#This Row],[Age]]&gt;= 20, "young adults")</f>
        <v xml:space="preserve">mature adult </v>
      </c>
      <c r="M892">
        <v>48</v>
      </c>
      <c r="N892" t="s">
        <v>20</v>
      </c>
    </row>
    <row r="893" spans="1:14" x14ac:dyDescent="0.25">
      <c r="A893">
        <v>13415</v>
      </c>
      <c r="B893" t="s">
        <v>26</v>
      </c>
      <c r="C893" t="s">
        <v>21</v>
      </c>
      <c r="D893" s="1">
        <v>100000</v>
      </c>
      <c r="E893">
        <v>1</v>
      </c>
      <c r="F893" t="s">
        <v>34</v>
      </c>
      <c r="G893" t="s">
        <v>32</v>
      </c>
      <c r="H893" t="s">
        <v>17</v>
      </c>
      <c r="I893">
        <v>3</v>
      </c>
      <c r="J893" t="s">
        <v>25</v>
      </c>
      <c r="K893" t="s">
        <v>35</v>
      </c>
      <c r="L893" t="str" cm="1">
        <f t="array" ref="L893">_xlfn.IFS(bike_buyers[[#This Row],[Age]]&gt;= 70, "senior citizen", bike_buyers[[#This Row],[Age]]&gt;=55, "middle age",  bike_buyers[[#This Row],[Age]]&gt;=40,"mature adult ", bike_buyers[[#This Row],[Age]]&gt;=30, "adults", bike_buyers[[#This Row],[Age]]&gt;= 20, "young adults")</f>
        <v>senior citizen</v>
      </c>
      <c r="M893">
        <v>73</v>
      </c>
      <c r="N893" t="s">
        <v>17</v>
      </c>
    </row>
    <row r="894" spans="1:14" x14ac:dyDescent="0.25">
      <c r="A894">
        <v>17000</v>
      </c>
      <c r="B894" t="s">
        <v>26</v>
      </c>
      <c r="C894" t="s">
        <v>14</v>
      </c>
      <c r="D894" s="1">
        <v>70000</v>
      </c>
      <c r="E894">
        <v>4</v>
      </c>
      <c r="F894" t="s">
        <v>15</v>
      </c>
      <c r="G894" t="s">
        <v>16</v>
      </c>
      <c r="H894" t="s">
        <v>17</v>
      </c>
      <c r="I894">
        <v>2</v>
      </c>
      <c r="J894" t="s">
        <v>25</v>
      </c>
      <c r="K894" t="s">
        <v>35</v>
      </c>
      <c r="L894" t="str" cm="1">
        <f t="array" ref="L894">_xlfn.IFS(bike_buyers[[#This Row],[Age]]&gt;= 70, "senior citizen", bike_buyers[[#This Row],[Age]]&gt;=55, "middle age",  bike_buyers[[#This Row],[Age]]&gt;=40,"mature adult ", bike_buyers[[#This Row],[Age]]&gt;=30, "adults", bike_buyers[[#This Row],[Age]]&gt;= 20, "young adults")</f>
        <v xml:space="preserve">mature adult </v>
      </c>
      <c r="M894">
        <v>43</v>
      </c>
      <c r="N894" t="s">
        <v>17</v>
      </c>
    </row>
    <row r="895" spans="1:14" x14ac:dyDescent="0.25">
      <c r="A895">
        <v>14569</v>
      </c>
      <c r="B895" t="s">
        <v>13</v>
      </c>
      <c r="C895" t="s">
        <v>21</v>
      </c>
      <c r="D895" s="1">
        <v>60000</v>
      </c>
      <c r="E895">
        <v>1</v>
      </c>
      <c r="F895" t="s">
        <v>34</v>
      </c>
      <c r="G895" t="s">
        <v>24</v>
      </c>
      <c r="H895" t="s">
        <v>17</v>
      </c>
      <c r="I895">
        <v>0</v>
      </c>
      <c r="J895" t="s">
        <v>18</v>
      </c>
      <c r="K895" t="s">
        <v>35</v>
      </c>
      <c r="L895" t="str" cm="1">
        <f t="array" ref="L895">_xlfn.IFS(bike_buyers[[#This Row],[Age]]&gt;= 70, "senior citizen", bike_buyers[[#This Row],[Age]]&gt;=55, "middle age",  bike_buyers[[#This Row],[Age]]&gt;=40,"mature adult ", bike_buyers[[#This Row],[Age]]&gt;=30, "adults", bike_buyers[[#This Row],[Age]]&gt;= 20, "young adults")</f>
        <v>adults</v>
      </c>
      <c r="M895">
        <v>35</v>
      </c>
      <c r="N895" t="s">
        <v>20</v>
      </c>
    </row>
    <row r="896" spans="1:14" x14ac:dyDescent="0.25">
      <c r="A896">
        <v>13873</v>
      </c>
      <c r="B896" t="s">
        <v>13</v>
      </c>
      <c r="C896" t="s">
        <v>21</v>
      </c>
      <c r="D896" s="1">
        <v>70000</v>
      </c>
      <c r="E896">
        <v>3</v>
      </c>
      <c r="F896" t="s">
        <v>34</v>
      </c>
      <c r="G896" t="s">
        <v>24</v>
      </c>
      <c r="H896" t="s">
        <v>17</v>
      </c>
      <c r="I896">
        <v>0</v>
      </c>
      <c r="J896" t="s">
        <v>18</v>
      </c>
      <c r="K896" t="s">
        <v>35</v>
      </c>
      <c r="L896" t="str" cm="1">
        <f t="array" ref="L896">_xlfn.IFS(bike_buyers[[#This Row],[Age]]&gt;= 70, "senior citizen", bike_buyers[[#This Row],[Age]]&gt;=55, "middle age",  bike_buyers[[#This Row],[Age]]&gt;=40,"mature adult ", bike_buyers[[#This Row],[Age]]&gt;=30, "adults", bike_buyers[[#This Row],[Age]]&gt;= 20, "young adults")</f>
        <v>adults</v>
      </c>
      <c r="M896">
        <v>35</v>
      </c>
      <c r="N896" t="s">
        <v>17</v>
      </c>
    </row>
    <row r="897" spans="1:14" x14ac:dyDescent="0.25">
      <c r="A897">
        <v>20401</v>
      </c>
      <c r="B897" t="s">
        <v>13</v>
      </c>
      <c r="C897" t="s">
        <v>14</v>
      </c>
      <c r="D897" s="1">
        <v>50000</v>
      </c>
      <c r="E897">
        <v>4</v>
      </c>
      <c r="F897" t="s">
        <v>15</v>
      </c>
      <c r="G897" t="s">
        <v>32</v>
      </c>
      <c r="H897" t="s">
        <v>17</v>
      </c>
      <c r="I897">
        <v>2</v>
      </c>
      <c r="J897" t="s">
        <v>30</v>
      </c>
      <c r="K897" t="s">
        <v>35</v>
      </c>
      <c r="L897" t="str" cm="1">
        <f t="array" ref="L897">_xlfn.IFS(bike_buyers[[#This Row],[Age]]&gt;= 70, "senior citizen", bike_buyers[[#This Row],[Age]]&gt;=55, "middle age",  bike_buyers[[#This Row],[Age]]&gt;=40,"mature adult ", bike_buyers[[#This Row],[Age]]&gt;=30, "adults", bike_buyers[[#This Row],[Age]]&gt;= 20, "young adults")</f>
        <v>middle age</v>
      </c>
      <c r="M897">
        <v>64</v>
      </c>
      <c r="N897" t="s">
        <v>17</v>
      </c>
    </row>
    <row r="898" spans="1:14" x14ac:dyDescent="0.25">
      <c r="A898">
        <v>21583</v>
      </c>
      <c r="B898" t="s">
        <v>13</v>
      </c>
      <c r="C898" t="s">
        <v>14</v>
      </c>
      <c r="D898" s="1">
        <v>50000</v>
      </c>
      <c r="E898">
        <v>1</v>
      </c>
      <c r="F898" t="s">
        <v>15</v>
      </c>
      <c r="G898" t="s">
        <v>16</v>
      </c>
      <c r="H898" t="s">
        <v>17</v>
      </c>
      <c r="I898">
        <v>0</v>
      </c>
      <c r="J898" t="s">
        <v>18</v>
      </c>
      <c r="K898" t="s">
        <v>35</v>
      </c>
      <c r="L898" t="str" cm="1">
        <f t="array" ref="L898">_xlfn.IFS(bike_buyers[[#This Row],[Age]]&gt;= 70, "senior citizen", bike_buyers[[#This Row],[Age]]&gt;=55, "middle age",  bike_buyers[[#This Row],[Age]]&gt;=40,"mature adult ", bike_buyers[[#This Row],[Age]]&gt;=30, "adults", bike_buyers[[#This Row],[Age]]&gt;= 20, "young adults")</f>
        <v>adults</v>
      </c>
      <c r="M898">
        <v>34</v>
      </c>
      <c r="N898" t="s">
        <v>17</v>
      </c>
    </row>
    <row r="899" spans="1:14" x14ac:dyDescent="0.25">
      <c r="A899">
        <v>12029</v>
      </c>
      <c r="B899" t="s">
        <v>13</v>
      </c>
      <c r="C899" t="s">
        <v>21</v>
      </c>
      <c r="D899" s="1">
        <v>30000</v>
      </c>
      <c r="E899">
        <v>0</v>
      </c>
      <c r="F899" t="s">
        <v>33</v>
      </c>
      <c r="G899" t="s">
        <v>23</v>
      </c>
      <c r="H899" t="s">
        <v>20</v>
      </c>
      <c r="I899">
        <v>2</v>
      </c>
      <c r="J899" t="s">
        <v>18</v>
      </c>
      <c r="K899" t="s">
        <v>35</v>
      </c>
      <c r="L899" t="str" cm="1">
        <f t="array" ref="L899">_xlfn.IFS(bike_buyers[[#This Row],[Age]]&gt;= 70, "senior citizen", bike_buyers[[#This Row],[Age]]&gt;=55, "middle age",  bike_buyers[[#This Row],[Age]]&gt;=40,"mature adult ", bike_buyers[[#This Row],[Age]]&gt;=30, "adults", bike_buyers[[#This Row],[Age]]&gt;= 20, "young adults")</f>
        <v>young adults</v>
      </c>
      <c r="M899">
        <v>28</v>
      </c>
      <c r="N899" t="s">
        <v>20</v>
      </c>
    </row>
    <row r="900" spans="1:14" x14ac:dyDescent="0.25">
      <c r="A900">
        <v>18066</v>
      </c>
      <c r="B900" t="s">
        <v>26</v>
      </c>
      <c r="C900" t="s">
        <v>21</v>
      </c>
      <c r="D900" s="1">
        <v>70000</v>
      </c>
      <c r="E900">
        <v>5</v>
      </c>
      <c r="F900" t="s">
        <v>15</v>
      </c>
      <c r="G900" t="s">
        <v>32</v>
      </c>
      <c r="H900" t="s">
        <v>17</v>
      </c>
      <c r="I900">
        <v>3</v>
      </c>
      <c r="J900" t="s">
        <v>41</v>
      </c>
      <c r="K900" t="s">
        <v>35</v>
      </c>
      <c r="L900" t="str" cm="1">
        <f t="array" ref="L900">_xlfn.IFS(bike_buyers[[#This Row],[Age]]&gt;= 70, "senior citizen", bike_buyers[[#This Row],[Age]]&gt;=55, "middle age",  bike_buyers[[#This Row],[Age]]&gt;=40,"mature adult ", bike_buyers[[#This Row],[Age]]&gt;=30, "adults", bike_buyers[[#This Row],[Age]]&gt;= 20, "young adults")</f>
        <v>middle age</v>
      </c>
      <c r="M900">
        <v>60</v>
      </c>
      <c r="N900" t="s">
        <v>17</v>
      </c>
    </row>
    <row r="901" spans="1:14" x14ac:dyDescent="0.25">
      <c r="A901">
        <v>28192</v>
      </c>
      <c r="B901" t="s">
        <v>13</v>
      </c>
      <c r="C901" t="s">
        <v>14</v>
      </c>
      <c r="D901" s="1">
        <v>70000</v>
      </c>
      <c r="E901">
        <v>5</v>
      </c>
      <c r="F901" t="s">
        <v>34</v>
      </c>
      <c r="G901" t="s">
        <v>24</v>
      </c>
      <c r="H901" t="s">
        <v>17</v>
      </c>
      <c r="I901">
        <v>3</v>
      </c>
      <c r="J901" t="s">
        <v>41</v>
      </c>
      <c r="K901" t="s">
        <v>35</v>
      </c>
      <c r="L901" t="str" cm="1">
        <f t="array" ref="L901">_xlfn.IFS(bike_buyers[[#This Row],[Age]]&gt;= 70, "senior citizen", bike_buyers[[#This Row],[Age]]&gt;=55, "middle age",  bike_buyers[[#This Row],[Age]]&gt;=40,"mature adult ", bike_buyers[[#This Row],[Age]]&gt;=30, "adults", bike_buyers[[#This Row],[Age]]&gt;= 20, "young adults")</f>
        <v xml:space="preserve">mature adult </v>
      </c>
      <c r="M901">
        <v>46</v>
      </c>
      <c r="N901" t="s">
        <v>20</v>
      </c>
    </row>
    <row r="902" spans="1:14" x14ac:dyDescent="0.25">
      <c r="A902">
        <v>16122</v>
      </c>
      <c r="B902" t="s">
        <v>13</v>
      </c>
      <c r="C902" t="s">
        <v>21</v>
      </c>
      <c r="D902" s="1">
        <v>40000</v>
      </c>
      <c r="E902">
        <v>4</v>
      </c>
      <c r="F902" t="s">
        <v>31</v>
      </c>
      <c r="G902" t="s">
        <v>16</v>
      </c>
      <c r="H902" t="s">
        <v>17</v>
      </c>
      <c r="I902">
        <v>2</v>
      </c>
      <c r="J902" t="s">
        <v>18</v>
      </c>
      <c r="K902" t="s">
        <v>35</v>
      </c>
      <c r="L902" t="str" cm="1">
        <f t="array" ref="L902">_xlfn.IFS(bike_buyers[[#This Row],[Age]]&gt;= 70, "senior citizen", bike_buyers[[#This Row],[Age]]&gt;=55, "middle age",  bike_buyers[[#This Row],[Age]]&gt;=40,"mature adult ", bike_buyers[[#This Row],[Age]]&gt;=30, "adults", bike_buyers[[#This Row],[Age]]&gt;= 20, "young adults")</f>
        <v xml:space="preserve">mature adult </v>
      </c>
      <c r="M902">
        <v>44</v>
      </c>
      <c r="N902" t="s">
        <v>17</v>
      </c>
    </row>
    <row r="903" spans="1:14" x14ac:dyDescent="0.25">
      <c r="A903">
        <v>18607</v>
      </c>
      <c r="B903" t="s">
        <v>26</v>
      </c>
      <c r="C903" t="s">
        <v>14</v>
      </c>
      <c r="D903" s="1">
        <v>60000</v>
      </c>
      <c r="E903">
        <v>4</v>
      </c>
      <c r="F903" t="s">
        <v>15</v>
      </c>
      <c r="G903" t="s">
        <v>16</v>
      </c>
      <c r="H903" t="s">
        <v>17</v>
      </c>
      <c r="I903">
        <v>2</v>
      </c>
      <c r="J903" t="s">
        <v>25</v>
      </c>
      <c r="K903" t="s">
        <v>35</v>
      </c>
      <c r="L903" t="str" cm="1">
        <f t="array" ref="L903">_xlfn.IFS(bike_buyers[[#This Row],[Age]]&gt;= 70, "senior citizen", bike_buyers[[#This Row],[Age]]&gt;=55, "middle age",  bike_buyers[[#This Row],[Age]]&gt;=40,"mature adult ", bike_buyers[[#This Row],[Age]]&gt;=30, "adults", bike_buyers[[#This Row],[Age]]&gt;= 20, "young adults")</f>
        <v xml:space="preserve">mature adult </v>
      </c>
      <c r="M903">
        <v>42</v>
      </c>
      <c r="N903" t="s">
        <v>17</v>
      </c>
    </row>
    <row r="904" spans="1:14" x14ac:dyDescent="0.25">
      <c r="A904">
        <v>28858</v>
      </c>
      <c r="B904" t="s">
        <v>26</v>
      </c>
      <c r="C904" t="s">
        <v>21</v>
      </c>
      <c r="D904" s="1">
        <v>80000</v>
      </c>
      <c r="E904">
        <v>3</v>
      </c>
      <c r="F904" t="s">
        <v>15</v>
      </c>
      <c r="G904" t="s">
        <v>16</v>
      </c>
      <c r="H904" t="s">
        <v>17</v>
      </c>
      <c r="I904">
        <v>0</v>
      </c>
      <c r="J904" t="s">
        <v>25</v>
      </c>
      <c r="K904" t="s">
        <v>35</v>
      </c>
      <c r="L904" t="str" cm="1">
        <f t="array" ref="L904">_xlfn.IFS(bike_buyers[[#This Row],[Age]]&gt;= 70, "senior citizen", bike_buyers[[#This Row],[Age]]&gt;=55, "middle age",  bike_buyers[[#This Row],[Age]]&gt;=40,"mature adult ", bike_buyers[[#This Row],[Age]]&gt;=30, "adults", bike_buyers[[#This Row],[Age]]&gt;= 20, "young adults")</f>
        <v xml:space="preserve">mature adult </v>
      </c>
      <c r="M904">
        <v>40</v>
      </c>
      <c r="N904" t="s">
        <v>20</v>
      </c>
    </row>
    <row r="905" spans="1:14" x14ac:dyDescent="0.25">
      <c r="A905">
        <v>14432</v>
      </c>
      <c r="B905" t="s">
        <v>26</v>
      </c>
      <c r="C905" t="s">
        <v>21</v>
      </c>
      <c r="D905" s="1">
        <v>90000</v>
      </c>
      <c r="E905">
        <v>4</v>
      </c>
      <c r="F905" t="s">
        <v>34</v>
      </c>
      <c r="G905" t="s">
        <v>32</v>
      </c>
      <c r="H905" t="s">
        <v>17</v>
      </c>
      <c r="I905">
        <v>1</v>
      </c>
      <c r="J905" t="s">
        <v>27</v>
      </c>
      <c r="K905" t="s">
        <v>35</v>
      </c>
      <c r="L905" t="str" cm="1">
        <f t="array" ref="L905">_xlfn.IFS(bike_buyers[[#This Row],[Age]]&gt;= 70, "senior citizen", bike_buyers[[#This Row],[Age]]&gt;=55, "middle age",  bike_buyers[[#This Row],[Age]]&gt;=40,"mature adult ", bike_buyers[[#This Row],[Age]]&gt;=30, "adults", bike_buyers[[#This Row],[Age]]&gt;= 20, "young adults")</f>
        <v>senior citizen</v>
      </c>
      <c r="M905">
        <v>73</v>
      </c>
      <c r="N905" t="s">
        <v>20</v>
      </c>
    </row>
    <row r="906" spans="1:14" x14ac:dyDescent="0.25">
      <c r="A906">
        <v>26305</v>
      </c>
      <c r="B906" t="s">
        <v>26</v>
      </c>
      <c r="C906" t="s">
        <v>14</v>
      </c>
      <c r="D906" s="1">
        <v>60000</v>
      </c>
      <c r="E906">
        <v>2</v>
      </c>
      <c r="F906" t="s">
        <v>15</v>
      </c>
      <c r="G906" t="s">
        <v>16</v>
      </c>
      <c r="H906" t="s">
        <v>20</v>
      </c>
      <c r="I906">
        <v>0</v>
      </c>
      <c r="J906" t="s">
        <v>18</v>
      </c>
      <c r="K906" t="s">
        <v>35</v>
      </c>
      <c r="L906" t="str" cm="1">
        <f t="array" ref="L906">_xlfn.IFS(bike_buyers[[#This Row],[Age]]&gt;= 70, "senior citizen", bike_buyers[[#This Row],[Age]]&gt;=55, "middle age",  bike_buyers[[#This Row],[Age]]&gt;=40,"mature adult ", bike_buyers[[#This Row],[Age]]&gt;=30, "adults", bike_buyers[[#This Row],[Age]]&gt;= 20, "young adults")</f>
        <v>adults</v>
      </c>
      <c r="M906">
        <v>36</v>
      </c>
      <c r="N906" t="s">
        <v>17</v>
      </c>
    </row>
    <row r="907" spans="1:14" x14ac:dyDescent="0.25">
      <c r="A907">
        <v>22050</v>
      </c>
      <c r="B907" t="s">
        <v>26</v>
      </c>
      <c r="C907" t="s">
        <v>21</v>
      </c>
      <c r="D907" s="1">
        <v>90000</v>
      </c>
      <c r="E907">
        <v>4</v>
      </c>
      <c r="F907" t="s">
        <v>15</v>
      </c>
      <c r="G907" t="s">
        <v>32</v>
      </c>
      <c r="H907" t="s">
        <v>17</v>
      </c>
      <c r="I907">
        <v>1</v>
      </c>
      <c r="J907" t="s">
        <v>30</v>
      </c>
      <c r="K907" t="s">
        <v>35</v>
      </c>
      <c r="L907" t="str" cm="1">
        <f t="array" ref="L907">_xlfn.IFS(bike_buyers[[#This Row],[Age]]&gt;= 70, "senior citizen", bike_buyers[[#This Row],[Age]]&gt;=55, "middle age",  bike_buyers[[#This Row],[Age]]&gt;=40,"mature adult ", bike_buyers[[#This Row],[Age]]&gt;=30, "adults", bike_buyers[[#This Row],[Age]]&gt;= 20, "young adults")</f>
        <v>adults</v>
      </c>
      <c r="M907">
        <v>38</v>
      </c>
      <c r="N907" t="s">
        <v>17</v>
      </c>
    </row>
    <row r="908" spans="1:14" x14ac:dyDescent="0.25">
      <c r="A908">
        <v>25394</v>
      </c>
      <c r="B908" t="s">
        <v>13</v>
      </c>
      <c r="C908" t="s">
        <v>21</v>
      </c>
      <c r="D908" s="1">
        <v>60000</v>
      </c>
      <c r="E908">
        <v>1</v>
      </c>
      <c r="F908" t="s">
        <v>34</v>
      </c>
      <c r="G908" t="s">
        <v>24</v>
      </c>
      <c r="H908" t="s">
        <v>17</v>
      </c>
      <c r="I908">
        <v>0</v>
      </c>
      <c r="J908" t="s">
        <v>25</v>
      </c>
      <c r="K908" t="s">
        <v>35</v>
      </c>
      <c r="L908" t="str" cm="1">
        <f t="array" ref="L908">_xlfn.IFS(bike_buyers[[#This Row],[Age]]&gt;= 70, "senior citizen", bike_buyers[[#This Row],[Age]]&gt;=55, "middle age",  bike_buyers[[#This Row],[Age]]&gt;=40,"mature adult ", bike_buyers[[#This Row],[Age]]&gt;=30, "adults", bike_buyers[[#This Row],[Age]]&gt;= 20, "young adults")</f>
        <v>adults</v>
      </c>
      <c r="M908">
        <v>34</v>
      </c>
      <c r="N908" t="s">
        <v>17</v>
      </c>
    </row>
    <row r="909" spans="1:14" x14ac:dyDescent="0.25">
      <c r="A909">
        <v>19747</v>
      </c>
      <c r="B909" t="s">
        <v>13</v>
      </c>
      <c r="C909" t="s">
        <v>21</v>
      </c>
      <c r="D909" s="1">
        <v>50000</v>
      </c>
      <c r="E909">
        <v>4</v>
      </c>
      <c r="F909" t="s">
        <v>15</v>
      </c>
      <c r="G909" t="s">
        <v>32</v>
      </c>
      <c r="H909" t="s">
        <v>17</v>
      </c>
      <c r="I909">
        <v>2</v>
      </c>
      <c r="J909" t="s">
        <v>41</v>
      </c>
      <c r="K909" t="s">
        <v>35</v>
      </c>
      <c r="L909" t="str" cm="1">
        <f t="array" ref="L909">_xlfn.IFS(bike_buyers[[#This Row],[Age]]&gt;= 70, "senior citizen", bike_buyers[[#This Row],[Age]]&gt;=55, "middle age",  bike_buyers[[#This Row],[Age]]&gt;=40,"mature adult ", bike_buyers[[#This Row],[Age]]&gt;=30, "adults", bike_buyers[[#This Row],[Age]]&gt;= 20, "young adults")</f>
        <v>middle age</v>
      </c>
      <c r="M909">
        <v>63</v>
      </c>
      <c r="N909" t="s">
        <v>20</v>
      </c>
    </row>
    <row r="910" spans="1:14" x14ac:dyDescent="0.25">
      <c r="A910">
        <v>23195</v>
      </c>
      <c r="B910" t="s">
        <v>26</v>
      </c>
      <c r="C910" t="s">
        <v>21</v>
      </c>
      <c r="D910" s="1">
        <v>50000</v>
      </c>
      <c r="E910">
        <v>3</v>
      </c>
      <c r="F910" t="s">
        <v>15</v>
      </c>
      <c r="G910" t="s">
        <v>16</v>
      </c>
      <c r="H910" t="s">
        <v>17</v>
      </c>
      <c r="I910">
        <v>2</v>
      </c>
      <c r="J910" t="s">
        <v>25</v>
      </c>
      <c r="K910" t="s">
        <v>35</v>
      </c>
      <c r="L910" t="str" cm="1">
        <f t="array" ref="L910">_xlfn.IFS(bike_buyers[[#This Row],[Age]]&gt;= 70, "senior citizen", bike_buyers[[#This Row],[Age]]&gt;=55, "middle age",  bike_buyers[[#This Row],[Age]]&gt;=40,"mature adult ", bike_buyers[[#This Row],[Age]]&gt;=30, "adults", bike_buyers[[#This Row],[Age]]&gt;= 20, "young adults")</f>
        <v xml:space="preserve">mature adult </v>
      </c>
      <c r="M910">
        <v>41</v>
      </c>
      <c r="N910" t="s">
        <v>17</v>
      </c>
    </row>
    <row r="911" spans="1:14" x14ac:dyDescent="0.25">
      <c r="A911">
        <v>21695</v>
      </c>
      <c r="B911" t="s">
        <v>13</v>
      </c>
      <c r="C911" t="s">
        <v>21</v>
      </c>
      <c r="D911" s="1">
        <v>60000</v>
      </c>
      <c r="E911">
        <v>0</v>
      </c>
      <c r="F911" t="s">
        <v>34</v>
      </c>
      <c r="G911" t="s">
        <v>16</v>
      </c>
      <c r="H911" t="s">
        <v>17</v>
      </c>
      <c r="I911">
        <v>0</v>
      </c>
      <c r="J911" t="s">
        <v>30</v>
      </c>
      <c r="K911" t="s">
        <v>35</v>
      </c>
      <c r="L911" t="str" cm="1">
        <f t="array" ref="L911">_xlfn.IFS(bike_buyers[[#This Row],[Age]]&gt;= 70, "senior citizen", bike_buyers[[#This Row],[Age]]&gt;=55, "middle age",  bike_buyers[[#This Row],[Age]]&gt;=40,"mature adult ", bike_buyers[[#This Row],[Age]]&gt;=30, "adults", bike_buyers[[#This Row],[Age]]&gt;= 20, "young adults")</f>
        <v>adults</v>
      </c>
      <c r="M911">
        <v>39</v>
      </c>
      <c r="N911" t="s">
        <v>17</v>
      </c>
    </row>
    <row r="912" spans="1:14" x14ac:dyDescent="0.25">
      <c r="A912">
        <v>13934</v>
      </c>
      <c r="B912" t="s">
        <v>13</v>
      </c>
      <c r="C912" t="s">
        <v>21</v>
      </c>
      <c r="D912" s="1">
        <v>40000</v>
      </c>
      <c r="E912">
        <v>4</v>
      </c>
      <c r="F912" t="s">
        <v>31</v>
      </c>
      <c r="G912" t="s">
        <v>16</v>
      </c>
      <c r="H912" t="s">
        <v>17</v>
      </c>
      <c r="I912">
        <v>2</v>
      </c>
      <c r="J912" t="s">
        <v>25</v>
      </c>
      <c r="K912" t="s">
        <v>35</v>
      </c>
      <c r="L912" t="str" cm="1">
        <f t="array" ref="L912">_xlfn.IFS(bike_buyers[[#This Row],[Age]]&gt;= 70, "senior citizen", bike_buyers[[#This Row],[Age]]&gt;=55, "middle age",  bike_buyers[[#This Row],[Age]]&gt;=40,"mature adult ", bike_buyers[[#This Row],[Age]]&gt;=30, "adults", bike_buyers[[#This Row],[Age]]&gt;= 20, "young adults")</f>
        <v xml:space="preserve">mature adult </v>
      </c>
      <c r="M912">
        <v>46</v>
      </c>
      <c r="N912" t="s">
        <v>20</v>
      </c>
    </row>
    <row r="913" spans="1:14" x14ac:dyDescent="0.25">
      <c r="A913">
        <v>13337</v>
      </c>
      <c r="B913" t="s">
        <v>13</v>
      </c>
      <c r="C913" t="s">
        <v>14</v>
      </c>
      <c r="D913" s="1">
        <v>80000</v>
      </c>
      <c r="E913">
        <v>5</v>
      </c>
      <c r="F913" t="s">
        <v>15</v>
      </c>
      <c r="G913" t="s">
        <v>32</v>
      </c>
      <c r="H913" t="s">
        <v>17</v>
      </c>
      <c r="I913">
        <v>2</v>
      </c>
      <c r="J913" t="s">
        <v>27</v>
      </c>
      <c r="K913" t="s">
        <v>35</v>
      </c>
      <c r="L913" t="str" cm="1">
        <f t="array" ref="L913">_xlfn.IFS(bike_buyers[[#This Row],[Age]]&gt;= 70, "senior citizen", bike_buyers[[#This Row],[Age]]&gt;=55, "middle age",  bike_buyers[[#This Row],[Age]]&gt;=40,"mature adult ", bike_buyers[[#This Row],[Age]]&gt;=30, "adults", bike_buyers[[#This Row],[Age]]&gt;= 20, "young adults")</f>
        <v>middle age</v>
      </c>
      <c r="M913">
        <v>64</v>
      </c>
      <c r="N913" t="s">
        <v>20</v>
      </c>
    </row>
    <row r="914" spans="1:14" x14ac:dyDescent="0.25">
      <c r="A914">
        <v>27190</v>
      </c>
      <c r="B914" t="s">
        <v>13</v>
      </c>
      <c r="C914" t="s">
        <v>14</v>
      </c>
      <c r="D914" s="1">
        <v>40000</v>
      </c>
      <c r="E914">
        <v>3</v>
      </c>
      <c r="F914" t="s">
        <v>22</v>
      </c>
      <c r="G914" t="s">
        <v>23</v>
      </c>
      <c r="H914" t="s">
        <v>17</v>
      </c>
      <c r="I914">
        <v>1</v>
      </c>
      <c r="J914" t="s">
        <v>30</v>
      </c>
      <c r="K914" t="s">
        <v>35</v>
      </c>
      <c r="L914" t="str" cm="1">
        <f t="array" ref="L914">_xlfn.IFS(bike_buyers[[#This Row],[Age]]&gt;= 70, "senior citizen", bike_buyers[[#This Row],[Age]]&gt;=55, "middle age",  bike_buyers[[#This Row],[Age]]&gt;=40,"mature adult ", bike_buyers[[#This Row],[Age]]&gt;=30, "adults", bike_buyers[[#This Row],[Age]]&gt;= 20, "young adults")</f>
        <v>adults</v>
      </c>
      <c r="M914">
        <v>32</v>
      </c>
      <c r="N914" t="s">
        <v>20</v>
      </c>
    </row>
    <row r="915" spans="1:14" x14ac:dyDescent="0.25">
      <c r="A915">
        <v>28657</v>
      </c>
      <c r="B915" t="s">
        <v>26</v>
      </c>
      <c r="C915" t="s">
        <v>21</v>
      </c>
      <c r="D915" s="1">
        <v>60000</v>
      </c>
      <c r="E915">
        <v>2</v>
      </c>
      <c r="F915" t="s">
        <v>15</v>
      </c>
      <c r="G915" t="s">
        <v>16</v>
      </c>
      <c r="H915" t="s">
        <v>17</v>
      </c>
      <c r="I915">
        <v>0</v>
      </c>
      <c r="J915" t="s">
        <v>25</v>
      </c>
      <c r="K915" t="s">
        <v>35</v>
      </c>
      <c r="L915" t="str" cm="1">
        <f t="array" ref="L915">_xlfn.IFS(bike_buyers[[#This Row],[Age]]&gt;= 70, "senior citizen", bike_buyers[[#This Row],[Age]]&gt;=55, "middle age",  bike_buyers[[#This Row],[Age]]&gt;=40,"mature adult ", bike_buyers[[#This Row],[Age]]&gt;=30, "adults", bike_buyers[[#This Row],[Age]]&gt;= 20, "young adults")</f>
        <v>adults</v>
      </c>
      <c r="M915">
        <v>36</v>
      </c>
      <c r="N915" t="s">
        <v>17</v>
      </c>
    </row>
    <row r="916" spans="1:14" x14ac:dyDescent="0.25">
      <c r="A916">
        <v>21713</v>
      </c>
      <c r="B916" t="s">
        <v>26</v>
      </c>
      <c r="C916" t="s">
        <v>21</v>
      </c>
      <c r="D916" s="1">
        <v>80000</v>
      </c>
      <c r="E916">
        <v>5</v>
      </c>
      <c r="F916" t="s">
        <v>34</v>
      </c>
      <c r="G916" t="s">
        <v>16</v>
      </c>
      <c r="H916" t="s">
        <v>20</v>
      </c>
      <c r="I916">
        <v>0</v>
      </c>
      <c r="J916" t="s">
        <v>18</v>
      </c>
      <c r="K916" t="s">
        <v>35</v>
      </c>
      <c r="L916" t="str" cm="1">
        <f t="array" ref="L916">_xlfn.IFS(bike_buyers[[#This Row],[Age]]&gt;= 70, "senior citizen", bike_buyers[[#This Row],[Age]]&gt;=55, "middle age",  bike_buyers[[#This Row],[Age]]&gt;=40,"mature adult ", bike_buyers[[#This Row],[Age]]&gt;=30, "adults", bike_buyers[[#This Row],[Age]]&gt;= 20, "young adults")</f>
        <v xml:space="preserve">mature adult </v>
      </c>
      <c r="M916">
        <v>47</v>
      </c>
      <c r="N916" t="s">
        <v>20</v>
      </c>
    </row>
    <row r="917" spans="1:14" x14ac:dyDescent="0.25">
      <c r="A917">
        <v>21752</v>
      </c>
      <c r="B917" t="s">
        <v>13</v>
      </c>
      <c r="C917" t="s">
        <v>21</v>
      </c>
      <c r="D917" s="1">
        <v>60000</v>
      </c>
      <c r="E917">
        <v>3</v>
      </c>
      <c r="F917" t="s">
        <v>34</v>
      </c>
      <c r="G917" t="s">
        <v>32</v>
      </c>
      <c r="H917" t="s">
        <v>17</v>
      </c>
      <c r="I917">
        <v>2</v>
      </c>
      <c r="J917" t="s">
        <v>41</v>
      </c>
      <c r="K917" t="s">
        <v>35</v>
      </c>
      <c r="L917" t="str" cm="1">
        <f t="array" ref="L917">_xlfn.IFS(bike_buyers[[#This Row],[Age]]&gt;= 70, "senior citizen", bike_buyers[[#This Row],[Age]]&gt;=55, "middle age",  bike_buyers[[#This Row],[Age]]&gt;=40,"mature adult ", bike_buyers[[#This Row],[Age]]&gt;=30, "adults", bike_buyers[[#This Row],[Age]]&gt;= 20, "young adults")</f>
        <v>middle age</v>
      </c>
      <c r="M917">
        <v>64</v>
      </c>
      <c r="N917" t="s">
        <v>20</v>
      </c>
    </row>
    <row r="918" spans="1:14" x14ac:dyDescent="0.25">
      <c r="A918">
        <v>27273</v>
      </c>
      <c r="B918" t="s">
        <v>26</v>
      </c>
      <c r="C918" t="s">
        <v>21</v>
      </c>
      <c r="D918" s="1">
        <v>70000</v>
      </c>
      <c r="E918">
        <v>3</v>
      </c>
      <c r="F918" t="s">
        <v>34</v>
      </c>
      <c r="G918" t="s">
        <v>24</v>
      </c>
      <c r="H918" t="s">
        <v>20</v>
      </c>
      <c r="I918">
        <v>0</v>
      </c>
      <c r="J918" t="s">
        <v>18</v>
      </c>
      <c r="K918" t="s">
        <v>35</v>
      </c>
      <c r="L918" t="str" cm="1">
        <f t="array" ref="L918">_xlfn.IFS(bike_buyers[[#This Row],[Age]]&gt;= 70, "senior citizen", bike_buyers[[#This Row],[Age]]&gt;=55, "middle age",  bike_buyers[[#This Row],[Age]]&gt;=40,"mature adult ", bike_buyers[[#This Row],[Age]]&gt;=30, "adults", bike_buyers[[#This Row],[Age]]&gt;= 20, "young adults")</f>
        <v>adults</v>
      </c>
      <c r="M918">
        <v>35</v>
      </c>
      <c r="N918" t="s">
        <v>17</v>
      </c>
    </row>
    <row r="919" spans="1:14" x14ac:dyDescent="0.25">
      <c r="A919">
        <v>22719</v>
      </c>
      <c r="B919" t="s">
        <v>26</v>
      </c>
      <c r="C919" t="s">
        <v>21</v>
      </c>
      <c r="D919" s="1">
        <v>110000</v>
      </c>
      <c r="E919">
        <v>3</v>
      </c>
      <c r="F919" t="s">
        <v>15</v>
      </c>
      <c r="G919" t="s">
        <v>32</v>
      </c>
      <c r="H919" t="s">
        <v>17</v>
      </c>
      <c r="I919">
        <v>4</v>
      </c>
      <c r="J919" t="s">
        <v>25</v>
      </c>
      <c r="K919" t="s">
        <v>35</v>
      </c>
      <c r="L919" t="str" cm="1">
        <f t="array" ref="L919">_xlfn.IFS(bike_buyers[[#This Row],[Age]]&gt;= 70, "senior citizen", bike_buyers[[#This Row],[Age]]&gt;=55, "middle age",  bike_buyers[[#This Row],[Age]]&gt;=40,"mature adult ", bike_buyers[[#This Row],[Age]]&gt;=30, "adults", bike_buyers[[#This Row],[Age]]&gt;= 20, "young adults")</f>
        <v xml:space="preserve">mature adult </v>
      </c>
      <c r="M919">
        <v>40</v>
      </c>
      <c r="N919" t="s">
        <v>17</v>
      </c>
    </row>
    <row r="920" spans="1:14" x14ac:dyDescent="0.25">
      <c r="A920">
        <v>22042</v>
      </c>
      <c r="B920" t="s">
        <v>13</v>
      </c>
      <c r="C920" t="s">
        <v>14</v>
      </c>
      <c r="D920" s="1">
        <v>70000</v>
      </c>
      <c r="E920">
        <v>0</v>
      </c>
      <c r="F920" t="s">
        <v>22</v>
      </c>
      <c r="G920" t="s">
        <v>16</v>
      </c>
      <c r="H920" t="s">
        <v>17</v>
      </c>
      <c r="I920">
        <v>2</v>
      </c>
      <c r="J920" t="s">
        <v>27</v>
      </c>
      <c r="K920" t="s">
        <v>35</v>
      </c>
      <c r="L920" t="str" cm="1">
        <f t="array" ref="L920">_xlfn.IFS(bike_buyers[[#This Row],[Age]]&gt;= 70, "senior citizen", bike_buyers[[#This Row],[Age]]&gt;=55, "middle age",  bike_buyers[[#This Row],[Age]]&gt;=40,"mature adult ", bike_buyers[[#This Row],[Age]]&gt;=30, "adults", bike_buyers[[#This Row],[Age]]&gt;= 20, "young adults")</f>
        <v>adults</v>
      </c>
      <c r="M920">
        <v>34</v>
      </c>
      <c r="N920" t="s">
        <v>17</v>
      </c>
    </row>
    <row r="921" spans="1:14" x14ac:dyDescent="0.25">
      <c r="A921">
        <v>21451</v>
      </c>
      <c r="B921" t="s">
        <v>13</v>
      </c>
      <c r="C921" t="s">
        <v>14</v>
      </c>
      <c r="D921" s="1">
        <v>40000</v>
      </c>
      <c r="E921">
        <v>4</v>
      </c>
      <c r="F921" t="s">
        <v>31</v>
      </c>
      <c r="G921" t="s">
        <v>24</v>
      </c>
      <c r="H921" t="s">
        <v>17</v>
      </c>
      <c r="I921">
        <v>2</v>
      </c>
      <c r="J921" t="s">
        <v>41</v>
      </c>
      <c r="K921" t="s">
        <v>35</v>
      </c>
      <c r="L921" t="str" cm="1">
        <f t="array" ref="L921">_xlfn.IFS(bike_buyers[[#This Row],[Age]]&gt;= 70, "senior citizen", bike_buyers[[#This Row],[Age]]&gt;=55, "middle age",  bike_buyers[[#This Row],[Age]]&gt;=40,"mature adult ", bike_buyers[[#This Row],[Age]]&gt;=30, "adults", bike_buyers[[#This Row],[Age]]&gt;= 20, "young adults")</f>
        <v>middle age</v>
      </c>
      <c r="M921">
        <v>61</v>
      </c>
      <c r="N921" t="s">
        <v>20</v>
      </c>
    </row>
    <row r="922" spans="1:14" x14ac:dyDescent="0.25">
      <c r="A922">
        <v>20754</v>
      </c>
      <c r="B922" t="s">
        <v>13</v>
      </c>
      <c r="C922" t="s">
        <v>21</v>
      </c>
      <c r="D922" s="1">
        <v>30000</v>
      </c>
      <c r="E922">
        <v>2</v>
      </c>
      <c r="F922" t="s">
        <v>31</v>
      </c>
      <c r="G922" t="s">
        <v>16</v>
      </c>
      <c r="H922" t="s">
        <v>17</v>
      </c>
      <c r="I922">
        <v>2</v>
      </c>
      <c r="J922" t="s">
        <v>30</v>
      </c>
      <c r="K922" t="s">
        <v>35</v>
      </c>
      <c r="L922" t="str" cm="1">
        <f t="array" ref="L922">_xlfn.IFS(bike_buyers[[#This Row],[Age]]&gt;= 70, "senior citizen", bike_buyers[[#This Row],[Age]]&gt;=55, "middle age",  bike_buyers[[#This Row],[Age]]&gt;=40,"mature adult ", bike_buyers[[#This Row],[Age]]&gt;=30, "adults", bike_buyers[[#This Row],[Age]]&gt;= 20, "young adults")</f>
        <v xml:space="preserve">mature adult </v>
      </c>
      <c r="M922">
        <v>51</v>
      </c>
      <c r="N922" t="s">
        <v>20</v>
      </c>
    </row>
    <row r="923" spans="1:14" x14ac:dyDescent="0.25">
      <c r="A923">
        <v>12153</v>
      </c>
      <c r="B923" t="s">
        <v>26</v>
      </c>
      <c r="C923" t="s">
        <v>14</v>
      </c>
      <c r="D923" s="1">
        <v>70000</v>
      </c>
      <c r="E923">
        <v>3</v>
      </c>
      <c r="F923" t="s">
        <v>22</v>
      </c>
      <c r="G923" t="s">
        <v>24</v>
      </c>
      <c r="H923" t="s">
        <v>17</v>
      </c>
      <c r="I923">
        <v>1</v>
      </c>
      <c r="J923" t="s">
        <v>27</v>
      </c>
      <c r="K923" t="s">
        <v>35</v>
      </c>
      <c r="L923" t="str" cm="1">
        <f t="array" ref="L923">_xlfn.IFS(bike_buyers[[#This Row],[Age]]&gt;= 70, "senior citizen", bike_buyers[[#This Row],[Age]]&gt;=55, "middle age",  bike_buyers[[#This Row],[Age]]&gt;=40,"mature adult ", bike_buyers[[#This Row],[Age]]&gt;=30, "adults", bike_buyers[[#This Row],[Age]]&gt;= 20, "young adults")</f>
        <v xml:space="preserve">mature adult </v>
      </c>
      <c r="M923">
        <v>49</v>
      </c>
      <c r="N923" t="s">
        <v>17</v>
      </c>
    </row>
    <row r="924" spans="1:14" x14ac:dyDescent="0.25">
      <c r="A924">
        <v>16895</v>
      </c>
      <c r="B924" t="s">
        <v>13</v>
      </c>
      <c r="C924" t="s">
        <v>14</v>
      </c>
      <c r="D924" s="1">
        <v>40000</v>
      </c>
      <c r="E924">
        <v>3</v>
      </c>
      <c r="F924" t="s">
        <v>22</v>
      </c>
      <c r="G924" t="s">
        <v>24</v>
      </c>
      <c r="H924" t="s">
        <v>20</v>
      </c>
      <c r="I924">
        <v>2</v>
      </c>
      <c r="J924" t="s">
        <v>30</v>
      </c>
      <c r="K924" t="s">
        <v>35</v>
      </c>
      <c r="L924" t="str" cm="1">
        <f t="array" ref="L924">_xlfn.IFS(bike_buyers[[#This Row],[Age]]&gt;= 70, "senior citizen", bike_buyers[[#This Row],[Age]]&gt;=55, "middle age",  bike_buyers[[#This Row],[Age]]&gt;=40,"mature adult ", bike_buyers[[#This Row],[Age]]&gt;=30, "adults", bike_buyers[[#This Row],[Age]]&gt;= 20, "young adults")</f>
        <v xml:space="preserve">mature adult </v>
      </c>
      <c r="M924">
        <v>54</v>
      </c>
      <c r="N924" t="s">
        <v>17</v>
      </c>
    </row>
    <row r="925" spans="1:14" x14ac:dyDescent="0.25">
      <c r="A925">
        <v>26728</v>
      </c>
      <c r="B925" t="s">
        <v>26</v>
      </c>
      <c r="C925" t="s">
        <v>21</v>
      </c>
      <c r="D925" s="1">
        <v>70000</v>
      </c>
      <c r="E925">
        <v>3</v>
      </c>
      <c r="F925" t="s">
        <v>34</v>
      </c>
      <c r="G925" t="s">
        <v>32</v>
      </c>
      <c r="H925" t="s">
        <v>20</v>
      </c>
      <c r="I925">
        <v>2</v>
      </c>
      <c r="J925" t="s">
        <v>30</v>
      </c>
      <c r="K925" t="s">
        <v>35</v>
      </c>
      <c r="L925" t="str" cm="1">
        <f t="array" ref="L925">_xlfn.IFS(bike_buyers[[#This Row],[Age]]&gt;= 70, "senior citizen", bike_buyers[[#This Row],[Age]]&gt;=55, "middle age",  bike_buyers[[#This Row],[Age]]&gt;=40,"mature adult ", bike_buyers[[#This Row],[Age]]&gt;=30, "adults", bike_buyers[[#This Row],[Age]]&gt;= 20, "young adults")</f>
        <v xml:space="preserve">mature adult </v>
      </c>
      <c r="M925">
        <v>53</v>
      </c>
      <c r="N925" t="s">
        <v>17</v>
      </c>
    </row>
    <row r="926" spans="1:14" x14ac:dyDescent="0.25">
      <c r="A926">
        <v>11090</v>
      </c>
      <c r="B926" t="s">
        <v>26</v>
      </c>
      <c r="C926" t="s">
        <v>21</v>
      </c>
      <c r="D926" s="1">
        <v>90000</v>
      </c>
      <c r="E926">
        <v>2</v>
      </c>
      <c r="F926" t="s">
        <v>22</v>
      </c>
      <c r="G926" t="s">
        <v>24</v>
      </c>
      <c r="H926" t="s">
        <v>17</v>
      </c>
      <c r="I926">
        <v>1</v>
      </c>
      <c r="J926" t="s">
        <v>25</v>
      </c>
      <c r="K926" t="s">
        <v>35</v>
      </c>
      <c r="L926" t="str" cm="1">
        <f t="array" ref="L926">_xlfn.IFS(bike_buyers[[#This Row],[Age]]&gt;= 70, "senior citizen", bike_buyers[[#This Row],[Age]]&gt;=55, "middle age",  bike_buyers[[#This Row],[Age]]&gt;=40,"mature adult ", bike_buyers[[#This Row],[Age]]&gt;=30, "adults", bike_buyers[[#This Row],[Age]]&gt;= 20, "young adults")</f>
        <v xml:space="preserve">mature adult </v>
      </c>
      <c r="M926">
        <v>48</v>
      </c>
      <c r="N926" t="s">
        <v>17</v>
      </c>
    </row>
    <row r="927" spans="1:14" x14ac:dyDescent="0.25">
      <c r="A927">
        <v>15862</v>
      </c>
      <c r="B927" t="s">
        <v>26</v>
      </c>
      <c r="C927" t="s">
        <v>14</v>
      </c>
      <c r="D927" s="1">
        <v>50000</v>
      </c>
      <c r="E927">
        <v>0</v>
      </c>
      <c r="F927" t="s">
        <v>34</v>
      </c>
      <c r="G927" t="s">
        <v>16</v>
      </c>
      <c r="H927" t="s">
        <v>17</v>
      </c>
      <c r="I927">
        <v>0</v>
      </c>
      <c r="J927" t="s">
        <v>30</v>
      </c>
      <c r="K927" t="s">
        <v>35</v>
      </c>
      <c r="L927" t="str" cm="1">
        <f t="array" ref="L927">_xlfn.IFS(bike_buyers[[#This Row],[Age]]&gt;= 70, "senior citizen", bike_buyers[[#This Row],[Age]]&gt;=55, "middle age",  bike_buyers[[#This Row],[Age]]&gt;=40,"mature adult ", bike_buyers[[#This Row],[Age]]&gt;=30, "adults", bike_buyers[[#This Row],[Age]]&gt;= 20, "young adults")</f>
        <v>adults</v>
      </c>
      <c r="M927">
        <v>33</v>
      </c>
      <c r="N927" t="s">
        <v>17</v>
      </c>
    </row>
    <row r="928" spans="1:14" x14ac:dyDescent="0.25">
      <c r="A928">
        <v>26495</v>
      </c>
      <c r="B928" t="s">
        <v>26</v>
      </c>
      <c r="C928" t="s">
        <v>14</v>
      </c>
      <c r="D928" s="1">
        <v>40000</v>
      </c>
      <c r="E928">
        <v>2</v>
      </c>
      <c r="F928" t="s">
        <v>31</v>
      </c>
      <c r="G928" t="s">
        <v>24</v>
      </c>
      <c r="H928" t="s">
        <v>17</v>
      </c>
      <c r="I928">
        <v>2</v>
      </c>
      <c r="J928" t="s">
        <v>41</v>
      </c>
      <c r="K928" t="s">
        <v>35</v>
      </c>
      <c r="L928" t="str" cm="1">
        <f t="array" ref="L928">_xlfn.IFS(bike_buyers[[#This Row],[Age]]&gt;= 70, "senior citizen", bike_buyers[[#This Row],[Age]]&gt;=55, "middle age",  bike_buyers[[#This Row],[Age]]&gt;=40,"mature adult ", bike_buyers[[#This Row],[Age]]&gt;=30, "adults", bike_buyers[[#This Row],[Age]]&gt;= 20, "young adults")</f>
        <v>middle age</v>
      </c>
      <c r="M928">
        <v>57</v>
      </c>
      <c r="N928" t="s">
        <v>20</v>
      </c>
    </row>
    <row r="929" spans="1:14" x14ac:dyDescent="0.25">
      <c r="A929">
        <v>11823</v>
      </c>
      <c r="B929" t="s">
        <v>13</v>
      </c>
      <c r="C929" t="s">
        <v>14</v>
      </c>
      <c r="D929" s="1">
        <v>70000</v>
      </c>
      <c r="E929">
        <v>0</v>
      </c>
      <c r="F929" t="s">
        <v>34</v>
      </c>
      <c r="G929" t="s">
        <v>24</v>
      </c>
      <c r="H929" t="s">
        <v>17</v>
      </c>
      <c r="I929">
        <v>0</v>
      </c>
      <c r="J929" t="s">
        <v>25</v>
      </c>
      <c r="K929" t="s">
        <v>35</v>
      </c>
      <c r="L929" t="str" cm="1">
        <f t="array" ref="L929">_xlfn.IFS(bike_buyers[[#This Row],[Age]]&gt;= 70, "senior citizen", bike_buyers[[#This Row],[Age]]&gt;=55, "middle age",  bike_buyers[[#This Row],[Age]]&gt;=40,"mature adult ", bike_buyers[[#This Row],[Age]]&gt;=30, "adults", bike_buyers[[#This Row],[Age]]&gt;= 20, "young adults")</f>
        <v>adults</v>
      </c>
      <c r="M929">
        <v>39</v>
      </c>
      <c r="N929" t="s">
        <v>20</v>
      </c>
    </row>
    <row r="930" spans="1:14" x14ac:dyDescent="0.25">
      <c r="A930">
        <v>23449</v>
      </c>
      <c r="B930" t="s">
        <v>13</v>
      </c>
      <c r="C930" t="s">
        <v>21</v>
      </c>
      <c r="D930" s="1">
        <v>60000</v>
      </c>
      <c r="E930">
        <v>2</v>
      </c>
      <c r="F930" t="s">
        <v>31</v>
      </c>
      <c r="G930" t="s">
        <v>24</v>
      </c>
      <c r="H930" t="s">
        <v>17</v>
      </c>
      <c r="I930">
        <v>2</v>
      </c>
      <c r="J930" t="s">
        <v>27</v>
      </c>
      <c r="K930" t="s">
        <v>35</v>
      </c>
      <c r="L930" t="str" cm="1">
        <f t="array" ref="L930">_xlfn.IFS(bike_buyers[[#This Row],[Age]]&gt;= 70, "senior citizen", bike_buyers[[#This Row],[Age]]&gt;=55, "middle age",  bike_buyers[[#This Row],[Age]]&gt;=40,"mature adult ", bike_buyers[[#This Row],[Age]]&gt;=30, "adults", bike_buyers[[#This Row],[Age]]&gt;= 20, "young adults")</f>
        <v xml:space="preserve">mature adult </v>
      </c>
      <c r="M930">
        <v>48</v>
      </c>
      <c r="N930" t="s">
        <v>20</v>
      </c>
    </row>
    <row r="931" spans="1:14" x14ac:dyDescent="0.25">
      <c r="A931">
        <v>23459</v>
      </c>
      <c r="B931" t="s">
        <v>13</v>
      </c>
      <c r="C931" t="s">
        <v>21</v>
      </c>
      <c r="D931" s="1">
        <v>60000</v>
      </c>
      <c r="E931">
        <v>2</v>
      </c>
      <c r="F931" t="s">
        <v>31</v>
      </c>
      <c r="G931" t="s">
        <v>24</v>
      </c>
      <c r="H931" t="s">
        <v>17</v>
      </c>
      <c r="I931">
        <v>2</v>
      </c>
      <c r="J931" t="s">
        <v>27</v>
      </c>
      <c r="K931" t="s">
        <v>35</v>
      </c>
      <c r="L931" t="str" cm="1">
        <f t="array" ref="L931">_xlfn.IFS(bike_buyers[[#This Row],[Age]]&gt;= 70, "senior citizen", bike_buyers[[#This Row],[Age]]&gt;=55, "middle age",  bike_buyers[[#This Row],[Age]]&gt;=40,"mature adult ", bike_buyers[[#This Row],[Age]]&gt;=30, "adults", bike_buyers[[#This Row],[Age]]&gt;= 20, "young adults")</f>
        <v xml:space="preserve">mature adult </v>
      </c>
      <c r="M931">
        <v>50</v>
      </c>
      <c r="N931" t="s">
        <v>20</v>
      </c>
    </row>
    <row r="932" spans="1:14" x14ac:dyDescent="0.25">
      <c r="A932">
        <v>19543</v>
      </c>
      <c r="B932" t="s">
        <v>13</v>
      </c>
      <c r="C932" t="s">
        <v>21</v>
      </c>
      <c r="D932" s="1">
        <v>70000</v>
      </c>
      <c r="E932">
        <v>5</v>
      </c>
      <c r="F932" t="s">
        <v>34</v>
      </c>
      <c r="G932" t="s">
        <v>24</v>
      </c>
      <c r="H932" t="s">
        <v>20</v>
      </c>
      <c r="I932">
        <v>3</v>
      </c>
      <c r="J932" t="s">
        <v>41</v>
      </c>
      <c r="K932" t="s">
        <v>35</v>
      </c>
      <c r="L932" t="str" cm="1">
        <f t="array" ref="L932">_xlfn.IFS(bike_buyers[[#This Row],[Age]]&gt;= 70, "senior citizen", bike_buyers[[#This Row],[Age]]&gt;=55, "middle age",  bike_buyers[[#This Row],[Age]]&gt;=40,"mature adult ", bike_buyers[[#This Row],[Age]]&gt;=30, "adults", bike_buyers[[#This Row],[Age]]&gt;= 20, "young adults")</f>
        <v xml:space="preserve">mature adult </v>
      </c>
      <c r="M932">
        <v>47</v>
      </c>
      <c r="N932" t="s">
        <v>20</v>
      </c>
    </row>
    <row r="933" spans="1:14" x14ac:dyDescent="0.25">
      <c r="A933">
        <v>14914</v>
      </c>
      <c r="B933" t="s">
        <v>13</v>
      </c>
      <c r="C933" t="s">
        <v>14</v>
      </c>
      <c r="D933" s="1">
        <v>40000</v>
      </c>
      <c r="E933">
        <v>1</v>
      </c>
      <c r="F933" t="s">
        <v>22</v>
      </c>
      <c r="G933" t="s">
        <v>23</v>
      </c>
      <c r="H933" t="s">
        <v>17</v>
      </c>
      <c r="I933">
        <v>1</v>
      </c>
      <c r="J933" t="s">
        <v>30</v>
      </c>
      <c r="K933" t="s">
        <v>35</v>
      </c>
      <c r="L933" t="str" cm="1">
        <f t="array" ref="L933">_xlfn.IFS(bike_buyers[[#This Row],[Age]]&gt;= 70, "senior citizen", bike_buyers[[#This Row],[Age]]&gt;=55, "middle age",  bike_buyers[[#This Row],[Age]]&gt;=40,"mature adult ", bike_buyers[[#This Row],[Age]]&gt;=30, "adults", bike_buyers[[#This Row],[Age]]&gt;= 20, "young adults")</f>
        <v xml:space="preserve">mature adult </v>
      </c>
      <c r="M933">
        <v>49</v>
      </c>
      <c r="N933" t="s">
        <v>17</v>
      </c>
    </row>
    <row r="934" spans="1:14" x14ac:dyDescent="0.25">
      <c r="A934">
        <v>12033</v>
      </c>
      <c r="B934" t="s">
        <v>26</v>
      </c>
      <c r="C934" t="s">
        <v>14</v>
      </c>
      <c r="D934" s="1">
        <v>40000</v>
      </c>
      <c r="E934">
        <v>0</v>
      </c>
      <c r="F934" t="s">
        <v>31</v>
      </c>
      <c r="G934" t="s">
        <v>16</v>
      </c>
      <c r="H934" t="s">
        <v>20</v>
      </c>
      <c r="I934">
        <v>2</v>
      </c>
      <c r="J934" t="s">
        <v>18</v>
      </c>
      <c r="K934" t="s">
        <v>35</v>
      </c>
      <c r="L934" t="str" cm="1">
        <f t="array" ref="L934">_xlfn.IFS(bike_buyers[[#This Row],[Age]]&gt;= 70, "senior citizen", bike_buyers[[#This Row],[Age]]&gt;=55, "middle age",  bike_buyers[[#This Row],[Age]]&gt;=40,"mature adult ", bike_buyers[[#This Row],[Age]]&gt;=30, "adults", bike_buyers[[#This Row],[Age]]&gt;= 20, "young adults")</f>
        <v>young adults</v>
      </c>
      <c r="M934">
        <v>27</v>
      </c>
      <c r="N934" t="s">
        <v>17</v>
      </c>
    </row>
    <row r="935" spans="1:14" x14ac:dyDescent="0.25">
      <c r="A935">
        <v>11941</v>
      </c>
      <c r="B935" t="s">
        <v>26</v>
      </c>
      <c r="C935" t="s">
        <v>21</v>
      </c>
      <c r="D935" s="1">
        <v>60000</v>
      </c>
      <c r="E935">
        <v>0</v>
      </c>
      <c r="F935" t="s">
        <v>22</v>
      </c>
      <c r="G935" t="s">
        <v>16</v>
      </c>
      <c r="H935" t="s">
        <v>17</v>
      </c>
      <c r="I935">
        <v>0</v>
      </c>
      <c r="J935" t="s">
        <v>27</v>
      </c>
      <c r="K935" t="s">
        <v>35</v>
      </c>
      <c r="L935" t="str" cm="1">
        <f t="array" ref="L935">_xlfn.IFS(bike_buyers[[#This Row],[Age]]&gt;= 70, "senior citizen", bike_buyers[[#This Row],[Age]]&gt;=55, "middle age",  bike_buyers[[#This Row],[Age]]&gt;=40,"mature adult ", bike_buyers[[#This Row],[Age]]&gt;=30, "adults", bike_buyers[[#This Row],[Age]]&gt;= 20, "young adults")</f>
        <v>young adults</v>
      </c>
      <c r="M935">
        <v>29</v>
      </c>
      <c r="N935" t="s">
        <v>20</v>
      </c>
    </row>
    <row r="936" spans="1:14" x14ac:dyDescent="0.25">
      <c r="A936">
        <v>14389</v>
      </c>
      <c r="B936" t="s">
        <v>13</v>
      </c>
      <c r="C936" t="s">
        <v>21</v>
      </c>
      <c r="D936" s="1">
        <v>60000</v>
      </c>
      <c r="E936">
        <v>2</v>
      </c>
      <c r="F936" t="s">
        <v>15</v>
      </c>
      <c r="G936" t="s">
        <v>32</v>
      </c>
      <c r="H936" t="s">
        <v>17</v>
      </c>
      <c r="I936">
        <v>0</v>
      </c>
      <c r="J936" t="s">
        <v>25</v>
      </c>
      <c r="K936" t="s">
        <v>35</v>
      </c>
      <c r="L936" t="str" cm="1">
        <f t="array" ref="L936">_xlfn.IFS(bike_buyers[[#This Row],[Age]]&gt;= 70, "senior citizen", bike_buyers[[#This Row],[Age]]&gt;=55, "middle age",  bike_buyers[[#This Row],[Age]]&gt;=40,"mature adult ", bike_buyers[[#This Row],[Age]]&gt;=30, "adults", bike_buyers[[#This Row],[Age]]&gt;= 20, "young adults")</f>
        <v>middle age</v>
      </c>
      <c r="M936">
        <v>59</v>
      </c>
      <c r="N936" t="s">
        <v>20</v>
      </c>
    </row>
    <row r="937" spans="1:14" x14ac:dyDescent="0.25">
      <c r="A937">
        <v>18050</v>
      </c>
      <c r="B937" t="s">
        <v>13</v>
      </c>
      <c r="C937" t="s">
        <v>14</v>
      </c>
      <c r="D937" s="1">
        <v>60000</v>
      </c>
      <c r="E937">
        <v>1</v>
      </c>
      <c r="F937" t="s">
        <v>22</v>
      </c>
      <c r="G937" t="s">
        <v>16</v>
      </c>
      <c r="H937" t="s">
        <v>17</v>
      </c>
      <c r="I937">
        <v>1</v>
      </c>
      <c r="J937" t="s">
        <v>18</v>
      </c>
      <c r="K937" t="s">
        <v>35</v>
      </c>
      <c r="L937" t="str" cm="1">
        <f t="array" ref="L937">_xlfn.IFS(bike_buyers[[#This Row],[Age]]&gt;= 70, "senior citizen", bike_buyers[[#This Row],[Age]]&gt;=55, "middle age",  bike_buyers[[#This Row],[Age]]&gt;=40,"mature adult ", bike_buyers[[#This Row],[Age]]&gt;=30, "adults", bike_buyers[[#This Row],[Age]]&gt;= 20, "young adults")</f>
        <v xml:space="preserve">mature adult </v>
      </c>
      <c r="M937">
        <v>45</v>
      </c>
      <c r="N937" t="s">
        <v>17</v>
      </c>
    </row>
    <row r="938" spans="1:14" x14ac:dyDescent="0.25">
      <c r="A938">
        <v>19856</v>
      </c>
      <c r="B938" t="s">
        <v>13</v>
      </c>
      <c r="C938" t="s">
        <v>14</v>
      </c>
      <c r="D938" s="1">
        <v>60000</v>
      </c>
      <c r="E938">
        <v>4</v>
      </c>
      <c r="F938" t="s">
        <v>15</v>
      </c>
      <c r="G938" t="s">
        <v>32</v>
      </c>
      <c r="H938" t="s">
        <v>17</v>
      </c>
      <c r="I938">
        <v>2</v>
      </c>
      <c r="J938" t="s">
        <v>25</v>
      </c>
      <c r="K938" t="s">
        <v>35</v>
      </c>
      <c r="L938" t="str" cm="1">
        <f t="array" ref="L938">_xlfn.IFS(bike_buyers[[#This Row],[Age]]&gt;= 70, "senior citizen", bike_buyers[[#This Row],[Age]]&gt;=55, "middle age",  bike_buyers[[#This Row],[Age]]&gt;=40,"mature adult ", bike_buyers[[#This Row],[Age]]&gt;=30, "adults", bike_buyers[[#This Row],[Age]]&gt;= 20, "young adults")</f>
        <v>middle age</v>
      </c>
      <c r="M938">
        <v>60</v>
      </c>
      <c r="N938" t="s">
        <v>20</v>
      </c>
    </row>
    <row r="939" spans="1:14" x14ac:dyDescent="0.25">
      <c r="A939">
        <v>11663</v>
      </c>
      <c r="B939" t="s">
        <v>13</v>
      </c>
      <c r="C939" t="s">
        <v>21</v>
      </c>
      <c r="D939" s="1">
        <v>70000</v>
      </c>
      <c r="E939">
        <v>4</v>
      </c>
      <c r="F939" t="s">
        <v>34</v>
      </c>
      <c r="G939" t="s">
        <v>24</v>
      </c>
      <c r="H939" t="s">
        <v>17</v>
      </c>
      <c r="I939">
        <v>0</v>
      </c>
      <c r="J939" t="s">
        <v>18</v>
      </c>
      <c r="K939" t="s">
        <v>35</v>
      </c>
      <c r="L939" t="str" cm="1">
        <f t="array" ref="L939">_xlfn.IFS(bike_buyers[[#This Row],[Age]]&gt;= 70, "senior citizen", bike_buyers[[#This Row],[Age]]&gt;=55, "middle age",  bike_buyers[[#This Row],[Age]]&gt;=40,"mature adult ", bike_buyers[[#This Row],[Age]]&gt;=30, "adults", bike_buyers[[#This Row],[Age]]&gt;= 20, "young adults")</f>
        <v>adults</v>
      </c>
      <c r="M939">
        <v>36</v>
      </c>
      <c r="N939" t="s">
        <v>17</v>
      </c>
    </row>
    <row r="940" spans="1:14" x14ac:dyDescent="0.25">
      <c r="A940">
        <v>27740</v>
      </c>
      <c r="B940" t="s">
        <v>13</v>
      </c>
      <c r="C940" t="s">
        <v>14</v>
      </c>
      <c r="D940" s="1">
        <v>40000</v>
      </c>
      <c r="E940">
        <v>0</v>
      </c>
      <c r="F940" t="s">
        <v>31</v>
      </c>
      <c r="G940" t="s">
        <v>16</v>
      </c>
      <c r="H940" t="s">
        <v>17</v>
      </c>
      <c r="I940">
        <v>2</v>
      </c>
      <c r="J940" t="s">
        <v>27</v>
      </c>
      <c r="K940" t="s">
        <v>35</v>
      </c>
      <c r="L940" t="str" cm="1">
        <f t="array" ref="L940">_xlfn.IFS(bike_buyers[[#This Row],[Age]]&gt;= 70, "senior citizen", bike_buyers[[#This Row],[Age]]&gt;=55, "middle age",  bike_buyers[[#This Row],[Age]]&gt;=40,"mature adult ", bike_buyers[[#This Row],[Age]]&gt;=30, "adults", bike_buyers[[#This Row],[Age]]&gt;= 20, "young adults")</f>
        <v>young adults</v>
      </c>
      <c r="M940">
        <v>27</v>
      </c>
      <c r="N940" t="s">
        <v>20</v>
      </c>
    </row>
    <row r="941" spans="1:14" x14ac:dyDescent="0.25">
      <c r="A941">
        <v>23455</v>
      </c>
      <c r="B941" t="s">
        <v>26</v>
      </c>
      <c r="C941" t="s">
        <v>21</v>
      </c>
      <c r="D941" s="1">
        <v>80000</v>
      </c>
      <c r="E941">
        <v>2</v>
      </c>
      <c r="F941" t="s">
        <v>33</v>
      </c>
      <c r="G941" t="s">
        <v>16</v>
      </c>
      <c r="H941" t="s">
        <v>20</v>
      </c>
      <c r="I941">
        <v>2</v>
      </c>
      <c r="J941" t="s">
        <v>30</v>
      </c>
      <c r="K941" t="s">
        <v>35</v>
      </c>
      <c r="L941" t="str" cm="1">
        <f t="array" ref="L941">_xlfn.IFS(bike_buyers[[#This Row],[Age]]&gt;= 70, "senior citizen", bike_buyers[[#This Row],[Age]]&gt;=55, "middle age",  bike_buyers[[#This Row],[Age]]&gt;=40,"mature adult ", bike_buyers[[#This Row],[Age]]&gt;=30, "adults", bike_buyers[[#This Row],[Age]]&gt;= 20, "young adults")</f>
        <v xml:space="preserve">mature adult </v>
      </c>
      <c r="M941">
        <v>50</v>
      </c>
      <c r="N941" t="s">
        <v>20</v>
      </c>
    </row>
    <row r="942" spans="1:14" x14ac:dyDescent="0.25">
      <c r="A942">
        <v>15292</v>
      </c>
      <c r="B942" t="s">
        <v>26</v>
      </c>
      <c r="C942" t="s">
        <v>14</v>
      </c>
      <c r="D942" s="1">
        <v>60000</v>
      </c>
      <c r="E942">
        <v>1</v>
      </c>
      <c r="F942" t="s">
        <v>34</v>
      </c>
      <c r="G942" t="s">
        <v>16</v>
      </c>
      <c r="H942" t="s">
        <v>17</v>
      </c>
      <c r="I942">
        <v>0</v>
      </c>
      <c r="J942" t="s">
        <v>30</v>
      </c>
      <c r="K942" t="s">
        <v>35</v>
      </c>
      <c r="L942" t="str" cm="1">
        <f t="array" ref="L942">_xlfn.IFS(bike_buyers[[#This Row],[Age]]&gt;= 70, "senior citizen", bike_buyers[[#This Row],[Age]]&gt;=55, "middle age",  bike_buyers[[#This Row],[Age]]&gt;=40,"mature adult ", bike_buyers[[#This Row],[Age]]&gt;=30, "adults", bike_buyers[[#This Row],[Age]]&gt;= 20, "young adults")</f>
        <v>adults</v>
      </c>
      <c r="M942">
        <v>35</v>
      </c>
      <c r="N942" t="s">
        <v>20</v>
      </c>
    </row>
    <row r="943" spans="1:14" x14ac:dyDescent="0.25">
      <c r="A943">
        <v>21587</v>
      </c>
      <c r="B943" t="s">
        <v>13</v>
      </c>
      <c r="C943" t="s">
        <v>14</v>
      </c>
      <c r="D943" s="1">
        <v>60000</v>
      </c>
      <c r="E943">
        <v>1</v>
      </c>
      <c r="F943" t="s">
        <v>34</v>
      </c>
      <c r="G943" t="s">
        <v>16</v>
      </c>
      <c r="H943" t="s">
        <v>17</v>
      </c>
      <c r="I943">
        <v>0</v>
      </c>
      <c r="J943" t="s">
        <v>25</v>
      </c>
      <c r="K943" t="s">
        <v>35</v>
      </c>
      <c r="L943" t="str" cm="1">
        <f t="array" ref="L943">_xlfn.IFS(bike_buyers[[#This Row],[Age]]&gt;= 70, "senior citizen", bike_buyers[[#This Row],[Age]]&gt;=55, "middle age",  bike_buyers[[#This Row],[Age]]&gt;=40,"mature adult ", bike_buyers[[#This Row],[Age]]&gt;=30, "adults", bike_buyers[[#This Row],[Age]]&gt;= 20, "young adults")</f>
        <v>adults</v>
      </c>
      <c r="M943">
        <v>34</v>
      </c>
      <c r="N943" t="s">
        <v>17</v>
      </c>
    </row>
    <row r="944" spans="1:14" x14ac:dyDescent="0.25">
      <c r="A944">
        <v>23513</v>
      </c>
      <c r="B944" t="s">
        <v>13</v>
      </c>
      <c r="C944" t="s">
        <v>14</v>
      </c>
      <c r="D944" s="1">
        <v>40000</v>
      </c>
      <c r="E944">
        <v>3</v>
      </c>
      <c r="F944" t="s">
        <v>22</v>
      </c>
      <c r="G944" t="s">
        <v>24</v>
      </c>
      <c r="H944" t="s">
        <v>17</v>
      </c>
      <c r="I944">
        <v>2</v>
      </c>
      <c r="J944" t="s">
        <v>27</v>
      </c>
      <c r="K944" t="s">
        <v>35</v>
      </c>
      <c r="L944" t="str" cm="1">
        <f t="array" ref="L944">_xlfn.IFS(bike_buyers[[#This Row],[Age]]&gt;= 70, "senior citizen", bike_buyers[[#This Row],[Age]]&gt;=55, "middle age",  bike_buyers[[#This Row],[Age]]&gt;=40,"mature adult ", bike_buyers[[#This Row],[Age]]&gt;=30, "adults", bike_buyers[[#This Row],[Age]]&gt;= 20, "young adults")</f>
        <v xml:space="preserve">mature adult </v>
      </c>
      <c r="M944">
        <v>54</v>
      </c>
      <c r="N944" t="s">
        <v>20</v>
      </c>
    </row>
    <row r="945" spans="1:14" x14ac:dyDescent="0.25">
      <c r="A945">
        <v>24322</v>
      </c>
      <c r="B945" t="s">
        <v>13</v>
      </c>
      <c r="C945" t="s">
        <v>14</v>
      </c>
      <c r="D945" s="1">
        <v>60000</v>
      </c>
      <c r="E945">
        <v>4</v>
      </c>
      <c r="F945" t="s">
        <v>15</v>
      </c>
      <c r="G945" t="s">
        <v>16</v>
      </c>
      <c r="H945" t="s">
        <v>20</v>
      </c>
      <c r="I945">
        <v>2</v>
      </c>
      <c r="J945" t="s">
        <v>18</v>
      </c>
      <c r="K945" t="s">
        <v>35</v>
      </c>
      <c r="L945" t="str" cm="1">
        <f t="array" ref="L945">_xlfn.IFS(bike_buyers[[#This Row],[Age]]&gt;= 70, "senior citizen", bike_buyers[[#This Row],[Age]]&gt;=55, "middle age",  bike_buyers[[#This Row],[Age]]&gt;=40,"mature adult ", bike_buyers[[#This Row],[Age]]&gt;=30, "adults", bike_buyers[[#This Row],[Age]]&gt;= 20, "young adults")</f>
        <v xml:space="preserve">mature adult </v>
      </c>
      <c r="M945">
        <v>42</v>
      </c>
      <c r="N945" t="s">
        <v>20</v>
      </c>
    </row>
    <row r="946" spans="1:14" x14ac:dyDescent="0.25">
      <c r="A946">
        <v>26298</v>
      </c>
      <c r="B946" t="s">
        <v>13</v>
      </c>
      <c r="C946" t="s">
        <v>14</v>
      </c>
      <c r="D946" s="1">
        <v>50000</v>
      </c>
      <c r="E946">
        <v>1</v>
      </c>
      <c r="F946" t="s">
        <v>15</v>
      </c>
      <c r="G946" t="s">
        <v>16</v>
      </c>
      <c r="H946" t="s">
        <v>17</v>
      </c>
      <c r="I946">
        <v>0</v>
      </c>
      <c r="J946" t="s">
        <v>25</v>
      </c>
      <c r="K946" t="s">
        <v>35</v>
      </c>
      <c r="L946" t="str" cm="1">
        <f t="array" ref="L946">_xlfn.IFS(bike_buyers[[#This Row],[Age]]&gt;= 70, "senior citizen", bike_buyers[[#This Row],[Age]]&gt;=55, "middle age",  bike_buyers[[#This Row],[Age]]&gt;=40,"mature adult ", bike_buyers[[#This Row],[Age]]&gt;=30, "adults", bike_buyers[[#This Row],[Age]]&gt;= 20, "young adults")</f>
        <v>adults</v>
      </c>
      <c r="M946">
        <v>34</v>
      </c>
      <c r="N946" t="s">
        <v>17</v>
      </c>
    </row>
    <row r="947" spans="1:14" x14ac:dyDescent="0.25">
      <c r="A947">
        <v>25419</v>
      </c>
      <c r="B947" t="s">
        <v>26</v>
      </c>
      <c r="C947" t="s">
        <v>21</v>
      </c>
      <c r="D947" s="1">
        <v>50000</v>
      </c>
      <c r="E947">
        <v>2</v>
      </c>
      <c r="F947" t="s">
        <v>15</v>
      </c>
      <c r="G947" t="s">
        <v>16</v>
      </c>
      <c r="H947" t="s">
        <v>20</v>
      </c>
      <c r="I947">
        <v>1</v>
      </c>
      <c r="J947" t="s">
        <v>18</v>
      </c>
      <c r="K947" t="s">
        <v>35</v>
      </c>
      <c r="L947" t="str" cm="1">
        <f t="array" ref="L947">_xlfn.IFS(bike_buyers[[#This Row],[Age]]&gt;= 70, "senior citizen", bike_buyers[[#This Row],[Age]]&gt;=55, "middle age",  bike_buyers[[#This Row],[Age]]&gt;=40,"mature adult ", bike_buyers[[#This Row],[Age]]&gt;=30, "adults", bike_buyers[[#This Row],[Age]]&gt;= 20, "young adults")</f>
        <v>adults</v>
      </c>
      <c r="M947">
        <v>38</v>
      </c>
      <c r="N947" t="s">
        <v>17</v>
      </c>
    </row>
    <row r="948" spans="1:14" x14ac:dyDescent="0.25">
      <c r="A948">
        <v>13343</v>
      </c>
      <c r="B948" t="s">
        <v>13</v>
      </c>
      <c r="C948" t="s">
        <v>14</v>
      </c>
      <c r="D948" s="1">
        <v>90000</v>
      </c>
      <c r="E948">
        <v>5</v>
      </c>
      <c r="F948" t="s">
        <v>15</v>
      </c>
      <c r="G948" t="s">
        <v>32</v>
      </c>
      <c r="H948" t="s">
        <v>17</v>
      </c>
      <c r="I948">
        <v>2</v>
      </c>
      <c r="J948" t="s">
        <v>30</v>
      </c>
      <c r="K948" t="s">
        <v>35</v>
      </c>
      <c r="L948" t="str" cm="1">
        <f t="array" ref="L948">_xlfn.IFS(bike_buyers[[#This Row],[Age]]&gt;= 70, "senior citizen", bike_buyers[[#This Row],[Age]]&gt;=55, "middle age",  bike_buyers[[#This Row],[Age]]&gt;=40,"mature adult ", bike_buyers[[#This Row],[Age]]&gt;=30, "adults", bike_buyers[[#This Row],[Age]]&gt;= 20, "young adults")</f>
        <v>middle age</v>
      </c>
      <c r="M948">
        <v>63</v>
      </c>
      <c r="N948" t="s">
        <v>17</v>
      </c>
    </row>
    <row r="949" spans="1:14" x14ac:dyDescent="0.25">
      <c r="A949">
        <v>11303</v>
      </c>
      <c r="B949" t="s">
        <v>26</v>
      </c>
      <c r="C949" t="s">
        <v>14</v>
      </c>
      <c r="D949" s="1">
        <v>90000</v>
      </c>
      <c r="E949">
        <v>4</v>
      </c>
      <c r="F949" t="s">
        <v>31</v>
      </c>
      <c r="G949" t="s">
        <v>24</v>
      </c>
      <c r="H949" t="s">
        <v>20</v>
      </c>
      <c r="I949">
        <v>3</v>
      </c>
      <c r="J949" t="s">
        <v>30</v>
      </c>
      <c r="K949" t="s">
        <v>35</v>
      </c>
      <c r="L949" t="str" cm="1">
        <f t="array" ref="L949">_xlfn.IFS(bike_buyers[[#This Row],[Age]]&gt;= 70, "senior citizen", bike_buyers[[#This Row],[Age]]&gt;=55, "middle age",  bike_buyers[[#This Row],[Age]]&gt;=40,"mature adult ", bike_buyers[[#This Row],[Age]]&gt;=30, "adults", bike_buyers[[#This Row],[Age]]&gt;= 20, "young adults")</f>
        <v xml:space="preserve">mature adult </v>
      </c>
      <c r="M949">
        <v>45</v>
      </c>
      <c r="N949" t="s">
        <v>17</v>
      </c>
    </row>
    <row r="950" spans="1:14" x14ac:dyDescent="0.25">
      <c r="A950">
        <v>21693</v>
      </c>
      <c r="B950" t="s">
        <v>26</v>
      </c>
      <c r="C950" t="s">
        <v>14</v>
      </c>
      <c r="D950" s="1">
        <v>60000</v>
      </c>
      <c r="E950">
        <v>0</v>
      </c>
      <c r="F950" t="s">
        <v>34</v>
      </c>
      <c r="G950" t="s">
        <v>16</v>
      </c>
      <c r="H950" t="s">
        <v>20</v>
      </c>
      <c r="I950">
        <v>0</v>
      </c>
      <c r="J950" t="s">
        <v>18</v>
      </c>
      <c r="K950" t="s">
        <v>35</v>
      </c>
      <c r="L950" t="str" cm="1">
        <f t="array" ref="L950">_xlfn.IFS(bike_buyers[[#This Row],[Age]]&gt;= 70, "senior citizen", bike_buyers[[#This Row],[Age]]&gt;=55, "middle age",  bike_buyers[[#This Row],[Age]]&gt;=40,"mature adult ", bike_buyers[[#This Row],[Age]]&gt;=30, "adults", bike_buyers[[#This Row],[Age]]&gt;= 20, "young adults")</f>
        <v xml:space="preserve">mature adult </v>
      </c>
      <c r="M950">
        <v>40</v>
      </c>
      <c r="N950" t="s">
        <v>20</v>
      </c>
    </row>
    <row r="951" spans="1:14" x14ac:dyDescent="0.25">
      <c r="A951">
        <v>28056</v>
      </c>
      <c r="B951" t="s">
        <v>13</v>
      </c>
      <c r="C951" t="s">
        <v>21</v>
      </c>
      <c r="D951" s="1">
        <v>70000</v>
      </c>
      <c r="E951">
        <v>2</v>
      </c>
      <c r="F951" t="s">
        <v>33</v>
      </c>
      <c r="G951" t="s">
        <v>16</v>
      </c>
      <c r="H951" t="s">
        <v>17</v>
      </c>
      <c r="I951">
        <v>2</v>
      </c>
      <c r="J951" t="s">
        <v>41</v>
      </c>
      <c r="K951" t="s">
        <v>35</v>
      </c>
      <c r="L951" t="str" cm="1">
        <f t="array" ref="L951">_xlfn.IFS(bike_buyers[[#This Row],[Age]]&gt;= 70, "senior citizen", bike_buyers[[#This Row],[Age]]&gt;=55, "middle age",  bike_buyers[[#This Row],[Age]]&gt;=40,"mature adult ", bike_buyers[[#This Row],[Age]]&gt;=30, "adults", bike_buyers[[#This Row],[Age]]&gt;= 20, "young adults")</f>
        <v xml:space="preserve">mature adult </v>
      </c>
      <c r="M951">
        <v>53</v>
      </c>
      <c r="N951" t="s">
        <v>20</v>
      </c>
    </row>
    <row r="952" spans="1:14" x14ac:dyDescent="0.25">
      <c r="A952">
        <v>11788</v>
      </c>
      <c r="B952" t="s">
        <v>26</v>
      </c>
      <c r="C952" t="s">
        <v>14</v>
      </c>
      <c r="D952" s="1">
        <v>70000</v>
      </c>
      <c r="E952">
        <v>1</v>
      </c>
      <c r="F952" t="s">
        <v>34</v>
      </c>
      <c r="G952" t="s">
        <v>24</v>
      </c>
      <c r="H952" t="s">
        <v>17</v>
      </c>
      <c r="I952">
        <v>0</v>
      </c>
      <c r="J952" t="s">
        <v>25</v>
      </c>
      <c r="K952" t="s">
        <v>35</v>
      </c>
      <c r="L952" t="str" cm="1">
        <f t="array" ref="L952">_xlfn.IFS(bike_buyers[[#This Row],[Age]]&gt;= 70, "senior citizen", bike_buyers[[#This Row],[Age]]&gt;=55, "middle age",  bike_buyers[[#This Row],[Age]]&gt;=40,"mature adult ", bike_buyers[[#This Row],[Age]]&gt;=30, "adults", bike_buyers[[#This Row],[Age]]&gt;= 20, "young adults")</f>
        <v>adults</v>
      </c>
      <c r="M952">
        <v>34</v>
      </c>
      <c r="N952" t="s">
        <v>20</v>
      </c>
    </row>
    <row r="953" spans="1:14" x14ac:dyDescent="0.25">
      <c r="A953">
        <v>22296</v>
      </c>
      <c r="B953" t="s">
        <v>13</v>
      </c>
      <c r="C953" t="s">
        <v>21</v>
      </c>
      <c r="D953" s="1">
        <v>70000</v>
      </c>
      <c r="E953">
        <v>0</v>
      </c>
      <c r="F953" t="s">
        <v>15</v>
      </c>
      <c r="G953" t="s">
        <v>24</v>
      </c>
      <c r="H953" t="s">
        <v>20</v>
      </c>
      <c r="I953">
        <v>1</v>
      </c>
      <c r="J953" t="s">
        <v>18</v>
      </c>
      <c r="K953" t="s">
        <v>35</v>
      </c>
      <c r="L953" t="str" cm="1">
        <f t="array" ref="L953">_xlfn.IFS(bike_buyers[[#This Row],[Age]]&gt;= 70, "senior citizen", bike_buyers[[#This Row],[Age]]&gt;=55, "middle age",  bike_buyers[[#This Row],[Age]]&gt;=40,"mature adult ", bike_buyers[[#This Row],[Age]]&gt;=30, "adults", bike_buyers[[#This Row],[Age]]&gt;= 20, "young adults")</f>
        <v>adults</v>
      </c>
      <c r="M953">
        <v>38</v>
      </c>
      <c r="N953" t="s">
        <v>20</v>
      </c>
    </row>
    <row r="954" spans="1:14" x14ac:dyDescent="0.25">
      <c r="A954">
        <v>15319</v>
      </c>
      <c r="B954" t="s">
        <v>13</v>
      </c>
      <c r="C954" t="s">
        <v>14</v>
      </c>
      <c r="D954" s="1">
        <v>70000</v>
      </c>
      <c r="E954">
        <v>4</v>
      </c>
      <c r="F954" t="s">
        <v>15</v>
      </c>
      <c r="G954" t="s">
        <v>32</v>
      </c>
      <c r="H954" t="s">
        <v>20</v>
      </c>
      <c r="I954">
        <v>1</v>
      </c>
      <c r="J954" t="s">
        <v>30</v>
      </c>
      <c r="K954" t="s">
        <v>35</v>
      </c>
      <c r="L954" t="str" cm="1">
        <f t="array" ref="L954">_xlfn.IFS(bike_buyers[[#This Row],[Age]]&gt;= 70, "senior citizen", bike_buyers[[#This Row],[Age]]&gt;=55, "middle age",  bike_buyers[[#This Row],[Age]]&gt;=40,"mature adult ", bike_buyers[[#This Row],[Age]]&gt;=30, "adults", bike_buyers[[#This Row],[Age]]&gt;= 20, "young adults")</f>
        <v>middle age</v>
      </c>
      <c r="M954">
        <v>59</v>
      </c>
      <c r="N954" t="s">
        <v>20</v>
      </c>
    </row>
    <row r="955" spans="1:14" x14ac:dyDescent="0.25">
      <c r="A955">
        <v>17654</v>
      </c>
      <c r="B955" t="s">
        <v>26</v>
      </c>
      <c r="C955" t="s">
        <v>14</v>
      </c>
      <c r="D955" s="1">
        <v>40000</v>
      </c>
      <c r="E955">
        <v>3</v>
      </c>
      <c r="F955" t="s">
        <v>22</v>
      </c>
      <c r="G955" t="s">
        <v>23</v>
      </c>
      <c r="H955" t="s">
        <v>17</v>
      </c>
      <c r="I955">
        <v>1</v>
      </c>
      <c r="J955" t="s">
        <v>30</v>
      </c>
      <c r="K955" t="s">
        <v>35</v>
      </c>
      <c r="L955" t="str" cm="1">
        <f t="array" ref="L955">_xlfn.IFS(bike_buyers[[#This Row],[Age]]&gt;= 70, "senior citizen", bike_buyers[[#This Row],[Age]]&gt;=55, "middle age",  bike_buyers[[#This Row],[Age]]&gt;=40,"mature adult ", bike_buyers[[#This Row],[Age]]&gt;=30, "adults", bike_buyers[[#This Row],[Age]]&gt;= 20, "young adults")</f>
        <v>adults</v>
      </c>
      <c r="M955">
        <v>30</v>
      </c>
      <c r="N955" t="s">
        <v>17</v>
      </c>
    </row>
    <row r="956" spans="1:14" x14ac:dyDescent="0.25">
      <c r="A956">
        <v>14662</v>
      </c>
      <c r="B956" t="s">
        <v>13</v>
      </c>
      <c r="C956" t="s">
        <v>21</v>
      </c>
      <c r="D956" s="1">
        <v>60000</v>
      </c>
      <c r="E956">
        <v>1</v>
      </c>
      <c r="F956" t="s">
        <v>15</v>
      </c>
      <c r="G956" t="s">
        <v>24</v>
      </c>
      <c r="H956" t="s">
        <v>17</v>
      </c>
      <c r="I956">
        <v>1</v>
      </c>
      <c r="J956" t="s">
        <v>18</v>
      </c>
      <c r="K956" t="s">
        <v>35</v>
      </c>
      <c r="L956" t="str" cm="1">
        <f t="array" ref="L956">_xlfn.IFS(bike_buyers[[#This Row],[Age]]&gt;= 70, "senior citizen", bike_buyers[[#This Row],[Age]]&gt;=55, "middle age",  bike_buyers[[#This Row],[Age]]&gt;=40,"mature adult ", bike_buyers[[#This Row],[Age]]&gt;=30, "adults", bike_buyers[[#This Row],[Age]]&gt;= 20, "young adults")</f>
        <v xml:space="preserve">mature adult </v>
      </c>
      <c r="M956">
        <v>48</v>
      </c>
      <c r="N956" t="s">
        <v>17</v>
      </c>
    </row>
    <row r="957" spans="1:14" x14ac:dyDescent="0.25">
      <c r="A957">
        <v>17541</v>
      </c>
      <c r="B957" t="s">
        <v>13</v>
      </c>
      <c r="C957" t="s">
        <v>14</v>
      </c>
      <c r="D957" s="1">
        <v>40000</v>
      </c>
      <c r="E957">
        <v>4</v>
      </c>
      <c r="F957" t="s">
        <v>31</v>
      </c>
      <c r="G957" t="s">
        <v>16</v>
      </c>
      <c r="H957" t="s">
        <v>17</v>
      </c>
      <c r="I957">
        <v>2</v>
      </c>
      <c r="J957" t="s">
        <v>25</v>
      </c>
      <c r="K957" t="s">
        <v>35</v>
      </c>
      <c r="L957" t="str" cm="1">
        <f t="array" ref="L957">_xlfn.IFS(bike_buyers[[#This Row],[Age]]&gt;= 70, "senior citizen", bike_buyers[[#This Row],[Age]]&gt;=55, "middle age",  bike_buyers[[#This Row],[Age]]&gt;=40,"mature adult ", bike_buyers[[#This Row],[Age]]&gt;=30, "adults", bike_buyers[[#This Row],[Age]]&gt;= 20, "young adults")</f>
        <v xml:space="preserve">mature adult </v>
      </c>
      <c r="M957">
        <v>43</v>
      </c>
      <c r="N957" t="s">
        <v>20</v>
      </c>
    </row>
    <row r="958" spans="1:14" x14ac:dyDescent="0.25">
      <c r="A958">
        <v>13886</v>
      </c>
      <c r="B958" t="s">
        <v>13</v>
      </c>
      <c r="C958" t="s">
        <v>14</v>
      </c>
      <c r="D958" s="1">
        <v>70000</v>
      </c>
      <c r="E958">
        <v>4</v>
      </c>
      <c r="F958" t="s">
        <v>34</v>
      </c>
      <c r="G958" t="s">
        <v>24</v>
      </c>
      <c r="H958" t="s">
        <v>17</v>
      </c>
      <c r="I958">
        <v>0</v>
      </c>
      <c r="J958" t="s">
        <v>25</v>
      </c>
      <c r="K958" t="s">
        <v>35</v>
      </c>
      <c r="L958" t="str" cm="1">
        <f t="array" ref="L958">_xlfn.IFS(bike_buyers[[#This Row],[Age]]&gt;= 70, "senior citizen", bike_buyers[[#This Row],[Age]]&gt;=55, "middle age",  bike_buyers[[#This Row],[Age]]&gt;=40,"mature adult ", bike_buyers[[#This Row],[Age]]&gt;=30, "adults", bike_buyers[[#This Row],[Age]]&gt;= 20, "young adults")</f>
        <v>adults</v>
      </c>
      <c r="M958">
        <v>35</v>
      </c>
      <c r="N958" t="s">
        <v>17</v>
      </c>
    </row>
    <row r="959" spans="1:14" x14ac:dyDescent="0.25">
      <c r="A959">
        <v>13073</v>
      </c>
      <c r="B959" t="s">
        <v>13</v>
      </c>
      <c r="C959" t="s">
        <v>14</v>
      </c>
      <c r="D959" s="1">
        <v>60000</v>
      </c>
      <c r="E959">
        <v>0</v>
      </c>
      <c r="F959" t="s">
        <v>22</v>
      </c>
      <c r="G959" t="s">
        <v>24</v>
      </c>
      <c r="H959" t="s">
        <v>17</v>
      </c>
      <c r="I959">
        <v>2</v>
      </c>
      <c r="J959" t="s">
        <v>27</v>
      </c>
      <c r="K959" t="s">
        <v>35</v>
      </c>
      <c r="L959" t="str" cm="1">
        <f t="array" ref="L959">_xlfn.IFS(bike_buyers[[#This Row],[Age]]&gt;= 70, "senior citizen", bike_buyers[[#This Row],[Age]]&gt;=55, "middle age",  bike_buyers[[#This Row],[Age]]&gt;=40,"mature adult ", bike_buyers[[#This Row],[Age]]&gt;=30, "adults", bike_buyers[[#This Row],[Age]]&gt;= 20, "young adults")</f>
        <v>adults</v>
      </c>
      <c r="M959">
        <v>30</v>
      </c>
      <c r="N959" t="s">
        <v>20</v>
      </c>
    </row>
    <row r="960" spans="1:14" x14ac:dyDescent="0.25">
      <c r="A960">
        <v>21940</v>
      </c>
      <c r="B960" t="s">
        <v>13</v>
      </c>
      <c r="C960" t="s">
        <v>21</v>
      </c>
      <c r="D960" s="1">
        <v>90000</v>
      </c>
      <c r="E960">
        <v>5</v>
      </c>
      <c r="F960" t="s">
        <v>34</v>
      </c>
      <c r="G960" t="s">
        <v>24</v>
      </c>
      <c r="H960" t="s">
        <v>17</v>
      </c>
      <c r="I960">
        <v>0</v>
      </c>
      <c r="J960" t="s">
        <v>18</v>
      </c>
      <c r="K960" t="s">
        <v>35</v>
      </c>
      <c r="L960" t="str" cm="1">
        <f t="array" ref="L960">_xlfn.IFS(bike_buyers[[#This Row],[Age]]&gt;= 70, "senior citizen", bike_buyers[[#This Row],[Age]]&gt;=55, "middle age",  bike_buyers[[#This Row],[Age]]&gt;=40,"mature adult ", bike_buyers[[#This Row],[Age]]&gt;=30, "adults", bike_buyers[[#This Row],[Age]]&gt;= 20, "young adults")</f>
        <v xml:space="preserve">mature adult </v>
      </c>
      <c r="M960">
        <v>47</v>
      </c>
      <c r="N960" t="s">
        <v>17</v>
      </c>
    </row>
    <row r="961" spans="1:14" x14ac:dyDescent="0.25">
      <c r="A961">
        <v>20196</v>
      </c>
      <c r="B961" t="s">
        <v>13</v>
      </c>
      <c r="C961" t="s">
        <v>21</v>
      </c>
      <c r="D961" s="1">
        <v>60000</v>
      </c>
      <c r="E961">
        <v>1</v>
      </c>
      <c r="F961" t="s">
        <v>22</v>
      </c>
      <c r="G961" t="s">
        <v>16</v>
      </c>
      <c r="H961" t="s">
        <v>17</v>
      </c>
      <c r="I961">
        <v>1</v>
      </c>
      <c r="J961" t="s">
        <v>25</v>
      </c>
      <c r="K961" t="s">
        <v>35</v>
      </c>
      <c r="L961" t="str" cm="1">
        <f t="array" ref="L961">_xlfn.IFS(bike_buyers[[#This Row],[Age]]&gt;= 70, "senior citizen", bike_buyers[[#This Row],[Age]]&gt;=55, "middle age",  bike_buyers[[#This Row],[Age]]&gt;=40,"mature adult ", bike_buyers[[#This Row],[Age]]&gt;=30, "adults", bike_buyers[[#This Row],[Age]]&gt;= 20, "young adults")</f>
        <v xml:space="preserve">mature adult </v>
      </c>
      <c r="M961">
        <v>45</v>
      </c>
      <c r="N961" t="s">
        <v>17</v>
      </c>
    </row>
    <row r="962" spans="1:14" x14ac:dyDescent="0.25">
      <c r="A962">
        <v>23491</v>
      </c>
      <c r="B962" t="s">
        <v>26</v>
      </c>
      <c r="C962" t="s">
        <v>21</v>
      </c>
      <c r="D962" s="1">
        <v>100000</v>
      </c>
      <c r="E962">
        <v>0</v>
      </c>
      <c r="F962" t="s">
        <v>22</v>
      </c>
      <c r="G962" t="s">
        <v>24</v>
      </c>
      <c r="H962" t="s">
        <v>20</v>
      </c>
      <c r="I962">
        <v>4</v>
      </c>
      <c r="J962" t="s">
        <v>30</v>
      </c>
      <c r="K962" t="s">
        <v>35</v>
      </c>
      <c r="L962" t="str" cm="1">
        <f t="array" ref="L962">_xlfn.IFS(bike_buyers[[#This Row],[Age]]&gt;= 70, "senior citizen", bike_buyers[[#This Row],[Age]]&gt;=55, "middle age",  bike_buyers[[#This Row],[Age]]&gt;=40,"mature adult ", bike_buyers[[#This Row],[Age]]&gt;=30, "adults", bike_buyers[[#This Row],[Age]]&gt;= 20, "young adults")</f>
        <v xml:space="preserve">mature adult </v>
      </c>
      <c r="M962">
        <v>45</v>
      </c>
      <c r="N962" t="s">
        <v>20</v>
      </c>
    </row>
    <row r="963" spans="1:14" x14ac:dyDescent="0.25">
      <c r="A963">
        <v>16651</v>
      </c>
      <c r="B963" t="s">
        <v>13</v>
      </c>
      <c r="C963" t="s">
        <v>14</v>
      </c>
      <c r="D963" s="1">
        <v>120000</v>
      </c>
      <c r="E963">
        <v>2</v>
      </c>
      <c r="F963" t="s">
        <v>15</v>
      </c>
      <c r="G963" t="s">
        <v>32</v>
      </c>
      <c r="H963" t="s">
        <v>17</v>
      </c>
      <c r="I963">
        <v>3</v>
      </c>
      <c r="J963" t="s">
        <v>27</v>
      </c>
      <c r="K963" t="s">
        <v>35</v>
      </c>
      <c r="L963" t="str" cm="1">
        <f t="array" ref="L963">_xlfn.IFS(bike_buyers[[#This Row],[Age]]&gt;= 70, "senior citizen", bike_buyers[[#This Row],[Age]]&gt;=55, "middle age",  bike_buyers[[#This Row],[Age]]&gt;=40,"mature adult ", bike_buyers[[#This Row],[Age]]&gt;=30, "adults", bike_buyers[[#This Row],[Age]]&gt;= 20, "young adults")</f>
        <v>middle age</v>
      </c>
      <c r="M963">
        <v>62</v>
      </c>
      <c r="N963" t="s">
        <v>20</v>
      </c>
    </row>
    <row r="964" spans="1:14" x14ac:dyDescent="0.25">
      <c r="A964">
        <v>16813</v>
      </c>
      <c r="B964" t="s">
        <v>13</v>
      </c>
      <c r="C964" t="s">
        <v>21</v>
      </c>
      <c r="D964" s="1">
        <v>60000</v>
      </c>
      <c r="E964">
        <v>2</v>
      </c>
      <c r="F964" t="s">
        <v>22</v>
      </c>
      <c r="G964" t="s">
        <v>24</v>
      </c>
      <c r="H964" t="s">
        <v>17</v>
      </c>
      <c r="I964">
        <v>2</v>
      </c>
      <c r="J964" t="s">
        <v>41</v>
      </c>
      <c r="K964" t="s">
        <v>35</v>
      </c>
      <c r="L964" t="str" cm="1">
        <f t="array" ref="L964">_xlfn.IFS(bike_buyers[[#This Row],[Age]]&gt;= 70, "senior citizen", bike_buyers[[#This Row],[Age]]&gt;=55, "middle age",  bike_buyers[[#This Row],[Age]]&gt;=40,"mature adult ", bike_buyers[[#This Row],[Age]]&gt;=30, "adults", bike_buyers[[#This Row],[Age]]&gt;= 20, "young adults")</f>
        <v>middle age</v>
      </c>
      <c r="M964">
        <v>55</v>
      </c>
      <c r="N964" t="s">
        <v>20</v>
      </c>
    </row>
    <row r="965" spans="1:14" x14ac:dyDescent="0.25">
      <c r="A965">
        <v>16007</v>
      </c>
      <c r="B965" t="s">
        <v>13</v>
      </c>
      <c r="C965" t="s">
        <v>14</v>
      </c>
      <c r="D965" s="1">
        <v>90000</v>
      </c>
      <c r="E965">
        <v>5</v>
      </c>
      <c r="F965" t="s">
        <v>15</v>
      </c>
      <c r="G965" t="s">
        <v>32</v>
      </c>
      <c r="H965" t="s">
        <v>17</v>
      </c>
      <c r="I965">
        <v>2</v>
      </c>
      <c r="J965" t="s">
        <v>30</v>
      </c>
      <c r="K965" t="s">
        <v>35</v>
      </c>
      <c r="L965" t="str" cm="1">
        <f t="array" ref="L965">_xlfn.IFS(bike_buyers[[#This Row],[Age]]&gt;= 70, "senior citizen", bike_buyers[[#This Row],[Age]]&gt;=55, "middle age",  bike_buyers[[#This Row],[Age]]&gt;=40,"mature adult ", bike_buyers[[#This Row],[Age]]&gt;=30, "adults", bike_buyers[[#This Row],[Age]]&gt;= 20, "young adults")</f>
        <v>middle age</v>
      </c>
      <c r="M965">
        <v>66</v>
      </c>
      <c r="N965" t="s">
        <v>17</v>
      </c>
    </row>
    <row r="966" spans="1:14" x14ac:dyDescent="0.25">
      <c r="A966">
        <v>27434</v>
      </c>
      <c r="B966" t="s">
        <v>26</v>
      </c>
      <c r="C966" t="s">
        <v>21</v>
      </c>
      <c r="D966" s="1">
        <v>70000</v>
      </c>
      <c r="E966">
        <v>4</v>
      </c>
      <c r="F966" t="s">
        <v>22</v>
      </c>
      <c r="G966" t="s">
        <v>24</v>
      </c>
      <c r="H966" t="s">
        <v>17</v>
      </c>
      <c r="I966">
        <v>1</v>
      </c>
      <c r="J966" t="s">
        <v>41</v>
      </c>
      <c r="K966" t="s">
        <v>35</v>
      </c>
      <c r="L966" t="str" cm="1">
        <f t="array" ref="L966">_xlfn.IFS(bike_buyers[[#This Row],[Age]]&gt;= 70, "senior citizen", bike_buyers[[#This Row],[Age]]&gt;=55, "middle age",  bike_buyers[[#This Row],[Age]]&gt;=40,"mature adult ", bike_buyers[[#This Row],[Age]]&gt;=30, "adults", bike_buyers[[#This Row],[Age]]&gt;= 20, "young adults")</f>
        <v>middle age</v>
      </c>
      <c r="M966">
        <v>56</v>
      </c>
      <c r="N966" t="s">
        <v>20</v>
      </c>
    </row>
    <row r="967" spans="1:14" x14ac:dyDescent="0.25">
      <c r="A967">
        <v>27756</v>
      </c>
      <c r="B967" t="s">
        <v>26</v>
      </c>
      <c r="C967" t="s">
        <v>14</v>
      </c>
      <c r="D967" s="1">
        <v>50000</v>
      </c>
      <c r="E967">
        <v>3</v>
      </c>
      <c r="F967" t="s">
        <v>15</v>
      </c>
      <c r="G967" t="s">
        <v>16</v>
      </c>
      <c r="H967" t="s">
        <v>20</v>
      </c>
      <c r="I967">
        <v>1</v>
      </c>
      <c r="J967" t="s">
        <v>18</v>
      </c>
      <c r="K967" t="s">
        <v>35</v>
      </c>
      <c r="L967" t="str" cm="1">
        <f t="array" ref="L967">_xlfn.IFS(bike_buyers[[#This Row],[Age]]&gt;= 70, "senior citizen", bike_buyers[[#This Row],[Age]]&gt;=55, "middle age",  bike_buyers[[#This Row],[Age]]&gt;=40,"mature adult ", bike_buyers[[#This Row],[Age]]&gt;=30, "adults", bike_buyers[[#This Row],[Age]]&gt;= 20, "young adults")</f>
        <v xml:space="preserve">mature adult </v>
      </c>
      <c r="M967">
        <v>40</v>
      </c>
      <c r="N967" t="s">
        <v>20</v>
      </c>
    </row>
    <row r="968" spans="1:14" x14ac:dyDescent="0.25">
      <c r="A968">
        <v>23818</v>
      </c>
      <c r="B968" t="s">
        <v>13</v>
      </c>
      <c r="C968" t="s">
        <v>14</v>
      </c>
      <c r="D968" s="1">
        <v>50000</v>
      </c>
      <c r="E968">
        <v>0</v>
      </c>
      <c r="F968" t="s">
        <v>34</v>
      </c>
      <c r="G968" t="s">
        <v>16</v>
      </c>
      <c r="H968" t="s">
        <v>17</v>
      </c>
      <c r="I968">
        <v>0</v>
      </c>
      <c r="J968" t="s">
        <v>30</v>
      </c>
      <c r="K968" t="s">
        <v>35</v>
      </c>
      <c r="L968" t="str" cm="1">
        <f t="array" ref="L968">_xlfn.IFS(bike_buyers[[#This Row],[Age]]&gt;= 70, "senior citizen", bike_buyers[[#This Row],[Age]]&gt;=55, "middle age",  bike_buyers[[#This Row],[Age]]&gt;=40,"mature adult ", bike_buyers[[#This Row],[Age]]&gt;=30, "adults", bike_buyers[[#This Row],[Age]]&gt;= 20, "young adults")</f>
        <v>adults</v>
      </c>
      <c r="M968">
        <v>33</v>
      </c>
      <c r="N968" t="s">
        <v>17</v>
      </c>
    </row>
    <row r="969" spans="1:14" x14ac:dyDescent="0.25">
      <c r="A969">
        <v>19012</v>
      </c>
      <c r="B969" t="s">
        <v>13</v>
      </c>
      <c r="C969" t="s">
        <v>21</v>
      </c>
      <c r="D969" s="1">
        <v>80000</v>
      </c>
      <c r="E969">
        <v>3</v>
      </c>
      <c r="F969" t="s">
        <v>15</v>
      </c>
      <c r="G969" t="s">
        <v>32</v>
      </c>
      <c r="H969" t="s">
        <v>17</v>
      </c>
      <c r="I969">
        <v>1</v>
      </c>
      <c r="J969" t="s">
        <v>30</v>
      </c>
      <c r="K969" t="s">
        <v>35</v>
      </c>
      <c r="L969" t="str" cm="1">
        <f t="array" ref="L969">_xlfn.IFS(bike_buyers[[#This Row],[Age]]&gt;= 70, "senior citizen", bike_buyers[[#This Row],[Age]]&gt;=55, "middle age",  bike_buyers[[#This Row],[Age]]&gt;=40,"mature adult ", bike_buyers[[#This Row],[Age]]&gt;=30, "adults", bike_buyers[[#This Row],[Age]]&gt;= 20, "young adults")</f>
        <v>middle age</v>
      </c>
      <c r="M969">
        <v>56</v>
      </c>
      <c r="N969" t="s">
        <v>20</v>
      </c>
    </row>
    <row r="970" spans="1:14" x14ac:dyDescent="0.25">
      <c r="A970">
        <v>18329</v>
      </c>
      <c r="B970" t="s">
        <v>26</v>
      </c>
      <c r="C970" t="s">
        <v>21</v>
      </c>
      <c r="D970" s="1">
        <v>30000</v>
      </c>
      <c r="E970">
        <v>0</v>
      </c>
      <c r="F970" t="s">
        <v>33</v>
      </c>
      <c r="G970" t="s">
        <v>23</v>
      </c>
      <c r="H970" t="s">
        <v>20</v>
      </c>
      <c r="I970">
        <v>2</v>
      </c>
      <c r="J970" t="s">
        <v>27</v>
      </c>
      <c r="K970" t="s">
        <v>35</v>
      </c>
      <c r="L970" t="str" cm="1">
        <f t="array" ref="L970">_xlfn.IFS(bike_buyers[[#This Row],[Age]]&gt;= 70, "senior citizen", bike_buyers[[#This Row],[Age]]&gt;=55, "middle age",  bike_buyers[[#This Row],[Age]]&gt;=40,"mature adult ", bike_buyers[[#This Row],[Age]]&gt;=30, "adults", bike_buyers[[#This Row],[Age]]&gt;= 20, "young adults")</f>
        <v>young adults</v>
      </c>
      <c r="M970">
        <v>27</v>
      </c>
      <c r="N970" t="s">
        <v>20</v>
      </c>
    </row>
    <row r="971" spans="1:14" x14ac:dyDescent="0.25">
      <c r="A971">
        <v>29037</v>
      </c>
      <c r="B971" t="s">
        <v>13</v>
      </c>
      <c r="C971" t="s">
        <v>21</v>
      </c>
      <c r="D971" s="1">
        <v>60000</v>
      </c>
      <c r="E971">
        <v>0</v>
      </c>
      <c r="F971" t="s">
        <v>34</v>
      </c>
      <c r="G971" t="s">
        <v>24</v>
      </c>
      <c r="H971" t="s">
        <v>20</v>
      </c>
      <c r="I971">
        <v>0</v>
      </c>
      <c r="J971" t="s">
        <v>18</v>
      </c>
      <c r="K971" t="s">
        <v>35</v>
      </c>
      <c r="L971" t="str" cm="1">
        <f t="array" ref="L971">_xlfn.IFS(bike_buyers[[#This Row],[Age]]&gt;= 70, "senior citizen", bike_buyers[[#This Row],[Age]]&gt;=55, "middle age",  bike_buyers[[#This Row],[Age]]&gt;=40,"mature adult ", bike_buyers[[#This Row],[Age]]&gt;=30, "adults", bike_buyers[[#This Row],[Age]]&gt;= 20, "young adults")</f>
        <v>adults</v>
      </c>
      <c r="M971">
        <v>39</v>
      </c>
      <c r="N971" t="s">
        <v>20</v>
      </c>
    </row>
    <row r="972" spans="1:14" x14ac:dyDescent="0.25">
      <c r="A972">
        <v>26576</v>
      </c>
      <c r="B972" t="s">
        <v>13</v>
      </c>
      <c r="C972" t="s">
        <v>14</v>
      </c>
      <c r="D972" s="1">
        <v>60000</v>
      </c>
      <c r="E972">
        <v>0</v>
      </c>
      <c r="F972" t="s">
        <v>22</v>
      </c>
      <c r="G972" t="s">
        <v>16</v>
      </c>
      <c r="H972" t="s">
        <v>17</v>
      </c>
      <c r="I972">
        <v>2</v>
      </c>
      <c r="J972" t="s">
        <v>27</v>
      </c>
      <c r="K972" t="s">
        <v>35</v>
      </c>
      <c r="L972" t="str" cm="1">
        <f t="array" ref="L972">_xlfn.IFS(bike_buyers[[#This Row],[Age]]&gt;= 70, "senior citizen", bike_buyers[[#This Row],[Age]]&gt;=55, "middle age",  bike_buyers[[#This Row],[Age]]&gt;=40,"mature adult ", bike_buyers[[#This Row],[Age]]&gt;=30, "adults", bike_buyers[[#This Row],[Age]]&gt;= 20, "young adults")</f>
        <v>adults</v>
      </c>
      <c r="M972">
        <v>31</v>
      </c>
      <c r="N972" t="s">
        <v>20</v>
      </c>
    </row>
    <row r="973" spans="1:14" x14ac:dyDescent="0.25">
      <c r="A973">
        <v>12192</v>
      </c>
      <c r="B973" t="s">
        <v>26</v>
      </c>
      <c r="C973" t="s">
        <v>14</v>
      </c>
      <c r="D973" s="1">
        <v>60000</v>
      </c>
      <c r="E973">
        <v>2</v>
      </c>
      <c r="F973" t="s">
        <v>33</v>
      </c>
      <c r="G973" t="s">
        <v>16</v>
      </c>
      <c r="H973" t="s">
        <v>20</v>
      </c>
      <c r="I973">
        <v>2</v>
      </c>
      <c r="J973" t="s">
        <v>30</v>
      </c>
      <c r="K973" t="s">
        <v>35</v>
      </c>
      <c r="L973" t="str" cm="1">
        <f t="array" ref="L973">_xlfn.IFS(bike_buyers[[#This Row],[Age]]&gt;= 70, "senior citizen", bike_buyers[[#This Row],[Age]]&gt;=55, "middle age",  bike_buyers[[#This Row],[Age]]&gt;=40,"mature adult ", bike_buyers[[#This Row],[Age]]&gt;=30, "adults", bike_buyers[[#This Row],[Age]]&gt;= 20, "young adults")</f>
        <v xml:space="preserve">mature adult </v>
      </c>
      <c r="M973">
        <v>51</v>
      </c>
      <c r="N973" t="s">
        <v>20</v>
      </c>
    </row>
    <row r="974" spans="1:14" x14ac:dyDescent="0.25">
      <c r="A974">
        <v>14887</v>
      </c>
      <c r="B974" t="s">
        <v>13</v>
      </c>
      <c r="C974" t="s">
        <v>14</v>
      </c>
      <c r="D974" s="1">
        <v>30000</v>
      </c>
      <c r="E974">
        <v>1</v>
      </c>
      <c r="F974" t="s">
        <v>31</v>
      </c>
      <c r="G974" t="s">
        <v>23</v>
      </c>
      <c r="H974" t="s">
        <v>17</v>
      </c>
      <c r="I974">
        <v>1</v>
      </c>
      <c r="J974" t="s">
        <v>27</v>
      </c>
      <c r="K974" t="s">
        <v>35</v>
      </c>
      <c r="L974" t="str" cm="1">
        <f t="array" ref="L974">_xlfn.IFS(bike_buyers[[#This Row],[Age]]&gt;= 70, "senior citizen", bike_buyers[[#This Row],[Age]]&gt;=55, "middle age",  bike_buyers[[#This Row],[Age]]&gt;=40,"mature adult ", bike_buyers[[#This Row],[Age]]&gt;=30, "adults", bike_buyers[[#This Row],[Age]]&gt;= 20, "young adults")</f>
        <v xml:space="preserve">mature adult </v>
      </c>
      <c r="M974">
        <v>52</v>
      </c>
      <c r="N974" t="s">
        <v>20</v>
      </c>
    </row>
    <row r="975" spans="1:14" x14ac:dyDescent="0.25">
      <c r="A975">
        <v>11734</v>
      </c>
      <c r="B975" t="s">
        <v>13</v>
      </c>
      <c r="C975" t="s">
        <v>21</v>
      </c>
      <c r="D975" s="1">
        <v>60000</v>
      </c>
      <c r="E975">
        <v>1</v>
      </c>
      <c r="F975" t="s">
        <v>22</v>
      </c>
      <c r="G975" t="s">
        <v>16</v>
      </c>
      <c r="H975" t="s">
        <v>20</v>
      </c>
      <c r="I975">
        <v>1</v>
      </c>
      <c r="J975" t="s">
        <v>18</v>
      </c>
      <c r="K975" t="s">
        <v>35</v>
      </c>
      <c r="L975" t="str" cm="1">
        <f t="array" ref="L975">_xlfn.IFS(bike_buyers[[#This Row],[Age]]&gt;= 70, "senior citizen", bike_buyers[[#This Row],[Age]]&gt;=55, "middle age",  bike_buyers[[#This Row],[Age]]&gt;=40,"mature adult ", bike_buyers[[#This Row],[Age]]&gt;=30, "adults", bike_buyers[[#This Row],[Age]]&gt;= 20, "young adults")</f>
        <v xml:space="preserve">mature adult </v>
      </c>
      <c r="M975">
        <v>47</v>
      </c>
      <c r="N975" t="s">
        <v>20</v>
      </c>
    </row>
    <row r="976" spans="1:14" x14ac:dyDescent="0.25">
      <c r="A976">
        <v>17462</v>
      </c>
      <c r="B976" t="s">
        <v>13</v>
      </c>
      <c r="C976" t="s">
        <v>21</v>
      </c>
      <c r="D976" s="1">
        <v>70000</v>
      </c>
      <c r="E976">
        <v>3</v>
      </c>
      <c r="F976" t="s">
        <v>34</v>
      </c>
      <c r="G976" t="s">
        <v>32</v>
      </c>
      <c r="H976" t="s">
        <v>17</v>
      </c>
      <c r="I976">
        <v>2</v>
      </c>
      <c r="J976" t="s">
        <v>27</v>
      </c>
      <c r="K976" t="s">
        <v>35</v>
      </c>
      <c r="L976" t="str" cm="1">
        <f t="array" ref="L976">_xlfn.IFS(bike_buyers[[#This Row],[Age]]&gt;= 70, "senior citizen", bike_buyers[[#This Row],[Age]]&gt;=55, "middle age",  bike_buyers[[#This Row],[Age]]&gt;=40,"mature adult ", bike_buyers[[#This Row],[Age]]&gt;=30, "adults", bike_buyers[[#This Row],[Age]]&gt;= 20, "young adults")</f>
        <v xml:space="preserve">mature adult </v>
      </c>
      <c r="M976">
        <v>53</v>
      </c>
      <c r="N976" t="s">
        <v>17</v>
      </c>
    </row>
    <row r="977" spans="1:14" x14ac:dyDescent="0.25">
      <c r="A977">
        <v>20659</v>
      </c>
      <c r="B977" t="s">
        <v>13</v>
      </c>
      <c r="C977" t="s">
        <v>21</v>
      </c>
      <c r="D977" s="1">
        <v>70000</v>
      </c>
      <c r="E977">
        <v>3</v>
      </c>
      <c r="F977" t="s">
        <v>34</v>
      </c>
      <c r="G977" t="s">
        <v>24</v>
      </c>
      <c r="H977" t="s">
        <v>17</v>
      </c>
      <c r="I977">
        <v>0</v>
      </c>
      <c r="J977" t="s">
        <v>18</v>
      </c>
      <c r="K977" t="s">
        <v>35</v>
      </c>
      <c r="L977" t="str" cm="1">
        <f t="array" ref="L977">_xlfn.IFS(bike_buyers[[#This Row],[Age]]&gt;= 70, "senior citizen", bike_buyers[[#This Row],[Age]]&gt;=55, "middle age",  bike_buyers[[#This Row],[Age]]&gt;=40,"mature adult ", bike_buyers[[#This Row],[Age]]&gt;=30, "adults", bike_buyers[[#This Row],[Age]]&gt;= 20, "young adults")</f>
        <v>adults</v>
      </c>
      <c r="M977">
        <v>35</v>
      </c>
      <c r="N977" t="s">
        <v>17</v>
      </c>
    </row>
    <row r="978" spans="1:14" x14ac:dyDescent="0.25">
      <c r="A978">
        <v>28004</v>
      </c>
      <c r="B978" t="s">
        <v>13</v>
      </c>
      <c r="C978" t="s">
        <v>14</v>
      </c>
      <c r="D978" s="1">
        <v>60000</v>
      </c>
      <c r="E978">
        <v>3</v>
      </c>
      <c r="F978" t="s">
        <v>15</v>
      </c>
      <c r="G978" t="s">
        <v>32</v>
      </c>
      <c r="H978" t="s">
        <v>17</v>
      </c>
      <c r="I978">
        <v>2</v>
      </c>
      <c r="J978" t="s">
        <v>41</v>
      </c>
      <c r="K978" t="s">
        <v>35</v>
      </c>
      <c r="L978" t="str" cm="1">
        <f t="array" ref="L978">_xlfn.IFS(bike_buyers[[#This Row],[Age]]&gt;= 70, "senior citizen", bike_buyers[[#This Row],[Age]]&gt;=55, "middle age",  bike_buyers[[#This Row],[Age]]&gt;=40,"mature adult ", bike_buyers[[#This Row],[Age]]&gt;=30, "adults", bike_buyers[[#This Row],[Age]]&gt;= 20, "young adults")</f>
        <v>middle age</v>
      </c>
      <c r="M978">
        <v>66</v>
      </c>
      <c r="N978" t="s">
        <v>20</v>
      </c>
    </row>
    <row r="979" spans="1:14" x14ac:dyDescent="0.25">
      <c r="A979">
        <v>19741</v>
      </c>
      <c r="B979" t="s">
        <v>26</v>
      </c>
      <c r="C979" t="s">
        <v>14</v>
      </c>
      <c r="D979" s="1">
        <v>80000</v>
      </c>
      <c r="E979">
        <v>4</v>
      </c>
      <c r="F979" t="s">
        <v>34</v>
      </c>
      <c r="G979" t="s">
        <v>32</v>
      </c>
      <c r="H979" t="s">
        <v>17</v>
      </c>
      <c r="I979">
        <v>2</v>
      </c>
      <c r="J979" t="s">
        <v>27</v>
      </c>
      <c r="K979" t="s">
        <v>35</v>
      </c>
      <c r="L979" t="str" cm="1">
        <f t="array" ref="L979">_xlfn.IFS(bike_buyers[[#This Row],[Age]]&gt;= 70, "senior citizen", bike_buyers[[#This Row],[Age]]&gt;=55, "middle age",  bike_buyers[[#This Row],[Age]]&gt;=40,"mature adult ", bike_buyers[[#This Row],[Age]]&gt;=30, "adults", bike_buyers[[#This Row],[Age]]&gt;= 20, "young adults")</f>
        <v>middle age</v>
      </c>
      <c r="M979">
        <v>65</v>
      </c>
      <c r="N979" t="s">
        <v>20</v>
      </c>
    </row>
    <row r="980" spans="1:14" x14ac:dyDescent="0.25">
      <c r="A980">
        <v>17450</v>
      </c>
      <c r="B980" t="s">
        <v>13</v>
      </c>
      <c r="C980" t="s">
        <v>21</v>
      </c>
      <c r="D980" s="1">
        <v>80000</v>
      </c>
      <c r="E980">
        <v>5</v>
      </c>
      <c r="F980" t="s">
        <v>22</v>
      </c>
      <c r="G980" t="s">
        <v>24</v>
      </c>
      <c r="H980" t="s">
        <v>17</v>
      </c>
      <c r="I980">
        <v>3</v>
      </c>
      <c r="J980" t="s">
        <v>27</v>
      </c>
      <c r="K980" t="s">
        <v>35</v>
      </c>
      <c r="L980" t="str" cm="1">
        <f t="array" ref="L980">_xlfn.IFS(bike_buyers[[#This Row],[Age]]&gt;= 70, "senior citizen", bike_buyers[[#This Row],[Age]]&gt;=55, "middle age",  bike_buyers[[#This Row],[Age]]&gt;=40,"mature adult ", bike_buyers[[#This Row],[Age]]&gt;=30, "adults", bike_buyers[[#This Row],[Age]]&gt;= 20, "young adults")</f>
        <v xml:space="preserve">mature adult </v>
      </c>
      <c r="M980">
        <v>45</v>
      </c>
      <c r="N980" t="s">
        <v>20</v>
      </c>
    </row>
    <row r="981" spans="1:14" x14ac:dyDescent="0.25">
      <c r="A981">
        <v>17337</v>
      </c>
      <c r="B981" t="s">
        <v>26</v>
      </c>
      <c r="C981" t="s">
        <v>21</v>
      </c>
      <c r="D981" s="1">
        <v>40000</v>
      </c>
      <c r="E981">
        <v>0</v>
      </c>
      <c r="F981" t="s">
        <v>31</v>
      </c>
      <c r="G981" t="s">
        <v>16</v>
      </c>
      <c r="H981" t="s">
        <v>17</v>
      </c>
      <c r="I981">
        <v>1</v>
      </c>
      <c r="J981" t="s">
        <v>27</v>
      </c>
      <c r="K981" t="s">
        <v>35</v>
      </c>
      <c r="L981" t="str" cm="1">
        <f t="array" ref="L981">_xlfn.IFS(bike_buyers[[#This Row],[Age]]&gt;= 70, "senior citizen", bike_buyers[[#This Row],[Age]]&gt;=55, "middle age",  bike_buyers[[#This Row],[Age]]&gt;=40,"mature adult ", bike_buyers[[#This Row],[Age]]&gt;=30, "adults", bike_buyers[[#This Row],[Age]]&gt;= 20, "young adults")</f>
        <v>adults</v>
      </c>
      <c r="M981">
        <v>31</v>
      </c>
      <c r="N981" t="s">
        <v>20</v>
      </c>
    </row>
    <row r="982" spans="1:14" x14ac:dyDescent="0.25">
      <c r="A982">
        <v>18594</v>
      </c>
      <c r="B982" t="s">
        <v>26</v>
      </c>
      <c r="C982" t="s">
        <v>14</v>
      </c>
      <c r="D982" s="1">
        <v>80000</v>
      </c>
      <c r="E982">
        <v>3</v>
      </c>
      <c r="F982" t="s">
        <v>15</v>
      </c>
      <c r="G982" t="s">
        <v>16</v>
      </c>
      <c r="H982" t="s">
        <v>17</v>
      </c>
      <c r="I982">
        <v>3</v>
      </c>
      <c r="J982" t="s">
        <v>41</v>
      </c>
      <c r="K982" t="s">
        <v>35</v>
      </c>
      <c r="L982" t="str" cm="1">
        <f t="array" ref="L982">_xlfn.IFS(bike_buyers[[#This Row],[Age]]&gt;= 70, "senior citizen", bike_buyers[[#This Row],[Age]]&gt;=55, "middle age",  bike_buyers[[#This Row],[Age]]&gt;=40,"mature adult ", bike_buyers[[#This Row],[Age]]&gt;=30, "adults", bike_buyers[[#This Row],[Age]]&gt;= 20, "young adults")</f>
        <v xml:space="preserve">mature adult </v>
      </c>
      <c r="M982">
        <v>40</v>
      </c>
      <c r="N982" t="s">
        <v>17</v>
      </c>
    </row>
    <row r="983" spans="1:14" x14ac:dyDescent="0.25">
      <c r="A983">
        <v>15982</v>
      </c>
      <c r="B983" t="s">
        <v>13</v>
      </c>
      <c r="C983" t="s">
        <v>21</v>
      </c>
      <c r="D983" s="1">
        <v>110000</v>
      </c>
      <c r="E983">
        <v>5</v>
      </c>
      <c r="F983" t="s">
        <v>22</v>
      </c>
      <c r="G983" t="s">
        <v>24</v>
      </c>
      <c r="H983" t="s">
        <v>17</v>
      </c>
      <c r="I983">
        <v>4</v>
      </c>
      <c r="J983" t="s">
        <v>25</v>
      </c>
      <c r="K983" t="s">
        <v>35</v>
      </c>
      <c r="L983" t="str" cm="1">
        <f t="array" ref="L983">_xlfn.IFS(bike_buyers[[#This Row],[Age]]&gt;= 70, "senior citizen", bike_buyers[[#This Row],[Age]]&gt;=55, "middle age",  bike_buyers[[#This Row],[Age]]&gt;=40,"mature adult ", bike_buyers[[#This Row],[Age]]&gt;=30, "adults", bike_buyers[[#This Row],[Age]]&gt;= 20, "young adults")</f>
        <v xml:space="preserve">mature adult </v>
      </c>
      <c r="M983">
        <v>46</v>
      </c>
      <c r="N983" t="s">
        <v>20</v>
      </c>
    </row>
    <row r="984" spans="1:14" x14ac:dyDescent="0.25">
      <c r="A984">
        <v>28625</v>
      </c>
      <c r="B984" t="s">
        <v>26</v>
      </c>
      <c r="C984" t="s">
        <v>21</v>
      </c>
      <c r="D984" s="1">
        <v>40000</v>
      </c>
      <c r="E984">
        <v>2</v>
      </c>
      <c r="F984" t="s">
        <v>22</v>
      </c>
      <c r="G984" t="s">
        <v>23</v>
      </c>
      <c r="H984" t="s">
        <v>20</v>
      </c>
      <c r="I984">
        <v>1</v>
      </c>
      <c r="J984" t="s">
        <v>30</v>
      </c>
      <c r="K984" t="s">
        <v>35</v>
      </c>
      <c r="L984" t="str" cm="1">
        <f t="array" ref="L984">_xlfn.IFS(bike_buyers[[#This Row],[Age]]&gt;= 70, "senior citizen", bike_buyers[[#This Row],[Age]]&gt;=55, "middle age",  bike_buyers[[#This Row],[Age]]&gt;=40,"mature adult ", bike_buyers[[#This Row],[Age]]&gt;=30, "adults", bike_buyers[[#This Row],[Age]]&gt;= 20, "young adults")</f>
        <v xml:space="preserve">mature adult </v>
      </c>
      <c r="M984">
        <v>47</v>
      </c>
      <c r="N984" t="s">
        <v>17</v>
      </c>
    </row>
    <row r="985" spans="1:14" x14ac:dyDescent="0.25">
      <c r="A985">
        <v>11269</v>
      </c>
      <c r="B985" t="s">
        <v>13</v>
      </c>
      <c r="C985" t="s">
        <v>21</v>
      </c>
      <c r="D985" s="1">
        <v>130000</v>
      </c>
      <c r="E985">
        <v>2</v>
      </c>
      <c r="F985" t="s">
        <v>34</v>
      </c>
      <c r="G985" t="s">
        <v>32</v>
      </c>
      <c r="H985" t="s">
        <v>17</v>
      </c>
      <c r="I985">
        <v>2</v>
      </c>
      <c r="J985" t="s">
        <v>18</v>
      </c>
      <c r="K985" t="s">
        <v>35</v>
      </c>
      <c r="L985" t="str" cm="1">
        <f t="array" ref="L985">_xlfn.IFS(bike_buyers[[#This Row],[Age]]&gt;= 70, "senior citizen", bike_buyers[[#This Row],[Age]]&gt;=55, "middle age",  bike_buyers[[#This Row],[Age]]&gt;=40,"mature adult ", bike_buyers[[#This Row],[Age]]&gt;=30, "adults", bike_buyers[[#This Row],[Age]]&gt;= 20, "young adults")</f>
        <v xml:space="preserve">mature adult </v>
      </c>
      <c r="M985">
        <v>41</v>
      </c>
      <c r="N985" t="s">
        <v>20</v>
      </c>
    </row>
    <row r="986" spans="1:14" x14ac:dyDescent="0.25">
      <c r="A986">
        <v>25148</v>
      </c>
      <c r="B986" t="s">
        <v>13</v>
      </c>
      <c r="C986" t="s">
        <v>21</v>
      </c>
      <c r="D986" s="1">
        <v>60000</v>
      </c>
      <c r="E986">
        <v>2</v>
      </c>
      <c r="F986" t="s">
        <v>31</v>
      </c>
      <c r="G986" t="s">
        <v>24</v>
      </c>
      <c r="H986" t="s">
        <v>20</v>
      </c>
      <c r="I986">
        <v>2</v>
      </c>
      <c r="J986" t="s">
        <v>30</v>
      </c>
      <c r="K986" t="s">
        <v>35</v>
      </c>
      <c r="L986" t="str" cm="1">
        <f t="array" ref="L986">_xlfn.IFS(bike_buyers[[#This Row],[Age]]&gt;= 70, "senior citizen", bike_buyers[[#This Row],[Age]]&gt;=55, "middle age",  bike_buyers[[#This Row],[Age]]&gt;=40,"mature adult ", bike_buyers[[#This Row],[Age]]&gt;=30, "adults", bike_buyers[[#This Row],[Age]]&gt;= 20, "young adults")</f>
        <v xml:space="preserve">mature adult </v>
      </c>
      <c r="M986">
        <v>48</v>
      </c>
      <c r="N986" t="s">
        <v>17</v>
      </c>
    </row>
    <row r="987" spans="1:14" x14ac:dyDescent="0.25">
      <c r="A987">
        <v>13920</v>
      </c>
      <c r="B987" t="s">
        <v>26</v>
      </c>
      <c r="C987" t="s">
        <v>14</v>
      </c>
      <c r="D987" s="1">
        <v>50000</v>
      </c>
      <c r="E987">
        <v>4</v>
      </c>
      <c r="F987" t="s">
        <v>15</v>
      </c>
      <c r="G987" t="s">
        <v>16</v>
      </c>
      <c r="H987" t="s">
        <v>17</v>
      </c>
      <c r="I987">
        <v>2</v>
      </c>
      <c r="J987" t="s">
        <v>18</v>
      </c>
      <c r="K987" t="s">
        <v>35</v>
      </c>
      <c r="L987" t="str" cm="1">
        <f t="array" ref="L987">_xlfn.IFS(bike_buyers[[#This Row],[Age]]&gt;= 70, "senior citizen", bike_buyers[[#This Row],[Age]]&gt;=55, "middle age",  bike_buyers[[#This Row],[Age]]&gt;=40,"mature adult ", bike_buyers[[#This Row],[Age]]&gt;=30, "adults", bike_buyers[[#This Row],[Age]]&gt;= 20, "young adults")</f>
        <v xml:space="preserve">mature adult </v>
      </c>
      <c r="M987">
        <v>42</v>
      </c>
      <c r="N987" t="s">
        <v>20</v>
      </c>
    </row>
    <row r="988" spans="1:14" x14ac:dyDescent="0.25">
      <c r="A988">
        <v>23704</v>
      </c>
      <c r="B988" t="s">
        <v>26</v>
      </c>
      <c r="C988" t="s">
        <v>21</v>
      </c>
      <c r="D988" s="1">
        <v>40000</v>
      </c>
      <c r="E988">
        <v>5</v>
      </c>
      <c r="F988" t="s">
        <v>31</v>
      </c>
      <c r="G988" t="s">
        <v>24</v>
      </c>
      <c r="H988" t="s">
        <v>17</v>
      </c>
      <c r="I988">
        <v>4</v>
      </c>
      <c r="J988" t="s">
        <v>41</v>
      </c>
      <c r="K988" t="s">
        <v>35</v>
      </c>
      <c r="L988" t="str" cm="1">
        <f t="array" ref="L988">_xlfn.IFS(bike_buyers[[#This Row],[Age]]&gt;= 70, "senior citizen", bike_buyers[[#This Row],[Age]]&gt;=55, "middle age",  bike_buyers[[#This Row],[Age]]&gt;=40,"mature adult ", bike_buyers[[#This Row],[Age]]&gt;=30, "adults", bike_buyers[[#This Row],[Age]]&gt;= 20, "young adults")</f>
        <v>middle age</v>
      </c>
      <c r="M988">
        <v>60</v>
      </c>
      <c r="N988" t="s">
        <v>17</v>
      </c>
    </row>
    <row r="989" spans="1:14" x14ac:dyDescent="0.25">
      <c r="A989">
        <v>28972</v>
      </c>
      <c r="B989" t="s">
        <v>26</v>
      </c>
      <c r="C989" t="s">
        <v>14</v>
      </c>
      <c r="D989" s="1">
        <v>60000</v>
      </c>
      <c r="E989">
        <v>3</v>
      </c>
      <c r="F989" t="s">
        <v>34</v>
      </c>
      <c r="G989" t="s">
        <v>32</v>
      </c>
      <c r="H989" t="s">
        <v>17</v>
      </c>
      <c r="I989">
        <v>2</v>
      </c>
      <c r="J989" t="s">
        <v>41</v>
      </c>
      <c r="K989" t="s">
        <v>35</v>
      </c>
      <c r="L989" t="str" cm="1">
        <f t="array" ref="L989">_xlfn.IFS(bike_buyers[[#This Row],[Age]]&gt;= 70, "senior citizen", bike_buyers[[#This Row],[Age]]&gt;=55, "middle age",  bike_buyers[[#This Row],[Age]]&gt;=40,"mature adult ", bike_buyers[[#This Row],[Age]]&gt;=30, "adults", bike_buyers[[#This Row],[Age]]&gt;= 20, "young adults")</f>
        <v>middle age</v>
      </c>
      <c r="M989">
        <v>66</v>
      </c>
      <c r="N989" t="s">
        <v>20</v>
      </c>
    </row>
    <row r="990" spans="1:14" x14ac:dyDescent="0.25">
      <c r="A990">
        <v>22730</v>
      </c>
      <c r="B990" t="s">
        <v>13</v>
      </c>
      <c r="C990" t="s">
        <v>21</v>
      </c>
      <c r="D990" s="1">
        <v>70000</v>
      </c>
      <c r="E990">
        <v>5</v>
      </c>
      <c r="F990" t="s">
        <v>15</v>
      </c>
      <c r="G990" t="s">
        <v>32</v>
      </c>
      <c r="H990" t="s">
        <v>17</v>
      </c>
      <c r="I990">
        <v>2</v>
      </c>
      <c r="J990" t="s">
        <v>41</v>
      </c>
      <c r="K990" t="s">
        <v>35</v>
      </c>
      <c r="L990" t="str" cm="1">
        <f t="array" ref="L990">_xlfn.IFS(bike_buyers[[#This Row],[Age]]&gt;= 70, "senior citizen", bike_buyers[[#This Row],[Age]]&gt;=55, "middle age",  bike_buyers[[#This Row],[Age]]&gt;=40,"mature adult ", bike_buyers[[#This Row],[Age]]&gt;=30, "adults", bike_buyers[[#This Row],[Age]]&gt;= 20, "young adults")</f>
        <v>middle age</v>
      </c>
      <c r="M990">
        <v>63</v>
      </c>
      <c r="N990" t="s">
        <v>20</v>
      </c>
    </row>
    <row r="991" spans="1:14" x14ac:dyDescent="0.25">
      <c r="A991">
        <v>29134</v>
      </c>
      <c r="B991" t="s">
        <v>13</v>
      </c>
      <c r="C991" t="s">
        <v>21</v>
      </c>
      <c r="D991" s="1">
        <v>60000</v>
      </c>
      <c r="E991">
        <v>4</v>
      </c>
      <c r="F991" t="s">
        <v>15</v>
      </c>
      <c r="G991" t="s">
        <v>16</v>
      </c>
      <c r="H991" t="s">
        <v>20</v>
      </c>
      <c r="I991">
        <v>3</v>
      </c>
      <c r="J991" t="s">
        <v>41</v>
      </c>
      <c r="K991" t="s">
        <v>35</v>
      </c>
      <c r="L991" t="str" cm="1">
        <f t="array" ref="L991">_xlfn.IFS(bike_buyers[[#This Row],[Age]]&gt;= 70, "senior citizen", bike_buyers[[#This Row],[Age]]&gt;=55, "middle age",  bike_buyers[[#This Row],[Age]]&gt;=40,"mature adult ", bike_buyers[[#This Row],[Age]]&gt;=30, "adults", bike_buyers[[#This Row],[Age]]&gt;= 20, "young adults")</f>
        <v xml:space="preserve">mature adult </v>
      </c>
      <c r="M991">
        <v>42</v>
      </c>
      <c r="N991" t="s">
        <v>20</v>
      </c>
    </row>
    <row r="992" spans="1:14" x14ac:dyDescent="0.25">
      <c r="A992">
        <v>14332</v>
      </c>
      <c r="B992" t="s">
        <v>26</v>
      </c>
      <c r="C992" t="s">
        <v>14</v>
      </c>
      <c r="D992" s="1">
        <v>30000</v>
      </c>
      <c r="E992">
        <v>0</v>
      </c>
      <c r="F992" t="s">
        <v>31</v>
      </c>
      <c r="G992" t="s">
        <v>16</v>
      </c>
      <c r="H992" t="s">
        <v>20</v>
      </c>
      <c r="I992">
        <v>2</v>
      </c>
      <c r="J992" t="s">
        <v>27</v>
      </c>
      <c r="K992" t="s">
        <v>35</v>
      </c>
      <c r="L992" t="str" cm="1">
        <f t="array" ref="L992">_xlfn.IFS(bike_buyers[[#This Row],[Age]]&gt;= 70, "senior citizen", bike_buyers[[#This Row],[Age]]&gt;=55, "middle age",  bike_buyers[[#This Row],[Age]]&gt;=40,"mature adult ", bike_buyers[[#This Row],[Age]]&gt;=30, "adults", bike_buyers[[#This Row],[Age]]&gt;= 20, "young adults")</f>
        <v>young adults</v>
      </c>
      <c r="M992">
        <v>26</v>
      </c>
      <c r="N992" t="s">
        <v>20</v>
      </c>
    </row>
    <row r="993" spans="1:14" x14ac:dyDescent="0.25">
      <c r="A993">
        <v>19117</v>
      </c>
      <c r="B993" t="s">
        <v>26</v>
      </c>
      <c r="C993" t="s">
        <v>14</v>
      </c>
      <c r="D993" s="1">
        <v>60000</v>
      </c>
      <c r="E993">
        <v>1</v>
      </c>
      <c r="F993" t="s">
        <v>34</v>
      </c>
      <c r="G993" t="s">
        <v>24</v>
      </c>
      <c r="H993" t="s">
        <v>17</v>
      </c>
      <c r="I993">
        <v>0</v>
      </c>
      <c r="J993" t="s">
        <v>25</v>
      </c>
      <c r="K993" t="s">
        <v>35</v>
      </c>
      <c r="L993" t="str" cm="1">
        <f t="array" ref="L993">_xlfn.IFS(bike_buyers[[#This Row],[Age]]&gt;= 70, "senior citizen", bike_buyers[[#This Row],[Age]]&gt;=55, "middle age",  bike_buyers[[#This Row],[Age]]&gt;=40,"mature adult ", bike_buyers[[#This Row],[Age]]&gt;=30, "adults", bike_buyers[[#This Row],[Age]]&gt;= 20, "young adults")</f>
        <v>adults</v>
      </c>
      <c r="M993">
        <v>36</v>
      </c>
      <c r="N993" t="s">
        <v>17</v>
      </c>
    </row>
    <row r="994" spans="1:14" x14ac:dyDescent="0.25">
      <c r="A994">
        <v>22864</v>
      </c>
      <c r="B994" t="s">
        <v>13</v>
      </c>
      <c r="C994" t="s">
        <v>21</v>
      </c>
      <c r="D994" s="1">
        <v>90000</v>
      </c>
      <c r="E994">
        <v>2</v>
      </c>
      <c r="F994" t="s">
        <v>22</v>
      </c>
      <c r="G994" t="s">
        <v>24</v>
      </c>
      <c r="H994" t="s">
        <v>20</v>
      </c>
      <c r="I994">
        <v>0</v>
      </c>
      <c r="J994" t="s">
        <v>27</v>
      </c>
      <c r="K994" t="s">
        <v>35</v>
      </c>
      <c r="L994" t="str" cm="1">
        <f t="array" ref="L994">_xlfn.IFS(bike_buyers[[#This Row],[Age]]&gt;= 70, "senior citizen", bike_buyers[[#This Row],[Age]]&gt;=55, "middle age",  bike_buyers[[#This Row],[Age]]&gt;=40,"mature adult ", bike_buyers[[#This Row],[Age]]&gt;=30, "adults", bike_buyers[[#This Row],[Age]]&gt;= 20, "young adults")</f>
        <v xml:space="preserve">mature adult </v>
      </c>
      <c r="M994">
        <v>49</v>
      </c>
      <c r="N994" t="s">
        <v>17</v>
      </c>
    </row>
    <row r="995" spans="1:14" x14ac:dyDescent="0.25">
      <c r="A995">
        <v>11292</v>
      </c>
      <c r="B995" t="s">
        <v>26</v>
      </c>
      <c r="C995" t="s">
        <v>21</v>
      </c>
      <c r="D995" s="1">
        <v>150000</v>
      </c>
      <c r="E995">
        <v>1</v>
      </c>
      <c r="F995" t="s">
        <v>22</v>
      </c>
      <c r="G995" t="s">
        <v>24</v>
      </c>
      <c r="H995" t="s">
        <v>20</v>
      </c>
      <c r="I995">
        <v>3</v>
      </c>
      <c r="J995" t="s">
        <v>18</v>
      </c>
      <c r="K995" t="s">
        <v>35</v>
      </c>
      <c r="L995" t="str" cm="1">
        <f t="array" ref="L995">_xlfn.IFS(bike_buyers[[#This Row],[Age]]&gt;= 70, "senior citizen", bike_buyers[[#This Row],[Age]]&gt;=55, "middle age",  bike_buyers[[#This Row],[Age]]&gt;=40,"mature adult ", bike_buyers[[#This Row],[Age]]&gt;=30, "adults", bike_buyers[[#This Row],[Age]]&gt;= 20, "young adults")</f>
        <v xml:space="preserve">mature adult </v>
      </c>
      <c r="M995">
        <v>44</v>
      </c>
      <c r="N995" t="s">
        <v>17</v>
      </c>
    </row>
    <row r="996" spans="1:14" x14ac:dyDescent="0.25">
      <c r="A996">
        <v>13466</v>
      </c>
      <c r="B996" t="s">
        <v>13</v>
      </c>
      <c r="C996" t="s">
        <v>21</v>
      </c>
      <c r="D996" s="1">
        <v>80000</v>
      </c>
      <c r="E996">
        <v>5</v>
      </c>
      <c r="F996" t="s">
        <v>22</v>
      </c>
      <c r="G996" t="s">
        <v>24</v>
      </c>
      <c r="H996" t="s">
        <v>17</v>
      </c>
      <c r="I996">
        <v>3</v>
      </c>
      <c r="J996" t="s">
        <v>30</v>
      </c>
      <c r="K996" t="s">
        <v>35</v>
      </c>
      <c r="L996" t="str" cm="1">
        <f t="array" ref="L996">_xlfn.IFS(bike_buyers[[#This Row],[Age]]&gt;= 70, "senior citizen", bike_buyers[[#This Row],[Age]]&gt;=55, "middle age",  bike_buyers[[#This Row],[Age]]&gt;=40,"mature adult ", bike_buyers[[#This Row],[Age]]&gt;=30, "adults", bike_buyers[[#This Row],[Age]]&gt;= 20, "young adults")</f>
        <v xml:space="preserve">mature adult </v>
      </c>
      <c r="M996">
        <v>46</v>
      </c>
      <c r="N996" t="s">
        <v>20</v>
      </c>
    </row>
    <row r="997" spans="1:14" x14ac:dyDescent="0.25">
      <c r="A997">
        <v>23731</v>
      </c>
      <c r="B997" t="s">
        <v>13</v>
      </c>
      <c r="C997" t="s">
        <v>21</v>
      </c>
      <c r="D997" s="1">
        <v>60000</v>
      </c>
      <c r="E997">
        <v>2</v>
      </c>
      <c r="F997" t="s">
        <v>31</v>
      </c>
      <c r="G997" t="s">
        <v>24</v>
      </c>
      <c r="H997" t="s">
        <v>17</v>
      </c>
      <c r="I997">
        <v>2</v>
      </c>
      <c r="J997" t="s">
        <v>25</v>
      </c>
      <c r="K997" t="s">
        <v>35</v>
      </c>
      <c r="L997" t="str" cm="1">
        <f t="array" ref="L997">_xlfn.IFS(bike_buyers[[#This Row],[Age]]&gt;= 70, "senior citizen", bike_buyers[[#This Row],[Age]]&gt;=55, "middle age",  bike_buyers[[#This Row],[Age]]&gt;=40,"mature adult ", bike_buyers[[#This Row],[Age]]&gt;=30, "adults", bike_buyers[[#This Row],[Age]]&gt;= 20, "young adults")</f>
        <v xml:space="preserve">mature adult </v>
      </c>
      <c r="M997">
        <v>54</v>
      </c>
      <c r="N997" t="s">
        <v>17</v>
      </c>
    </row>
    <row r="998" spans="1:14" x14ac:dyDescent="0.25">
      <c r="A998">
        <v>28672</v>
      </c>
      <c r="B998" t="s">
        <v>26</v>
      </c>
      <c r="C998" t="s">
        <v>21</v>
      </c>
      <c r="D998" s="1">
        <v>70000</v>
      </c>
      <c r="E998">
        <v>4</v>
      </c>
      <c r="F998" t="s">
        <v>34</v>
      </c>
      <c r="G998" t="s">
        <v>24</v>
      </c>
      <c r="H998" t="s">
        <v>17</v>
      </c>
      <c r="I998">
        <v>0</v>
      </c>
      <c r="J998" t="s">
        <v>25</v>
      </c>
      <c r="K998" t="s">
        <v>35</v>
      </c>
      <c r="L998" t="str" cm="1">
        <f t="array" ref="L998">_xlfn.IFS(bike_buyers[[#This Row],[Age]]&gt;= 70, "senior citizen", bike_buyers[[#This Row],[Age]]&gt;=55, "middle age",  bike_buyers[[#This Row],[Age]]&gt;=40,"mature adult ", bike_buyers[[#This Row],[Age]]&gt;=30, "adults", bike_buyers[[#This Row],[Age]]&gt;= 20, "young adults")</f>
        <v>adults</v>
      </c>
      <c r="M998">
        <v>35</v>
      </c>
      <c r="N998" t="s">
        <v>17</v>
      </c>
    </row>
    <row r="999" spans="1:14" x14ac:dyDescent="0.25">
      <c r="A999">
        <v>11809</v>
      </c>
      <c r="B999" t="s">
        <v>13</v>
      </c>
      <c r="C999" t="s">
        <v>21</v>
      </c>
      <c r="D999" s="1">
        <v>60000</v>
      </c>
      <c r="E999">
        <v>2</v>
      </c>
      <c r="F999" t="s">
        <v>15</v>
      </c>
      <c r="G999" t="s">
        <v>16</v>
      </c>
      <c r="H999" t="s">
        <v>17</v>
      </c>
      <c r="I999">
        <v>0</v>
      </c>
      <c r="J999" t="s">
        <v>18</v>
      </c>
      <c r="K999" t="s">
        <v>35</v>
      </c>
      <c r="L999" t="str" cm="1">
        <f t="array" ref="L999">_xlfn.IFS(bike_buyers[[#This Row],[Age]]&gt;= 70, "senior citizen", bike_buyers[[#This Row],[Age]]&gt;=55, "middle age",  bike_buyers[[#This Row],[Age]]&gt;=40,"mature adult ", bike_buyers[[#This Row],[Age]]&gt;=30, "adults", bike_buyers[[#This Row],[Age]]&gt;= 20, "young adults")</f>
        <v>adults</v>
      </c>
      <c r="M999">
        <v>38</v>
      </c>
      <c r="N999" t="s">
        <v>17</v>
      </c>
    </row>
    <row r="1000" spans="1:14" x14ac:dyDescent="0.25">
      <c r="A1000">
        <v>19664</v>
      </c>
      <c r="B1000" t="s">
        <v>26</v>
      </c>
      <c r="C1000" t="s">
        <v>21</v>
      </c>
      <c r="D1000" s="1">
        <v>100000</v>
      </c>
      <c r="E1000">
        <v>3</v>
      </c>
      <c r="F1000" t="s">
        <v>15</v>
      </c>
      <c r="G1000" t="s">
        <v>32</v>
      </c>
      <c r="H1000" t="s">
        <v>20</v>
      </c>
      <c r="I1000">
        <v>3</v>
      </c>
      <c r="J1000" t="s">
        <v>30</v>
      </c>
      <c r="K1000" t="s">
        <v>35</v>
      </c>
      <c r="L1000" t="str" cm="1">
        <f t="array" ref="L1000">_xlfn.IFS(bike_buyers[[#This Row],[Age]]&gt;= 70, "senior citizen", bike_buyers[[#This Row],[Age]]&gt;=55, "middle age",  bike_buyers[[#This Row],[Age]]&gt;=40,"mature adult ", bike_buyers[[#This Row],[Age]]&gt;=30, "adults", bike_buyers[[#This Row],[Age]]&gt;= 20, "young adults")</f>
        <v>adults</v>
      </c>
      <c r="M1000">
        <v>38</v>
      </c>
      <c r="N1000" t="s">
        <v>20</v>
      </c>
    </row>
    <row r="1001" spans="1:14" x14ac:dyDescent="0.25">
      <c r="A1001">
        <v>12121</v>
      </c>
      <c r="B1001" t="s">
        <v>26</v>
      </c>
      <c r="C1001" t="s">
        <v>21</v>
      </c>
      <c r="D1001" s="1">
        <v>60000</v>
      </c>
      <c r="E1001">
        <v>3</v>
      </c>
      <c r="F1001" t="s">
        <v>31</v>
      </c>
      <c r="G1001" t="s">
        <v>24</v>
      </c>
      <c r="H1001" t="s">
        <v>17</v>
      </c>
      <c r="I1001">
        <v>2</v>
      </c>
      <c r="J1001" t="s">
        <v>41</v>
      </c>
      <c r="K1001" t="s">
        <v>35</v>
      </c>
      <c r="L1001" t="str" cm="1">
        <f t="array" ref="L1001">_xlfn.IFS(bike_buyers[[#This Row],[Age]]&gt;= 70, "senior citizen", bike_buyers[[#This Row],[Age]]&gt;=55, "middle age",  bike_buyers[[#This Row],[Age]]&gt;=40,"mature adult ", bike_buyers[[#This Row],[Age]]&gt;=30, "adults", bike_buyers[[#This Row],[Age]]&gt;= 20, "young adults")</f>
        <v xml:space="preserve">mature adult </v>
      </c>
      <c r="M1001">
        <v>53</v>
      </c>
      <c r="N1001" t="s">
        <v>17</v>
      </c>
    </row>
    <row r="1002" spans="1:14" x14ac:dyDescent="0.25">
      <c r="D1002"/>
    </row>
    <row r="1003" spans="1:14" x14ac:dyDescent="0.25">
      <c r="D1003"/>
    </row>
    <row r="1004" spans="1:14" x14ac:dyDescent="0.25">
      <c r="D1004"/>
    </row>
    <row r="1005" spans="1:14" x14ac:dyDescent="0.25">
      <c r="D1005"/>
    </row>
    <row r="1006" spans="1:14" x14ac:dyDescent="0.25">
      <c r="D1006"/>
    </row>
    <row r="1007" spans="1:14" x14ac:dyDescent="0.25">
      <c r="D1007"/>
    </row>
    <row r="1008" spans="1:14" x14ac:dyDescent="0.25">
      <c r="D1008"/>
    </row>
    <row r="1009" spans="4:4" x14ac:dyDescent="0.25">
      <c r="D1009"/>
    </row>
    <row r="1010" spans="4:4" x14ac:dyDescent="0.25">
      <c r="D1010"/>
    </row>
    <row r="1011" spans="4:4" x14ac:dyDescent="0.25">
      <c r="D1011"/>
    </row>
    <row r="1012" spans="4:4" x14ac:dyDescent="0.25">
      <c r="D1012"/>
    </row>
    <row r="1013" spans="4:4" x14ac:dyDescent="0.25">
      <c r="D1013"/>
    </row>
    <row r="1014" spans="4:4" x14ac:dyDescent="0.25">
      <c r="D1014"/>
    </row>
    <row r="1015" spans="4:4" x14ac:dyDescent="0.25">
      <c r="D1015"/>
    </row>
    <row r="1016" spans="4:4" x14ac:dyDescent="0.25">
      <c r="D1016"/>
    </row>
    <row r="1017" spans="4:4" x14ac:dyDescent="0.25">
      <c r="D1017"/>
    </row>
    <row r="1018" spans="4:4" x14ac:dyDescent="0.25">
      <c r="D1018"/>
    </row>
    <row r="1019" spans="4:4" x14ac:dyDescent="0.25">
      <c r="D1019"/>
    </row>
    <row r="1020" spans="4:4" x14ac:dyDescent="0.25">
      <c r="D1020"/>
    </row>
    <row r="1021" spans="4:4" x14ac:dyDescent="0.25">
      <c r="D1021"/>
    </row>
    <row r="1022" spans="4:4" x14ac:dyDescent="0.25">
      <c r="D1022"/>
    </row>
    <row r="1023" spans="4:4" x14ac:dyDescent="0.25">
      <c r="D1023"/>
    </row>
    <row r="1024" spans="4:4" x14ac:dyDescent="0.25">
      <c r="D1024"/>
    </row>
    <row r="1025" spans="4:4" x14ac:dyDescent="0.25">
      <c r="D1025"/>
    </row>
    <row r="1026" spans="4:4" x14ac:dyDescent="0.25">
      <c r="D1026"/>
    </row>
    <row r="1027" spans="4:4" x14ac:dyDescent="0.25">
      <c r="D1027"/>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ED941E-4618-4018-9B72-F135152CB4FD}">
  <sheetPr codeName="Sheet1"/>
  <dimension ref="A3:J105"/>
  <sheetViews>
    <sheetView topLeftCell="A76" zoomScaleNormal="100" workbookViewId="0">
      <selection activeCell="J105" sqref="J105"/>
    </sheetView>
  </sheetViews>
  <sheetFormatPr defaultRowHeight="15" x14ac:dyDescent="0.25"/>
  <cols>
    <col min="1" max="1" width="26.28515625" bestFit="1" customWidth="1"/>
    <col min="2" max="2" width="5.42578125" bestFit="1" customWidth="1"/>
    <col min="3" max="3" width="6" bestFit="1" customWidth="1"/>
    <col min="4" max="4" width="11.28515625" bestFit="1" customWidth="1"/>
    <col min="5" max="5" width="18" bestFit="1" customWidth="1"/>
    <col min="6" max="6" width="27.85546875" bestFit="1" customWidth="1"/>
    <col min="7" max="7" width="22.85546875" bestFit="1" customWidth="1"/>
    <col min="8" max="8" width="16.28515625" bestFit="1" customWidth="1"/>
    <col min="9" max="9" width="6.42578125" bestFit="1" customWidth="1"/>
    <col min="10" max="10" width="11.28515625" bestFit="1" customWidth="1"/>
    <col min="11" max="11" width="22.85546875" bestFit="1" customWidth="1"/>
    <col min="12" max="12" width="26.140625" bestFit="1" customWidth="1"/>
    <col min="13" max="13" width="27.85546875" bestFit="1" customWidth="1"/>
    <col min="14" max="14" width="11.28515625" bestFit="1" customWidth="1"/>
    <col min="15" max="15" width="12.7109375" bestFit="1" customWidth="1"/>
    <col min="16" max="16" width="22.85546875" bestFit="1" customWidth="1"/>
    <col min="17" max="17" width="12.7109375" bestFit="1" customWidth="1"/>
    <col min="18" max="18" width="22.85546875" bestFit="1" customWidth="1"/>
    <col min="19" max="19" width="12.7109375" bestFit="1" customWidth="1"/>
    <col min="20" max="20" width="22.85546875" bestFit="1" customWidth="1"/>
    <col min="21" max="21" width="12.7109375" bestFit="1" customWidth="1"/>
    <col min="22" max="22" width="22.85546875" bestFit="1" customWidth="1"/>
    <col min="23" max="23" width="12.7109375" bestFit="1" customWidth="1"/>
    <col min="24" max="24" width="26.5703125" bestFit="1" customWidth="1"/>
    <col min="25" max="25" width="16.42578125" bestFit="1" customWidth="1"/>
    <col min="26" max="26" width="27.85546875" bestFit="1" customWidth="1"/>
    <col min="27" max="27" width="17.85546875" bestFit="1" customWidth="1"/>
  </cols>
  <sheetData>
    <row r="3" spans="1:4" x14ac:dyDescent="0.25">
      <c r="A3" s="2" t="s">
        <v>38</v>
      </c>
    </row>
    <row r="4" spans="1:4" x14ac:dyDescent="0.25">
      <c r="B4" s="5" t="s">
        <v>20</v>
      </c>
      <c r="C4" s="4" t="s">
        <v>17</v>
      </c>
      <c r="D4" s="7" t="s">
        <v>37</v>
      </c>
    </row>
    <row r="5" spans="1:4" x14ac:dyDescent="0.25">
      <c r="A5" s="3" t="s">
        <v>45</v>
      </c>
      <c r="B5" s="16">
        <v>122</v>
      </c>
      <c r="C5" s="17">
        <v>179</v>
      </c>
      <c r="D5" s="14">
        <v>301</v>
      </c>
    </row>
    <row r="6" spans="1:4" x14ac:dyDescent="0.25">
      <c r="A6" s="3" t="s">
        <v>39</v>
      </c>
      <c r="B6" s="16">
        <v>219</v>
      </c>
      <c r="C6" s="17">
        <v>208</v>
      </c>
      <c r="D6" s="14">
        <v>427</v>
      </c>
    </row>
    <row r="7" spans="1:4" x14ac:dyDescent="0.25">
      <c r="A7" s="3" t="s">
        <v>46</v>
      </c>
      <c r="B7" s="16">
        <v>121</v>
      </c>
      <c r="C7" s="17">
        <v>53</v>
      </c>
      <c r="D7" s="14">
        <v>174</v>
      </c>
    </row>
    <row r="8" spans="1:4" x14ac:dyDescent="0.25">
      <c r="A8" s="3" t="s">
        <v>47</v>
      </c>
      <c r="B8" s="16">
        <v>9</v>
      </c>
      <c r="C8" s="17">
        <v>6</v>
      </c>
      <c r="D8" s="14">
        <v>15</v>
      </c>
    </row>
    <row r="9" spans="1:4" x14ac:dyDescent="0.25">
      <c r="A9" s="3" t="s">
        <v>48</v>
      </c>
      <c r="B9" s="16">
        <v>48</v>
      </c>
      <c r="C9" s="17">
        <v>35</v>
      </c>
      <c r="D9" s="14">
        <v>83</v>
      </c>
    </row>
    <row r="10" spans="1:4" x14ac:dyDescent="0.25">
      <c r="A10" s="6" t="s">
        <v>37</v>
      </c>
      <c r="B10" s="18">
        <v>519</v>
      </c>
      <c r="C10" s="18">
        <v>481</v>
      </c>
      <c r="D10" s="18">
        <v>1000</v>
      </c>
    </row>
    <row r="40" spans="1:4" x14ac:dyDescent="0.25">
      <c r="A40" s="2" t="s">
        <v>40</v>
      </c>
    </row>
    <row r="41" spans="1:4" x14ac:dyDescent="0.25">
      <c r="B41" t="s">
        <v>20</v>
      </c>
      <c r="C41" t="s">
        <v>17</v>
      </c>
      <c r="D41" t="s">
        <v>37</v>
      </c>
    </row>
    <row r="43" spans="1:4" x14ac:dyDescent="0.25">
      <c r="A43" s="3" t="s">
        <v>18</v>
      </c>
      <c r="B43" s="14">
        <v>166</v>
      </c>
      <c r="C43" s="14">
        <v>200</v>
      </c>
      <c r="D43" s="14">
        <v>366</v>
      </c>
    </row>
    <row r="44" spans="1:4" x14ac:dyDescent="0.25">
      <c r="A44" s="3" t="s">
        <v>30</v>
      </c>
      <c r="B44" s="14">
        <v>92</v>
      </c>
      <c r="C44" s="14">
        <v>77</v>
      </c>
      <c r="D44" s="14">
        <v>169</v>
      </c>
    </row>
    <row r="45" spans="1:4" x14ac:dyDescent="0.25">
      <c r="A45" s="3" t="s">
        <v>25</v>
      </c>
      <c r="B45" s="14">
        <v>67</v>
      </c>
      <c r="C45" s="14">
        <v>95</v>
      </c>
      <c r="D45" s="14">
        <v>162</v>
      </c>
    </row>
    <row r="46" spans="1:4" x14ac:dyDescent="0.25">
      <c r="A46" s="3" t="s">
        <v>27</v>
      </c>
      <c r="B46" s="14">
        <v>116</v>
      </c>
      <c r="C46" s="14">
        <v>76</v>
      </c>
      <c r="D46" s="14">
        <v>192</v>
      </c>
    </row>
    <row r="47" spans="1:4" x14ac:dyDescent="0.25">
      <c r="A47" s="3" t="s">
        <v>41</v>
      </c>
      <c r="B47" s="14">
        <v>78</v>
      </c>
      <c r="C47" s="14">
        <v>33</v>
      </c>
      <c r="D47" s="14">
        <v>111</v>
      </c>
    </row>
    <row r="48" spans="1:4" x14ac:dyDescent="0.25">
      <c r="A48" s="3" t="s">
        <v>37</v>
      </c>
      <c r="B48" s="14">
        <v>519</v>
      </c>
      <c r="C48" s="14">
        <v>481</v>
      </c>
      <c r="D48" s="14">
        <v>1000</v>
      </c>
    </row>
    <row r="52" spans="1:5" x14ac:dyDescent="0.25">
      <c r="A52" s="2" t="s">
        <v>38</v>
      </c>
      <c r="B52" s="2" t="s">
        <v>43</v>
      </c>
    </row>
    <row r="53" spans="1:5" x14ac:dyDescent="0.25">
      <c r="A53" s="2" t="s">
        <v>42</v>
      </c>
      <c r="B53" t="s">
        <v>19</v>
      </c>
      <c r="C53" t="s">
        <v>35</v>
      </c>
      <c r="D53" t="s">
        <v>28</v>
      </c>
      <c r="E53" t="s">
        <v>37</v>
      </c>
    </row>
    <row r="54" spans="1:5" x14ac:dyDescent="0.25">
      <c r="A54" s="3" t="s">
        <v>13</v>
      </c>
      <c r="B54" s="14">
        <v>146</v>
      </c>
      <c r="C54" s="14">
        <v>297</v>
      </c>
      <c r="D54" s="14">
        <v>95</v>
      </c>
      <c r="E54" s="14">
        <v>538</v>
      </c>
    </row>
    <row r="55" spans="1:5" x14ac:dyDescent="0.25">
      <c r="A55" s="3" t="s">
        <v>26</v>
      </c>
      <c r="B55" s="14">
        <v>154</v>
      </c>
      <c r="C55" s="14">
        <v>211</v>
      </c>
      <c r="D55" s="14">
        <v>97</v>
      </c>
      <c r="E55" s="14">
        <v>462</v>
      </c>
    </row>
    <row r="56" spans="1:5" x14ac:dyDescent="0.25">
      <c r="A56" s="3" t="s">
        <v>37</v>
      </c>
      <c r="B56" s="14">
        <v>300</v>
      </c>
      <c r="C56" s="14">
        <v>508</v>
      </c>
      <c r="D56" s="14">
        <v>192</v>
      </c>
      <c r="E56" s="14">
        <v>1000</v>
      </c>
    </row>
    <row r="70" spans="1:10" x14ac:dyDescent="0.25">
      <c r="G70" s="11" t="s">
        <v>44</v>
      </c>
      <c r="H70" s="10"/>
      <c r="I70" s="10"/>
      <c r="J70" s="10"/>
    </row>
    <row r="71" spans="1:10" x14ac:dyDescent="0.25">
      <c r="G71" s="10"/>
      <c r="H71" s="10" t="s">
        <v>20</v>
      </c>
      <c r="I71" s="10" t="s">
        <v>17</v>
      </c>
      <c r="J71" s="10" t="s">
        <v>37</v>
      </c>
    </row>
    <row r="72" spans="1:10" x14ac:dyDescent="0.25">
      <c r="G72" s="12" t="s">
        <v>14</v>
      </c>
      <c r="H72" s="15">
        <v>157</v>
      </c>
      <c r="I72" s="15">
        <v>332</v>
      </c>
      <c r="J72" s="15">
        <v>489</v>
      </c>
    </row>
    <row r="73" spans="1:10" x14ac:dyDescent="0.25">
      <c r="A73" s="2" t="s">
        <v>49</v>
      </c>
      <c r="G73" s="12" t="s">
        <v>21</v>
      </c>
      <c r="H73" s="15">
        <v>160</v>
      </c>
      <c r="I73" s="15">
        <v>351</v>
      </c>
      <c r="J73" s="15">
        <v>511</v>
      </c>
    </row>
    <row r="74" spans="1:10" x14ac:dyDescent="0.25">
      <c r="B74" t="s">
        <v>20</v>
      </c>
      <c r="C74" t="s">
        <v>17</v>
      </c>
      <c r="D74" t="s">
        <v>37</v>
      </c>
      <c r="G74" s="12" t="s">
        <v>37</v>
      </c>
      <c r="H74" s="15">
        <v>317</v>
      </c>
      <c r="I74" s="15">
        <v>683</v>
      </c>
      <c r="J74" s="15">
        <v>1000</v>
      </c>
    </row>
    <row r="75" spans="1:10" x14ac:dyDescent="0.25">
      <c r="A75" s="3" t="s">
        <v>15</v>
      </c>
      <c r="B75" s="14">
        <v>137</v>
      </c>
      <c r="C75" s="14">
        <v>169</v>
      </c>
      <c r="D75" s="14">
        <v>306</v>
      </c>
    </row>
    <row r="76" spans="1:10" x14ac:dyDescent="0.25">
      <c r="A76" s="3" t="s">
        <v>34</v>
      </c>
      <c r="B76" s="14">
        <v>80</v>
      </c>
      <c r="C76" s="14">
        <v>94</v>
      </c>
      <c r="D76" s="14">
        <v>174</v>
      </c>
    </row>
    <row r="77" spans="1:10" x14ac:dyDescent="0.25">
      <c r="A77" s="3" t="s">
        <v>31</v>
      </c>
      <c r="B77" s="14">
        <v>100</v>
      </c>
      <c r="C77" s="14">
        <v>79</v>
      </c>
      <c r="D77" s="14">
        <v>179</v>
      </c>
      <c r="G77" s="2" t="s">
        <v>38</v>
      </c>
      <c r="H77" s="2" t="s">
        <v>43</v>
      </c>
    </row>
    <row r="78" spans="1:10" x14ac:dyDescent="0.25">
      <c r="A78" s="3" t="s">
        <v>22</v>
      </c>
      <c r="B78" s="14">
        <v>146</v>
      </c>
      <c r="C78" s="14">
        <v>119</v>
      </c>
      <c r="D78" s="14">
        <v>265</v>
      </c>
      <c r="G78" s="2" t="s">
        <v>42</v>
      </c>
      <c r="H78" t="s">
        <v>13</v>
      </c>
      <c r="I78" t="s">
        <v>26</v>
      </c>
      <c r="J78" t="s">
        <v>37</v>
      </c>
    </row>
    <row r="79" spans="1:10" x14ac:dyDescent="0.25">
      <c r="A79" s="3" t="s">
        <v>33</v>
      </c>
      <c r="B79" s="14">
        <v>56</v>
      </c>
      <c r="C79" s="14">
        <v>20</v>
      </c>
      <c r="D79" s="14">
        <v>76</v>
      </c>
      <c r="G79" s="3" t="s">
        <v>20</v>
      </c>
      <c r="H79" s="14">
        <v>307</v>
      </c>
      <c r="I79" s="14">
        <v>212</v>
      </c>
      <c r="J79" s="14">
        <v>519</v>
      </c>
    </row>
    <row r="80" spans="1:10" x14ac:dyDescent="0.25">
      <c r="A80" s="3" t="s">
        <v>37</v>
      </c>
      <c r="B80" s="14">
        <v>519</v>
      </c>
      <c r="C80" s="14">
        <v>481</v>
      </c>
      <c r="D80" s="14">
        <v>1000</v>
      </c>
      <c r="G80" s="3" t="s">
        <v>17</v>
      </c>
      <c r="H80" s="14">
        <v>231</v>
      </c>
      <c r="I80" s="14">
        <v>250</v>
      </c>
      <c r="J80" s="14">
        <v>481</v>
      </c>
    </row>
    <row r="81" spans="7:10" x14ac:dyDescent="0.25">
      <c r="G81" s="3" t="s">
        <v>37</v>
      </c>
      <c r="H81" s="14">
        <v>538</v>
      </c>
      <c r="I81" s="14">
        <v>462</v>
      </c>
      <c r="J81" s="14">
        <v>1000</v>
      </c>
    </row>
    <row r="98" spans="1:4" x14ac:dyDescent="0.25">
      <c r="A98" s="2" t="s">
        <v>38</v>
      </c>
      <c r="B98" s="2" t="s">
        <v>43</v>
      </c>
    </row>
    <row r="99" spans="1:4" x14ac:dyDescent="0.25">
      <c r="A99" s="2" t="s">
        <v>42</v>
      </c>
      <c r="B99" t="s">
        <v>20</v>
      </c>
      <c r="C99" t="s">
        <v>17</v>
      </c>
      <c r="D99" t="s">
        <v>37</v>
      </c>
    </row>
    <row r="100" spans="1:4" x14ac:dyDescent="0.25">
      <c r="A100" s="3" t="s">
        <v>15</v>
      </c>
      <c r="B100" s="14">
        <v>137</v>
      </c>
      <c r="C100" s="14">
        <v>169</v>
      </c>
      <c r="D100" s="14">
        <v>306</v>
      </c>
    </row>
    <row r="101" spans="1:4" x14ac:dyDescent="0.25">
      <c r="A101" s="3" t="s">
        <v>34</v>
      </c>
      <c r="B101" s="14">
        <v>80</v>
      </c>
      <c r="C101" s="14">
        <v>94</v>
      </c>
      <c r="D101" s="14">
        <v>174</v>
      </c>
    </row>
    <row r="102" spans="1:4" x14ac:dyDescent="0.25">
      <c r="A102" s="3" t="s">
        <v>31</v>
      </c>
      <c r="B102" s="14">
        <v>100</v>
      </c>
      <c r="C102" s="14">
        <v>79</v>
      </c>
      <c r="D102" s="14">
        <v>179</v>
      </c>
    </row>
    <row r="103" spans="1:4" x14ac:dyDescent="0.25">
      <c r="A103" s="3" t="s">
        <v>22</v>
      </c>
      <c r="B103" s="14">
        <v>146</v>
      </c>
      <c r="C103" s="14">
        <v>119</v>
      </c>
      <c r="D103" s="14">
        <v>265</v>
      </c>
    </row>
    <row r="104" spans="1:4" x14ac:dyDescent="0.25">
      <c r="A104" s="3" t="s">
        <v>33</v>
      </c>
      <c r="B104" s="14">
        <v>56</v>
      </c>
      <c r="C104" s="14">
        <v>20</v>
      </c>
      <c r="D104" s="14">
        <v>76</v>
      </c>
    </row>
    <row r="105" spans="1:4" x14ac:dyDescent="0.25">
      <c r="A105" s="3" t="s">
        <v>37</v>
      </c>
      <c r="B105" s="14">
        <v>519</v>
      </c>
      <c r="C105" s="14">
        <v>481</v>
      </c>
      <c r="D105" s="14">
        <v>1000</v>
      </c>
    </row>
  </sheetData>
  <pageMargins left="0.7" right="0.7" top="0.75" bottom="0.75" header="0.3" footer="0.3"/>
  <pageSetup paperSize="9" orientation="landscape" r:id="rId8"/>
  <drawing r:id="rId9"/>
  <extLst>
    <ext xmlns:x14="http://schemas.microsoft.com/office/spreadsheetml/2009/9/main" uri="{A8765BA9-456A-4dab-B4F3-ACF838C121DE}">
      <x14:slicerList>
        <x14:slicer r:id="rId10"/>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86FB6A4-DC30-4C3B-BC4E-F90C515B559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dashboard</vt:lpstr>
      <vt:lpstr>bike_buyers</vt:lpstr>
      <vt:lpstr>Sheet3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MD RASHID ALI HAIDER</dc:creator>
  <cp:lastModifiedBy>MD RASHID ALI HAIDER</cp:lastModifiedBy>
  <cp:lastPrinted>2026-08-04T12:31:27Z</cp:lastPrinted>
  <dcterms:created xsi:type="dcterms:W3CDTF">2026-06-20T04:32:33Z</dcterms:created>
  <dcterms:modified xsi:type="dcterms:W3CDTF">2026-08-05T15:00:01Z</dcterms:modified>
</cp:coreProperties>
</file>